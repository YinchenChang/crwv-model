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檢查_連動" sheetId="15" state="visible" r:id="rId17"/>
    <sheet name="檢查_版本紀錄" sheetId="16" state="visible" r:id="rId18"/>
    <sheet name="來源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<sst xmlns="http://schemas.openxmlformats.org/spreadsheetml/2006/main" count="2449" uniqueCount="1507">
  <si>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v4.4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v4.4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</si>
  <si>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</si>
  <si>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WenQuanYi Zen Hei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</si>
  <si>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</si>
  <si>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</si>
  <si>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WenQuanYi Zen Hei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WenQuanYi Zen Hei"/>
        <family val="2"/>
      </rPr>
      <t xml:space="preserve">；全部活公式）。</t>
    </r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</si>
  <si>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季度追蹤輸入）。</t>
    </r>
  </si>
  <si>
    <t xml:space="preserve">各期收支        類現金流量：來源、用途、融資前缺口、期前融資瀑布。</t>
  </si>
  <si>
    <r>
      <rPr>
        <sz val="10"/>
        <rFont val="WenQuanYi Zen Hei"/>
        <family val="2"/>
      </rPr>
      <t xml:space="preserve">季度追蹤        焦點季的模型／共識／指引／實際與差距（</t>
    </r>
    <r>
      <rPr>
        <sz val="10"/>
        <rFont val="Arial"/>
        <family val="0"/>
        <charset val="1"/>
      </rPr>
      <t xml:space="preserve">v4.4</t>
    </r>
    <r>
      <rPr>
        <sz val="10"/>
        <rFont val="WenQuanYi Zen Hei"/>
        <family val="2"/>
      </rPr>
      <t xml:space="preserve">；由年度模型拆分，只用於追蹤；實際數填在輸入與假設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區）。</t>
    </r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</si>
  <si>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站點：房東揭露與租金檢驗。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</si>
  <si>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</si>
  <si>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</si>
  <si>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</si>
  <si>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快照）。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</si>
  <si>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</si>
  <si>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</si>
  <si>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</si>
  <si>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</si>
  <si>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</si>
  <si>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</si>
  <si>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</si>
  <si>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揭露的時程「應該」在本期認列的收入。</t>
    </r>
  </si>
  <si>
    <r>
      <rPr>
        <sz val="10"/>
        <rFont val="WenQuanYi Zen Hei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WenQuanYi Zen Hei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</si>
  <si>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</si>
  <si>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WenQuanYi Zen Hei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</si>
  <si>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</si>
  <si>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</si>
  <si>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WenQuanYi Zen Hei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</si>
  <si>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</si>
  <si>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WenQuanYi Zen Hei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</si>
  <si>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</si>
  <si>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WenQuanYi Zen Hei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轉換（受容量封頂）＋ 新簽約（用剩餘容量）。</t>
    </r>
  </si>
  <si>
    <r>
      <rPr>
        <sz val="10"/>
        <rFont val="WenQuanYi Zen Hei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之後反轉為產能多於期初合約——</t>
    </r>
  </si>
  <si>
    <r>
      <rPr>
        <sz val="10"/>
        <rFont val="WenQuanYi Zen Hei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WenQuanYi Zen Hei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</si>
  <si>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</si>
  <si>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</si>
  <si>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</si>
  <si>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WenQuanYi Zen Hei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</si>
  <si>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</si>
  <si>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WenQuanYi Zen Hei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</si>
  <si>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WenQuanYi Zen Hei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部分才是模型推算。</t>
    </r>
  </si>
  <si>
    <r>
      <rPr>
        <sz val="10"/>
        <rFont val="WenQuanYi Zen Hei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WenQuanYi Zen Hei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WenQuanYi Zen Hei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</si>
  <si>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</si>
  <si>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</si>
  <si>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</si>
  <si>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</si>
  <si>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WenQuanYi Zen Hei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</si>
  <si>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</si>
  <si>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</si>
  <si>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WenQuanYi Zen Hei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</si>
  <si>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WenQuanYi Zen Hei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WenQuanYi Zen Hei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年租金，</t>
    </r>
  </si>
  <si>
    <r>
      <rPr>
        <sz val="10"/>
        <rFont val="WenQuanYi Zen Hei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WenQuanYi Zen Hei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WenQuanYi Zen Hei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WenQuanYi Zen Hei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</si>
  <si>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WenQuanYi Zen Hei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WenQuanYi Zen Hei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WenQuanYi Zen Hei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</si>
  <si>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WenQuanYi Zen Hei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</si>
  <si>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WenQuanYi Zen Hei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WenQuanYi Zen Hei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</si>
  <si>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WenQuanYi Zen Hei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</si>
  <si>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WenQuanYi Zen Hei"/>
        <family val="2"/>
      </rPr>
      <t xml:space="preserve">：股權吸收能力可調＋融資前缺口</t>
    </r>
  </si>
  <si>
    <r>
      <rPr>
        <sz val="10"/>
        <rFont val="WenQuanYi Zen Hei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WenQuanYi Zen Hei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WenQuanYi Zen Hei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</si>
  <si>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</si>
  <si>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WenQuanYi Zen Hei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</si>
  <si>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</si>
  <si>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與資金現金都引用同一列。</t>
    </r>
  </si>
  <si>
    <r>
      <rPr>
        <sz val="10"/>
        <rFont val="WenQuanYi Zen Hei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同一貢獻率。</t>
    </r>
  </si>
  <si>
    <r>
      <rPr>
        <sz val="10"/>
        <rFont val="WenQuanYi Zen Hei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WenQuanYi Zen Hei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WenQuanYi Zen Hei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WenQuanYi Zen Hei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</si>
  <si>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WenQuanYi Zen Hei"/>
        <family val="2"/>
      </rPr>
      <t xml:space="preserve">：期前融資瀑布（取代「透支利息＋扣缺口」）</t>
    </r>
  </si>
  <si>
    <r>
      <rPr>
        <sz val="10"/>
        <rFont val="WenQuanYi Zen Hei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WenQuanYi Zen Hei"/>
        <family val="2"/>
      </rPr>
      <t xml:space="preserve">資產層新債</t>
    </r>
  </si>
  <si>
    <r>
      <rPr>
        <sz val="10"/>
        <rFont val="WenQuanYi Zen Hei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WenQuanYi Zen Hei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</si>
  <si>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末股數。</t>
    </r>
  </si>
  <si>
    <r>
      <rPr>
        <sz val="10"/>
        <rFont val="WenQuanYi Zen Hei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</si>
  <si>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</si>
  <si>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</si>
  <si>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</si>
  <si>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</si>
  <si>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</si>
  <si>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</si>
  <si>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</si>
  <si>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</si>
  <si>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</si>
  <si>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</si>
  <si>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</si>
  <si>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</si>
  <si>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</si>
  <si>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</si>
  <si>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</si>
  <si>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</si>
  <si>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</si>
  <si>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</si>
  <si>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</si>
  <si>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</si>
  <si>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</si>
  <si>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</si>
  <si>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</si>
  <si>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</si>
  <si>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</si>
  <si>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</si>
  <si>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</si>
  <si>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</si>
  <si>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</si>
  <si>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</si>
  <si>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</si>
  <si>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</si>
  <si>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</si>
  <si>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</si>
  <si>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</si>
  <si>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</si>
  <si>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</si>
  <si>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</si>
  <si>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</si>
  <si>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</si>
  <si>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</si>
  <si>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</si>
  <si>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</si>
  <si>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</si>
  <si>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</si>
  <si>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</si>
  <si>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｜淨負債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</si>
  <si>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＝原因（差距超過門檻時顯示）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</si>
  <si>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</si>
  <si>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</si>
  <si>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</si>
  <si>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</si>
  <si>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</si>
  <si>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</si>
  <si>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｜淨負債</t>
    </r>
  </si>
  <si>
    <t xml:space="preserve">差異｜超過門檻項數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</si>
  <si>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</si>
  <si>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</si>
  <si>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</si>
  <si>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</si>
  <si>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</si>
  <si>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</si>
  <si>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</si>
  <si>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</si>
  <si>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</si>
  <si>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</si>
  <si>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末，錨定年度與此不同</t>
    </r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</si>
  <si>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</si>
  <si>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</si>
  <si>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</si>
  <si>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</si>
  <si>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</si>
  <si>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</si>
  <si>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</si>
  <si>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t xml:space="preserve">驗證｜焦點季</t>
  </si>
  <si>
    <r>
      <rPr>
        <sz val="9"/>
        <color rgb="FF595959"/>
        <rFont val="WenQuanYi Zen Hei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</si>
  <si>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</si>
  <si>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WenQuanYi Zen Hei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</si>
  <si>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</si>
  <si>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</si>
  <si>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</si>
  <si>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</si>
  <si>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</si>
  <si>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</si>
  <si>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</si>
  <si>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</si>
  <si>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</si>
  <si>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</si>
  <si>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WenQuanYi Zen Hei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WenQuanYi Zen Hei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引用，日期較舊）。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</si>
  <si>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</si>
  <si>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</si>
  <si>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</si>
  <si>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</si>
  <si>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</si>
  <si>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WenQuanYi Zen Hei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起分歧</t>
    </r>
  </si>
  <si>
    <r>
      <rPr>
        <b val="true"/>
        <sz val="10"/>
        <color rgb="FF1F3864"/>
        <rFont val="WenQuanYi Zen Hei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WenQuanYi Zen Hei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</si>
  <si>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</si>
  <si>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</si>
  <si>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</si>
  <si>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</si>
  <si>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</si>
  <si>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</si>
  <si>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WenQuanYi Zen Hei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法說），不再新簽</t>
    </r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</si>
  <si>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</si>
  <si>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</si>
  <si>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</si>
  <si>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WenQuanYi Zen Hei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</si>
  <si>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WenQuanYi Zen Hei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</si>
  <si>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</si>
  <si>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</si>
  <si>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WenQuanYi Zen Hei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WenQuanYi Zen Hei"/>
        <family val="2"/>
      </rPr>
      <t xml:space="preserve">）」等比例縮放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</si>
  <si>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</si>
  <si>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</si>
  <si>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</si>
  <si>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初新增承諾</t>
    </r>
  </si>
  <si>
    <r>
      <rPr>
        <sz val="9"/>
        <color rgb="FF595959"/>
        <rFont val="WenQuanYi Zen Hei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WenQuanYi Zen Hei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</si>
  <si>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</si>
  <si>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</si>
  <si>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</si>
  <si>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</si>
  <si>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</si>
  <si>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WenQuanYi Zen Hei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</si>
  <si>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</si>
  <si>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WenQuanYi Zen Hei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WenQuanYi Zen Hei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</si>
  <si>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</si>
  <si>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WenQuanYi Zen Hei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</si>
  <si>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</si>
  <si>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</si>
  <si>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</si>
  <si>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</si>
  <si>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</si>
  <si>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</si>
  <si>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WenQuanYi Zen Hei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</si>
  <si>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</si>
  <si>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</si>
  <si>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Billable MW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</si>
  <si>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WenQuanYi Zen Hei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</si>
  <si>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</si>
  <si>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WenQuanYi Zen Hei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</si>
  <si>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</si>
  <si>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t xml:space="preserve">US$bn/MW</t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</si>
  <si>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18.5–19.5÷1.85GW≈10.0–10.5M/MW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月漲價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WenQuanYi Zen Hei"/>
        <family val="2"/>
      </rPr>
      <t xml:space="preserve">只影響新約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</si>
  <si>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新產能簽約率</t>
  </si>
  <si>
    <r>
      <rPr>
        <sz val="9"/>
        <color rgb="FF595959"/>
        <rFont val="WenQuanYi Zen Hei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</si>
  <si>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</si>
  <si>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</si>
  <si>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</si>
  <si>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</si>
  <si>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</si>
  <si>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WenQuanYi Zen Hei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</si>
  <si>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</si>
  <si>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</si>
  <si>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Adj. 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58.6% [Verified]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</si>
  <si>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</si>
  <si>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由下而上：每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現金成本約 </t>
    </r>
    <r>
      <rPr>
        <sz val="9"/>
        <color rgb="FF595959"/>
        <rFont val="Arial"/>
        <family val="0"/>
        <charset val="1"/>
      </rPr>
      <t xml:space="preserve">$3.2–3.6m</t>
    </r>
    <r>
      <rPr>
        <sz val="9"/>
        <color rgb="FF595959"/>
        <rFont val="WenQuanYi Zen Hei"/>
        <family val="2"/>
      </rPr>
      <t xml:space="preserve">／年收入 </t>
    </r>
    <r>
      <rPr>
        <sz val="9"/>
        <color rgb="FF595959"/>
        <rFont val="Arial"/>
        <family val="0"/>
        <charset val="1"/>
      </rPr>
      <t xml:space="preserve">$10.9m → 67–71%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59% </t>
    </r>
    <r>
      <rPr>
        <sz val="9"/>
        <color rgb="FF595959"/>
        <rFont val="WenQuanYi Zen Hei"/>
        <family val="2"/>
      </rPr>
      <t xml:space="preserve">含爬坡成本。基準 </t>
    </r>
    <r>
      <rPr>
        <sz val="9"/>
        <color rgb="FF595959"/>
        <rFont val="Arial"/>
        <family val="0"/>
        <charset val="1"/>
      </rPr>
      <t xml:space="preserve">65%</t>
    </r>
    <r>
      <rPr>
        <sz val="9"/>
        <color rgb="FF595959"/>
        <rFont val="WenQuanYi Zen Hei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70% [Derived]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</si>
  <si>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</si>
  <si>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WenQuanYi Zen Hei"/>
        <family val="2"/>
      </rPr>
      <t xml:space="preserve">（公式）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</si>
  <si>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</si>
  <si>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</si>
  <si>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</si>
  <si>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</si>
  <si>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</si>
  <si>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</si>
  <si>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</si>
  <si>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</si>
  <si>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</si>
  <si>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</si>
  <si>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</si>
  <si>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</si>
  <si>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</si>
  <si>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</si>
  <si>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</si>
  <si>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</si>
  <si>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</si>
  <si>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</si>
  <si>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</si>
  <si>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t xml:space="preserve">年</t>
  </si>
  <si>
    <r>
      <rPr>
        <sz val="9"/>
        <color rgb="FF595959"/>
        <rFont val="WenQuanYi Zen Hei"/>
        <family val="2"/>
      </rPr>
      <t xml:space="preserve">公司對伺服器與網路設備的折舊年限；決定汰換時點與車隊折舊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</si>
  <si>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</si>
  <si>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3.1bn 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$30m/MW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</si>
  <si>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</si>
  <si>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</si>
  <si>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</si>
  <si>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</si>
  <si>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</si>
  <si>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</si>
  <si>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</si>
  <si>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＋網路＋機房內裝；以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 [Derived]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</si>
  <si>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</si>
  <si>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</si>
  <si>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WenQuanYi Zen Hei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到期表）</t>
    </r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</si>
  <si>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</si>
  <si>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</si>
  <si>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</si>
  <si>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</si>
  <si>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</si>
  <si>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</si>
  <si>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</si>
  <si>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</si>
  <si>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</si>
  <si>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</si>
  <si>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</si>
  <si>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</si>
  <si>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</si>
  <si>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</si>
  <si>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</si>
  <si>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</si>
  <si>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</si>
  <si>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</si>
  <si>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</si>
  <si>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</si>
  <si>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</si>
  <si>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</si>
  <si>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</si>
  <si>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</si>
  <si>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</si>
  <si>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</si>
  <si>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WenQuanYi Zen Hei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</si>
  <si>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</si>
  <si>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</si>
  <si>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WenQuanYi Zen Hei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</si>
  <si>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</si>
  <si>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WenQuanYi Zen Hei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WenQuanYi Zen Hei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</si>
  <si>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</si>
  <si>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</si>
  <si>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</si>
  <si>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WenQuanYi Zen Hei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</si>
  <si>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</si>
  <si>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</si>
  <si>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</si>
  <si>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本金到期表；關閉＝假設全額再融資</t>
    </r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</si>
  <si>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</si>
  <si>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WenQuanYi Zen Hei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WenQuanYi Zen Hei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WenQuanYi Zen Hei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WenQuanYi Zen Hei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</si>
  <si>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</si>
  <si>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WenQuanYi Zen Hei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</si>
  <si>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</si>
  <si>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</si>
  <si>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</si>
  <si>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</si>
  <si>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</si>
  <si>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</si>
  <si>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</si>
  <si>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</si>
  <si>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</si>
  <si>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</si>
  <si>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</si>
  <si>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</si>
  <si>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WenQuanYi Zen Hei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</si>
  <si>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</si>
  <si>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WenQuanYi Zen Hei"/>
        <family val="2"/>
      </rPr>
      <t xml:space="preserve">重複</t>
    </r>
  </si>
  <si>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</si>
  <si>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</si>
  <si>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</si>
  <si>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</si>
  <si>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</si>
  <si>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</si>
  <si>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</si>
  <si>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</si>
  <si>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</si>
  <si>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</si>
  <si>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t xml:space="preserve">bn</t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</si>
  <si>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WenQuanYi Zen Hei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</si>
  <si>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WenQuanYi Zen Hei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</si>
  <si>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</si>
  <si>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</si>
  <si>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</si>
  <si>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</si>
  <si>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WenQuanYi Zen Hei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</si>
  <si>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</si>
  <si>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WenQuanYi Zen Hei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</si>
  <si>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</si>
  <si>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</si>
  <si>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</si>
  <si>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</si>
  <si>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</si>
  <si>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末（目標價時點）；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WenQuanYi Zen Hei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</si>
  <si>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</si>
  <si>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</si>
  <si>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</si>
  <si>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</si>
  <si>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</si>
  <si>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</si>
  <si>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WenQuanYi Zen Hei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WenQuanYi Zen Hei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</si>
  <si>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</si>
  <si>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WenQuanYi Zen Hei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</si>
  <si>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</si>
  <si>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</si>
  <si>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</si>
  <si>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</si>
  <si>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</si>
  <si>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</si>
  <si>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</si>
  <si>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</si>
  <si>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</si>
  <si>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</si>
  <si>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</si>
  <si>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</si>
  <si>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</si>
  <si>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</si>
  <si>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</si>
  <si>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</si>
  <si>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</si>
  <si>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</si>
  <si>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</si>
  <si>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</si>
  <si>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</si>
  <si>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</si>
  <si>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</si>
  <si>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</si>
  <si>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</si>
  <si>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</si>
  <si>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</si>
  <si>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WenQuanYi Zen Hei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WenQuanYi Zen Hei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</si>
  <si>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</si>
  <si>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</si>
  <si>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</si>
  <si>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WenQuanYi Zen Hei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</si>
  <si>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</si>
  <si>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</si>
  <si>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</si>
  <si>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WenQuanYi Zen Hei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</si>
  <si>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</si>
  <si>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WenQuanYi Zen Hei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</si>
  <si>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</si>
  <si>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</si>
  <si>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</si>
  <si>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</si>
  <si>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</si>
  <si>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WenQuanYi Zen Hei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WenQuanYi Zen Hei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</si>
  <si>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</si>
  <si>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</si>
  <si>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</si>
  <si>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</si>
  <si>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</si>
  <si>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</si>
  <si>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</si>
  <si>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</si>
  <si>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</si>
  <si>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WenQuanYi Zen Hei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</si>
  <si>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</si>
  <si>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</si>
  <si>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WenQuanYi Zen Hei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WenQuanYi Zen Hei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</si>
  <si>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</si>
  <si>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</si>
  <si>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</si>
  <si>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WenQuanYi Zen Hei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WenQuanYi Zen Hei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WenQuanYi Zen Hei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</si>
  <si>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</si>
  <si>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</si>
  <si>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</si>
  <si>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WenQuanYi Zen Hei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</si>
  <si>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WenQuanYi Zen Hei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</si>
  <si>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WenQuanYi Zen Hei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</si>
  <si>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</si>
  <si>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</si>
  <si>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</si>
  <si>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</si>
  <si>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</si>
  <si>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</si>
  <si>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</si>
  <si>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</si>
  <si>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</si>
  <si>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2026-09-24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</si>
  <si>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</si>
  <si>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</si>
  <si>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</si>
  <si>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</si>
  <si>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2026-09-25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</si>
  <si>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</si>
  <si>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</si>
  <si>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</si>
  <si>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</si>
  <si>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</si>
  <si>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</si>
  <si>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</si>
  <si>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</si>
  <si>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</si>
  <si>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</si>
  <si>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</si>
  <si>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</si>
  <si>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</si>
  <si>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</si>
  <si>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</si>
  <si>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</si>
  <si>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</si>
  <si>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</si>
  <si>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</si>
  <si>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</si>
  <si>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</si>
  <si>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</si>
  <si>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</si>
  <si>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WenQuanYi Zen Hei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</si>
  <si>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</si>
  <si>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</si>
  <si>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</si>
  <si>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</si>
  <si>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</si>
  <si>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</si>
  <si>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</si>
  <si>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</si>
  <si>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</si>
  <si>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WenQuanYi Zen Hei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WenQuanYi Zen Hei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</si>
  <si>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</si>
  <si>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</si>
  <si>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</si>
  <si>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</si>
  <si>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</si>
  <si>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</si>
  <si>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WenQuanYi Zen Hei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WenQuanYi Zen Hei"/>
        <family val="2"/>
      </rPr>
      <t xml:space="preserve">不同，不可混用</t>
    </r>
  </si>
  <si>
    <r>
      <rPr>
        <b val="true"/>
        <sz val="11"/>
        <color rgb="FFFFFFFF"/>
        <rFont val="WenQuanYi Zen Hei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</si>
  <si>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共識｜季度｜營收</t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</si>
  <si>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</si>
  <si>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</si>
  <si>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</si>
  <si>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</si>
  <si>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WenQuanYi Zen Hei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WenQuanYi Zen Hei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WenQuanYi Zen Hei"/>
        <family val="2"/>
      </rPr>
      <t xml:space="preserve">位於指引區間上半部</t>
    </r>
  </si>
  <si>
    <t xml:space="preserve">公司指引（管理層預估）</t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</si>
  <si>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</si>
  <si>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</si>
  <si>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WenQuanYi Zen Hei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</si>
  <si>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調整後營業利益（低／高）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</si>
  <si>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WenQuanYi Zen Hei"/>
        <family val="2"/>
      </rPr>
      <t xml:space="preserve">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</si>
  <si>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</si>
  <si>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</si>
  <si>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WenQuanYi Zen Hei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</si>
  <si>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</si>
  <si>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</si>
  <si>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</si>
  <si>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</si>
  <si>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WenQuanYi Zen Hei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數字量級合理</t>
    </r>
  </si>
  <si>
    <t xml:space="preserve">最新分析師動作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</si>
  <si>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</si>
  <si>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</si>
  <si>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</si>
  <si>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WenQuanYi Zen Hei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WenQuanYi Zen Hei"/>
        <family val="2"/>
      </rPr>
      <t xml:space="preserve">，未經一手確認，不採用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</si>
  <si>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</si>
  <si>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</si>
  <si>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</si>
  <si>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（首次評等）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</si>
  <si>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</si>
  <si>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WenQuanYi Zen Hei"/>
        <family val="2"/>
      </rPr>
      <t xml:space="preserve">，未經一手確認，不採用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</si>
  <si>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</si>
  <si>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</si>
  <si>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</si>
  <si>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</si>
  <si>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WenQuanYi Zen Hei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WenQuanYi Zen Hei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WenQuanYi Zen Hei"/>
        <family val="2"/>
      </rPr>
      <t xml:space="preserve">引用，日期較舊）。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</si>
  <si>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</si>
  <si>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</si>
  <si>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WenQuanYi Zen Hei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，無法取得（不是不存在，而是免費來源未提供）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</si>
  <si>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</si>
  <si>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共識的高低區間：未公開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</si>
  <si>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</si>
  <si>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財報後更新）：未公開</t>
    </r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</si>
  <si>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</si>
  <si>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</si>
  <si>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</si>
  <si>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</si>
  <si>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</si>
  <si>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</si>
  <si>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</si>
  <si>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</si>
  <si>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</si>
  <si>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</si>
  <si>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</si>
  <si>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WenQuanYi Zen Hei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</si>
  <si>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WenQuanYi Zen Hei"/>
        <family val="2"/>
      </rPr>
      <t xml:space="preserve">設定；拆分公式依此建置（改動需重建）</t>
    </r>
  </si>
  <si>
    <r>
      <rPr>
        <sz val="10"/>
        <rFont val="WenQuanYi Zen Hei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</si>
  <si>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</si>
  <si>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WenQuanYi Zen Hei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WenQuanYi Zen Hei"/>
        <family val="2"/>
      </rPr>
      <t xml:space="preserve">實際營收）</t>
    </r>
  </si>
  <si>
    <r>
      <rPr>
        <sz val="9"/>
        <color rgb="FF595959"/>
        <rFont val="WenQuanYi Zen Hei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WenQuanYi Zen Hei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</si>
  <si>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</si>
  <si>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公司公布 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callFacts.activeGw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</si>
  <si>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季度實際｜營收</t>
  </si>
  <si>
    <t xml:space="preserve">實際數（公司公布）；空白＝待公布</t>
  </si>
  <si>
    <r>
      <rPr>
        <sz val="10"/>
        <rFont val="WenQuanYi Zen Hei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</si>
  <si>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</si>
  <si>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</si>
  <si>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</si>
  <si>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</si>
  <si>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</si>
  <si>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</si>
  <si>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</si>
  <si>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WenQuanYi Zen Hei"/>
        <family val="2"/>
      </rPr>
      <t xml:space="preserve">財報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</si>
  <si>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</si>
  <si>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</si>
  <si>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</si>
  <si>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WenQuanYi Zen Hei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（毛額）（低）</t>
    </r>
  </si>
  <si>
    <r>
      <rPr>
        <sz val="10"/>
        <rFont val="WenQuanYi Zen Hei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（毛額）（高）</t>
    </r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</si>
  <si>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</si>
  <si>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；只用於判斷季度差距是否為「拆法」</t>
    </r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</si>
  <si>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WenQuanYi Zen Hei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</si>
  <si>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</si>
  <si>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</si>
  <si>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</si>
  <si>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</si>
  <si>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</si>
  <si>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</si>
  <si>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</si>
  <si>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</si>
  <si>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</si>
  <si>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</si>
  <si>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</si>
  <si>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</si>
  <si>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</si>
  <si>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</si>
  <si>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WenQuanYi Zen Hei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WenQuanYi Zen Hei"/>
        <family val="2"/>
      </rPr>
      <t xml:space="preserve">造價計租的現金路徑</t>
    </r>
  </si>
  <si>
    <t xml:space="preserve">　租金合計</t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</si>
  <si>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</si>
  <si>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債務餘額的利息。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全年利息＝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1.176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1.8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2.98</t>
    </r>
    <r>
      <rPr>
        <sz val="9"/>
        <color rgb="FF595959"/>
        <rFont val="WenQuanYi Zen Hei"/>
        <family val="2"/>
      </rPr>
      <t xml:space="preserve">（見下方備忘）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</si>
  <si>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</si>
  <si>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</si>
  <si>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</si>
  <si>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</si>
  <si>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</si>
  <si>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</si>
  <si>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</si>
  <si>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</si>
  <si>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不發股息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</si>
  <si>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</si>
  <si>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電費多經房東轉嫁，預設關閉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</si>
  <si>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</si>
  <si>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</si>
  <si>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</si>
  <si>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</si>
  <si>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</si>
  <si>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</si>
  <si>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</si>
  <si>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</si>
  <si>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</si>
  <si>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</si>
  <si>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</si>
  <si>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</si>
  <si>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</si>
  <si>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</si>
  <si>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</si>
  <si>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</si>
  <si>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2.8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</si>
  <si>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</si>
  <si>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</si>
  <si>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</si>
  <si>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</si>
  <si>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</si>
  <si>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</si>
  <si>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</si>
  <si>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</si>
  <si>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</si>
  <si>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</si>
  <si>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</si>
  <si>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</si>
  <si>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</si>
  <si>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</si>
  <si>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</si>
  <si>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</si>
  <si>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</si>
  <si>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</si>
  <si>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</si>
  <si>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</si>
  <si>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</si>
  <si>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</si>
  <si>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</si>
  <si>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</si>
  <si>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</si>
  <si>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</si>
  <si>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</si>
  <si>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</si>
  <si>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</si>
  <si>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</si>
  <si>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</si>
  <si>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WenQuanYi Zen Hei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可轉債（期末）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</si>
  <si>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</si>
  <si>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</si>
  <si>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</si>
  <si>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</si>
  <si>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</si>
  <si>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</si>
  <si>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</si>
  <si>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</si>
  <si>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</si>
  <si>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</si>
  <si>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</si>
  <si>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</si>
  <si>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</si>
  <si>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</si>
  <si>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</si>
  <si>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</si>
  <si>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</si>
  <si>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</si>
  <si>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</si>
  <si>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</si>
  <si>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</si>
  <si>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</si>
  <si>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</si>
  <si>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</si>
  <si>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</si>
  <si>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</si>
  <si>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</si>
  <si>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</si>
  <si>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</si>
  <si>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</si>
  <si>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</si>
  <si>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</si>
  <si>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</si>
  <si>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</si>
  <si>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</si>
  <si>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</si>
  <si>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</si>
  <si>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</si>
  <si>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</si>
  <si>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</si>
  <si>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</si>
  <si>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</si>
  <si>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</si>
  <si>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</si>
  <si>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</si>
  <si>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</si>
  <si>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</si>
  <si>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</si>
  <si>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</si>
  <si>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</si>
  <si>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</si>
  <si>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</si>
  <si>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</si>
  <si>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</si>
  <si>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</si>
  <si>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</si>
  <si>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</si>
  <si>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模型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</si>
  <si>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</si>
  <si>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</si>
  <si>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焦點｜營收</t>
  </si>
  <si>
    <r>
      <rPr>
        <sz val="10"/>
        <rFont val="WenQuanYi Zen Hei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</si>
  <si>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</si>
  <si>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</si>
  <si>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焦點｜調整後營業利益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</si>
  <si>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</si>
  <si>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</si>
  <si>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</si>
  <si>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</si>
  <si>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</si>
  <si>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</si>
  <si>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</si>
  <si>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</si>
  <si>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軸</t>
    </r>
  </si>
  <si>
    <r>
      <rPr>
        <sz val="10"/>
        <rFont val="WenQuanYi Zen Hei"/>
        <family val="2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（模型）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</si>
  <si>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WenQuanYi Zen Hei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</si>
  <si>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，拆分依據）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</si>
  <si>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WenQuanYi Zen Hei"/>
        <family val="2"/>
      </rPr>
      <t xml:space="preserve">之間線性內插的季平均</t>
    </r>
  </si>
  <si>
    <r>
      <rPr>
        <sz val="10"/>
        <rFont val="WenQuanYi Zen Hei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</si>
  <si>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拆分依據</t>
    </r>
  </si>
  <si>
    <t xml:space="preserve">營收（模型）</t>
  </si>
  <si>
    <r>
      <rPr>
        <sz val="9"/>
        <color rgb="FF595959"/>
        <rFont val="WenQuanYi Zen Hei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</si>
  <si>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</si>
  <si>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WenQuanYi Zen Hei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</si>
  <si>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</si>
  <si>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</si>
  <si>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</si>
  <si>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WenQuanYi Zen Hei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WenQuanYi Zen Hei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</si>
  <si>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率（模型）</t>
    </r>
  </si>
  <si>
    <r>
      <rPr>
        <sz val="9"/>
        <color rgb="FF595959"/>
        <rFont val="WenQuanYi Zen Hei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加總＝年度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</si>
  <si>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</si>
  <si>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</si>
  <si>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WenQuanYi Zen Hei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</si>
  <si>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</si>
  <si>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WenQuanYi Zen Hei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</si>
  <si>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（毛額）（模型）</t>
    </r>
  </si>
  <si>
    <r>
      <rPr>
        <sz val="9"/>
        <color rgb="FF595959"/>
        <rFont val="WenQuanYi Zen Hei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</si>
  <si>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</si>
  <si>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</si>
  <si>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</si>
  <si>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</si>
  <si>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WenQuanYi Zen Hei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共識營收</t>
    </r>
  </si>
  <si>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（口徑未揭露）</t>
    </r>
  </si>
  <si>
    <t xml:space="preserve">口徑未揭露：只列不比較</t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</si>
  <si>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</si>
  <si>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</si>
  <si>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</si>
  <si>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</si>
  <si>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r>
      <rPr>
        <sz val="10"/>
        <rFont val="WenQuanYi Zen Hei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（毛額）（低）</t>
    </r>
  </si>
  <si>
    <r>
      <rPr>
        <sz val="10"/>
        <rFont val="WenQuanYi Zen Hei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（毛額）（高）</t>
    </r>
  </si>
  <si>
    <t xml:space="preserve">實際｜營收</t>
  </si>
  <si>
    <r>
      <rPr>
        <sz val="10"/>
        <rFont val="WenQuanYi Zen Hei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</si>
  <si>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</si>
  <si>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實際營收</t>
    </r>
  </si>
  <si>
    <t xml:space="preserve">實際｜調整後營業利益</t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</si>
  <si>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</si>
  <si>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</si>
  <si>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</si>
  <si>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</si>
  <si>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</si>
  <si>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</si>
  <si>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</si>
  <si>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</si>
  <si>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</si>
  <si>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</si>
  <si>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</si>
  <si>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</si>
  <si>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</si>
  <si>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</si>
  <si>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</si>
  <si>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</si>
  <si>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</si>
  <si>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</si>
  <si>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</si>
  <si>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</si>
  <si>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</si>
  <si>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</si>
  <si>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</si>
  <si>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</si>
  <si>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</si>
  <si>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</si>
  <si>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</si>
  <si>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</si>
  <si>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</si>
  <si>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</si>
  <si>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</si>
  <si>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</si>
  <si>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合計差距｜營收｜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</si>
  <si>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9"/>
        <color rgb="FF595959"/>
        <rFont val="WenQuanYi Zen Hei"/>
        <family val="2"/>
      </rPr>
      <t xml:space="preserve">所屬期間：年度模型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季度共識合計 −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</si>
  <si>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合計差距｜營收｜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</si>
  <si>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r>
      <rPr>
        <sz val="9"/>
        <color rgb="FF595959"/>
        <rFont val="WenQuanYi Zen Hei"/>
        <family val="2"/>
      </rPr>
      <t xml:space="preserve">所屬期間：年度模型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（全年指引中點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實際）−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</si>
  <si>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</si>
  <si>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</si>
  <si>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</si>
  <si>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</si>
  <si>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</si>
  <si>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</si>
  <si>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</si>
  <si>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</si>
  <si>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</si>
  <si>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</si>
  <si>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</si>
  <si>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</si>
  <si>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</si>
  <si>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</si>
  <si>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</si>
  <si>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</si>
  <si>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</si>
  <si>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</si>
  <si>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</si>
  <si>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</si>
  <si>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</si>
  <si>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</si>
  <si>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</si>
  <si>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</si>
  <si>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</si>
  <si>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</si>
  <si>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</si>
  <si>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</si>
  <si>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</si>
  <si>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</si>
  <si>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</si>
  <si>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</si>
  <si>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</si>
  <si>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</si>
  <si>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</si>
  <si>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</si>
  <si>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</si>
  <si>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</si>
  <si>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</si>
  <si>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WenQuanYi Zen Hei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</si>
  <si>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</si>
  <si>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句｜調整後營業利益</t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</si>
  <si>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</si>
  <si>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</si>
  <si>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r>
      <rPr>
        <b val="true"/>
        <sz val="10"/>
        <rFont val="WenQuanYi Zen Hei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）</t>
    </r>
  </si>
  <si>
    <t xml:space="preserve">核對｜營收</t>
  </si>
  <si>
    <r>
      <rPr>
        <sz val="10"/>
        <rFont val="WenQuanYi Zen Hei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</si>
  <si>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</si>
  <si>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</si>
  <si>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</si>
  <si>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</si>
  <si>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</si>
  <si>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</si>
  <si>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t xml:space="preserve">模型期間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</si>
  <si>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</si>
  <si>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</si>
  <si>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</si>
  <si>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</si>
  <si>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</si>
  <si>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</si>
  <si>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</si>
  <si>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</si>
  <si>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</si>
  <si>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</si>
  <si>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</si>
  <si>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</si>
  <si>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</si>
  <si>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</si>
  <si>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</si>
  <si>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</si>
  <si>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</si>
  <si>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</si>
  <si>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</si>
  <si>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</si>
  <si>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</si>
  <si>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</si>
  <si>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</si>
  <si>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</si>
  <si>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WenQuanYi Zen Hei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</si>
  <si>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</si>
  <si>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WenQuanYi Zen Hei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WenQuanYi Zen Hei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WenQuanYi Zen Hei"/>
        <family val="2"/>
      </rPr>
      <t xml:space="preserve">市場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</si>
  <si>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</si>
  <si>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</si>
  <si>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</si>
  <si>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</si>
  <si>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</si>
  <si>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</si>
  <si>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</si>
  <si>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</si>
  <si>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</si>
  <si>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</si>
  <si>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</si>
  <si>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</si>
  <si>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</si>
  <si>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</si>
  <si>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</si>
  <si>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</si>
  <si>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</si>
  <si>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</si>
  <si>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</si>
  <si>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</si>
  <si>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</si>
  <si>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4"/>
        <rFont val="WenQuanYi Zen Hei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WenQuanYi Zen Hei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</si>
  <si>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</si>
  <si>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</si>
  <si>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</si>
  <si>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</si>
  <si>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</si>
  <si>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</si>
  <si>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</si>
  <si>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</si>
  <si>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</si>
  <si>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</si>
  <si>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WenQuanYi Zen Hei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</si>
  <si>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WenQuanYi Zen Hei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</si>
  <si>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</si>
  <si>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WenQuanYi Zen Hei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WenQuanYi Zen Hei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</si>
  <si>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</si>
  <si>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WenQuanYi Zen Hei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WenQuanYi Zen Hei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</si>
  <si>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WenQuanYi Zen Hei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</si>
  <si>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</si>
  <si>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WenQuanYi Zen Hei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</si>
  <si>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WenQuanYi Zen Hei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WenQuanYi Zen Hei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</si>
  <si>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WenQuanYi Zen Hei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</si>
  <si>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WenQuanYi Zen Hei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</si>
  <si>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</si>
  <si>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</si>
  <si>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WenQuanYi Zen Hei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</si>
  <si>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</si>
  <si>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WenQuanYi Zen Hei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</si>
  <si>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</si>
  <si>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</si>
  <si>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</si>
  <si>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</si>
  <si>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</si>
  <si>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</si>
  <si>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</si>
  <si>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WenQuanYi Zen Hei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</si>
  <si>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在帳租賃（未折現，已起租）</t>
    </r>
  </si>
  <si>
    <r>
      <rPr>
        <sz val="9"/>
        <color rgb="FF595959"/>
        <rFont val="WenQuanYi Zen Hei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WenQuanYi Zen Hei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</si>
  <si>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</si>
  <si>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</si>
  <si>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單站按造價計租上限</t>
    </r>
  </si>
  <si>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</si>
  <si>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已揭露租賃承諾合計</t>
    </r>
  </si>
  <si>
    <r>
      <rPr>
        <sz val="9"/>
        <color rgb="FF595959"/>
        <rFont val="WenQuanYi Zen Hei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</si>
  <si>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</si>
  <si>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</si>
  <si>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WenQuanYi Zen Hei"/>
        <family val="2"/>
      </rPr>
      <t xml:space="preserve">等託管，以及其他房東）。殘差大是必然——公司不揭露逐站</t>
    </r>
  </si>
  <si>
    <r>
      <rPr>
        <sz val="10"/>
        <rFont val="WenQuanYi Zen Hei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總額</t>
    </r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</si>
  <si>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</si>
  <si>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</si>
  <si>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</si>
  <si>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</si>
  <si>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</si>
  <si>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</si>
  <si>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WenQuanYi Zen Hei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</si>
  <si>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</si>
  <si>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WenQuanYi Zen Hei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</si>
  <si>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</si>
  <si>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</si>
  <si>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</si>
  <si>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</si>
  <si>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WenQuanYi Zen Hei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</si>
  <si>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</si>
  <si>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</si>
  <si>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</si>
  <si>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</si>
  <si>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</si>
  <si>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</si>
  <si>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</si>
  <si>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</si>
  <si>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</si>
  <si>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WenQuanYi Zen Hei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</si>
  <si>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</si>
  <si>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</si>
  <si>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</si>
  <si>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</si>
  <si>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</si>
  <si>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</si>
  <si>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</si>
  <si>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</si>
  <si>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</si>
  <si>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</si>
  <si>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WenQuanYi Zen Hei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</si>
  <si>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</si>
  <si>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</si>
  <si>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</si>
  <si>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</si>
  <si>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</si>
  <si>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</si>
  <si>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</si>
  <si>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</si>
  <si>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WenQuanYi Zen Hei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</si>
  <si>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WenQuanYi Zen Hei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</si>
  <si>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</si>
  <si>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</si>
  <si>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WenQuanYi Zen Hei"/>
        <family val="2"/>
      </rPr>
      <t xml:space="preserve">可轉債</t>
    </r>
  </si>
  <si>
    <t xml:space="preserve">2032-10</t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</si>
  <si>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</si>
  <si>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</si>
  <si>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</si>
  <si>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WenQuanYi Zen Hei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</si>
  <si>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</si>
  <si>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</si>
  <si>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</si>
  <si>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</si>
  <si>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</si>
  <si>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WenQuanYi Zen Hei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</si>
  <si>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</si>
  <si>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</si>
  <si>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</si>
  <si>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</si>
  <si>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</si>
  <si>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WenQuanYi Zen Hei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WenQuanYi Zen Hei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WenQuanYi Zen Hei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</si>
  <si>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</t>
    </r>
  </si>
  <si>
    <r>
      <rPr>
        <sz val="9"/>
        <color rgb="FF595959"/>
        <rFont val="WenQuanYi Zen Hei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WenQuanYi Zen Hei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</si>
  <si>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WenQuanYi Zen Hei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</si>
  <si>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</si>
  <si>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</si>
  <si>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</si>
  <si>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</si>
  <si>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</si>
  <si>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</si>
  <si>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</si>
  <si>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WenQuanYi Zen Hei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</si>
  <si>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</si>
  <si>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</si>
  <si>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WenQuanYi Zen Hei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WenQuanYi Zen Hei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</si>
  <si>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</si>
  <si>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WenQuanYi Zen Hei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</si>
  <si>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</si>
  <si>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</si>
  <si>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</si>
  <si>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</si>
  <si>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</si>
  <si>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r>
      <rPr>
        <sz val="10"/>
        <rFont val="WenQuanYi Zen Hei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WenQuanYi Zen Hei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</si>
  <si>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</si>
  <si>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</si>
  <si>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</si>
  <si>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</si>
  <si>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</si>
  <si>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</si>
  <si>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</si>
  <si>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</si>
  <si>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</si>
  <si>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</si>
  <si>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WenQuanYi Zen Hei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</si>
  <si>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</si>
  <si>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</si>
  <si>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WenQuanYi Zen Hei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</si>
  <si>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</si>
  <si>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</si>
  <si>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</si>
  <si>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</si>
  <si>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</si>
  <si>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</si>
  <si>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</si>
  <si>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</si>
  <si>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</si>
  <si>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</si>
  <si>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</si>
  <si>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</si>
  <si>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</si>
  <si>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</si>
  <si>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</si>
  <si>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年化</t>
    </r>
  </si>
  <si>
    <r>
      <rPr>
        <b val="true"/>
        <sz val="14"/>
        <rFont val="WenQuanYi Zen Hei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</si>
  <si>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</si>
  <si>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</si>
  <si>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</si>
  <si>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</si>
  <si>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</si>
  <si>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</si>
  <si>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</si>
  <si>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</si>
  <si>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</si>
  <si>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</si>
  <si>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</si>
  <si>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WenQuanYi Zen Hei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</si>
  <si>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</si>
  <si>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</si>
  <si>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WenQuanYi Zen Hei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WenQuanYi Zen Hei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</si>
  <si>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合計</t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</si>
  <si>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</si>
  <si>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</si>
  <si>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</si>
  <si>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</si>
  <si>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</si>
  <si>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</si>
  <si>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</si>
  <si>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</si>
  <si>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</si>
  <si>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</si>
  <si>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WenQuanYi Zen Hei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</si>
  <si>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</si>
  <si>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</si>
  <si>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WenQuanYi Zen Hei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</si>
  <si>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</si>
  <si>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WenQuanYi Zen Hei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</si>
  <si>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WenQuanYi Zen Hei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</si>
  <si>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出資承諾</t>
    </r>
  </si>
  <si>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</si>
  <si>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</si>
  <si>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WenQuanYi Zen Hei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</si>
  <si>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</si>
  <si>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</si>
  <si>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WenQuanYi Zen Hei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WenQuanYi Zen Hei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</si>
  <si>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WenQuanYi Zen Hei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</si>
  <si>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</si>
  <si>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</si>
  <si>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</si>
  <si>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</si>
  <si>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WenQuanYi Zen Hei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WenQuanYi Zen Hei"/>
        <family val="2"/>
      </rPr>
      <t xml:space="preserve">年）</t>
    </r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</si>
  <si>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</si>
  <si>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</si>
  <si>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</si>
  <si>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</si>
  <si>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</si>
  <si>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</si>
  <si>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</si>
  <si>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</si>
  <si>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</si>
  <si>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</si>
  <si>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WenQuanYi Zen Hei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</si>
  <si>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</si>
  <si>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</si>
  <si>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</si>
  <si>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</si>
  <si>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</si>
  <si>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</si>
  <si>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</si>
  <si>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</si>
  <si>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</si>
  <si>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</si>
  <si>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</si>
  <si>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</si>
  <si>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</si>
  <si>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WenQuanYi Zen Hei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</si>
  <si>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</si>
  <si>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</si>
  <si>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</si>
  <si>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</si>
  <si>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</si>
  <si>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</si>
  <si>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</si>
  <si>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</si>
  <si>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</si>
  <si>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</si>
  <si>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</si>
  <si>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</si>
  <si>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</si>
  <si>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</si>
  <si>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</si>
  <si>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</si>
  <si>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WenQuanYi Zen Hei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</si>
  <si>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</si>
  <si>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</si>
  <si>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</si>
  <si>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</si>
  <si>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</si>
  <si>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</si>
  <si>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</si>
  <si>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</si>
  <si>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</si>
  <si>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</si>
  <si>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</si>
  <si>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</si>
  <si>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模型期營收</t>
    </r>
  </si>
  <si>
    <t xml:space="preserve">營運資金變動</t>
  </si>
  <si>
    <r>
      <rPr>
        <sz val="9"/>
        <color rgb="FF595959"/>
        <rFont val="WenQuanYi Zen Hei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</si>
  <si>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</si>
  <si>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</si>
  <si>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</si>
  <si>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</si>
  <si>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</si>
  <si>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</si>
  <si>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</si>
  <si>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WenQuanYi Zen Hei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</si>
  <si>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</si>
  <si>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</si>
  <si>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</si>
  <si>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</si>
  <si>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</si>
  <si>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</si>
  <si>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</si>
  <si>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WenQuanYi Zen Hei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WenQuanYi Zen Hei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</si>
  <si>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</si>
  <si>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</si>
  <si>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</si>
  <si>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</si>
  <si>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</si>
  <si>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</si>
  <si>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</si>
  <si>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</si>
  <si>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</si>
  <si>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</si>
  <si>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</si>
  <si>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</si>
  <si>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</si>
  <si>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</si>
  <si>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</si>
  <si>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</si>
  <si>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</si>
  <si>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</si>
  <si>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</si>
  <si>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</si>
  <si>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起折回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末）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</si>
  <si>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</si>
  <si>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</si>
  <si>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</si>
  <si>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</si>
  <si>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</si>
  <si>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</si>
  <si>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</si>
  <si>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</si>
  <si>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</si>
  <si>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</si>
  <si>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</si>
  <si>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</si>
  <si>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</si>
  <si>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</si>
  <si>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</si>
  <si>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</si>
  <si>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</si>
  <si>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</si>
  <si>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</si>
  <si>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</si>
  <si>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</si>
  <si>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</si>
  <si>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</si>
  <si>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</si>
  <si>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</si>
  <si>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</si>
  <si>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</si>
  <si>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</si>
  <si>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r>
      <rPr>
        <sz val="10"/>
        <rFont val="WenQuanYi Zen Hei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</si>
  <si>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10"/>
        <rFont val="WenQuanYi Zen Hei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</si>
  <si>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</si>
  <si>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</si>
  <si>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</si>
  <si>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</si>
  <si>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</si>
  <si>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</si>
  <si>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</si>
  <si>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</si>
  <si>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</si>
  <si>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</si>
  <si>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末）</t>
    </r>
  </si>
  <si>
    <r>
      <rPr>
        <b val="true"/>
        <sz val="11"/>
        <color rgb="FFFFFFFF"/>
        <rFont val="WenQuanYi Zen Hei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</si>
  <si>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</si>
  <si>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</si>
  <si>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</si>
  <si>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</si>
  <si>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</si>
  <si>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</si>
  <si>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</si>
  <si>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</si>
  <si>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</si>
  <si>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</si>
  <si>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</si>
  <si>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</si>
  <si>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</si>
  <si>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</si>
  <si>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</si>
  <si>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</si>
  <si>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</si>
  <si>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</si>
  <si>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</si>
  <si>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</si>
  <si>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</si>
  <si>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</si>
  <si>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</si>
  <si>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</si>
  <si>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</si>
  <si>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</si>
  <si>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</si>
  <si>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</si>
  <si>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</si>
  <si>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</si>
  <si>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</si>
  <si>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</si>
  <si>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</si>
  <si>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</si>
  <si>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</si>
  <si>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</si>
  <si>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</si>
  <si>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</si>
  <si>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</si>
  <si>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$23.8m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</si>
  <si>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$27.2m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</si>
  <si>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$30.6m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</si>
  <si>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$34.0m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</si>
  <si>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$37.4m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</si>
  <si>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</si>
  <si>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</si>
  <si>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</si>
  <si>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</si>
  <si>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</si>
  <si>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</si>
  <si>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</si>
  <si>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</si>
  <si>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</si>
  <si>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</si>
  <si>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</si>
  <si>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</si>
  <si>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</si>
  <si>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</si>
  <si>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</si>
  <si>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WenQuanYi Zen Hei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</si>
  <si>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</si>
  <si>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</si>
  <si>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</si>
  <si>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</si>
  <si>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</si>
  <si>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</si>
  <si>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</si>
  <si>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</si>
  <si>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</si>
  <si>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</si>
  <si>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</si>
  <si>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</si>
  <si>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</si>
  <si>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</si>
  <si>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WenQuanYi Zen Hei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</si>
  <si>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WenQuanYi Zen Hei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</si>
  <si>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WenQuanYi Zen Hei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WenQuanYi Zen Hei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WenQuanYi Zen Hei"/>
        <family val="2"/>
      </rPr>
      <t xml:space="preserve">）與五期外部資金需求。</t>
    </r>
  </si>
  <si>
    <r>
      <rPr>
        <sz val="9"/>
        <color rgb="FF595959"/>
        <rFont val="WenQuanYi Zen Hei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WenQuanYi Zen Hei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WenQuanYi Zen Hei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</si>
  <si>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</si>
  <si>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</si>
  <si>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</si>
  <si>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</si>
  <si>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</si>
  <si>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</si>
  <si>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</si>
  <si>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</si>
  <si>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</si>
  <si>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</si>
  <si>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</si>
  <si>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</si>
  <si>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</si>
  <si>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</si>
  <si>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</si>
  <si>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</si>
  <si>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</si>
  <si>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</si>
  <si>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</si>
  <si>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WenQuanYi Zen Hei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WenQuanYi Zen Hei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</si>
  <si>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</si>
  <si>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</si>
  <si>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</si>
  <si>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</si>
  <si>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≥2.9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</si>
  <si>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1.176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</si>
  <si>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</si>
  <si>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</si>
  <si>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WenQuanYi Zen Hei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</si>
  <si>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</si>
  <si>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</si>
  <si>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</si>
  <si>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</si>
  <si>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</si>
  <si>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</si>
  <si>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</si>
  <si>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</si>
  <si>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</si>
  <si>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</si>
  <si>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</si>
  <si>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</si>
  <si>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</si>
  <si>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</si>
  <si>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WenQuanYi Zen Hei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</si>
  <si>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</si>
  <si>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</si>
  <si>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</si>
  <si>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WenQuanYi Zen Hei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</si>
  <si>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</si>
  <si>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WenQuanYi Zen Hei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</si>
  <si>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</si>
  <si>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</si>
  <si>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</si>
  <si>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</si>
  <si>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</si>
  <si>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</si>
  <si>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</si>
  <si>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</si>
  <si>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</si>
  <si>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</si>
  <si>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</si>
  <si>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</si>
  <si>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</si>
  <si>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</si>
  <si>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</si>
  <si>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</si>
  <si>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</si>
  <si>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</si>
  <si>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</si>
  <si>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</si>
  <si>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</si>
  <si>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</si>
  <si>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</si>
  <si>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</si>
  <si>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v4.4</t>
  </si>
  <si>
    <t xml:space="preserve">09-26</t>
  </si>
  <si>
    <r>
      <rPr>
        <sz val="10"/>
        <rFont val="WenQuanYi Zen Hei"/>
        <family val="2"/>
      </rPr>
      <t xml:space="preserve">季度層：資金模型新增「季度追蹤」分頁，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新增「季度追蹤」分頁與「輸入與假設」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區（</t>
    </r>
    <r>
      <rPr>
        <sz val="10"/>
        <rFont val="Arial"/>
        <family val="0"/>
        <charset val="1"/>
      </rPr>
      <t xml:space="preserve">2026 Q3–2027 Q4</t>
    </r>
    <r>
      <rPr>
        <sz val="10"/>
        <rFont val="WenQuanYi Zen Hei"/>
        <family val="2"/>
      </rPr>
      <t xml:space="preserve">，由年度模型拆分、只用於追蹤；實際數輸入格預設空白）；差距超過 </t>
    </r>
    <r>
      <rPr>
        <sz val="10"/>
        <rFont val="Arial"/>
        <family val="0"/>
        <charset val="1"/>
      </rPr>
      <t xml:space="preserve">5% </t>
    </r>
    <r>
      <rPr>
        <sz val="10"/>
        <rFont val="WenQuanYi Zen Hei"/>
        <family val="2"/>
      </rPr>
      <t xml:space="preserve">的項目附差異原因（觀點／拆法／已知限制）；一頁摘要驗證點改為焦點季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個指標，方法註腳與最新分析師動作移至市場共識分頁</t>
    </r>
  </si>
  <si>
    <t xml:space="preserve">$47.9</t>
  </si>
  <si>
    <t xml:space="preserve">無變動（季度層不影響年度數字與目標價）</t>
  </si>
  <si>
    <t xml:space="preserve">v4.3</t>
  </si>
  <si>
    <t xml:space="preserve">09-25</t>
  </si>
  <si>
    <r>
      <rPr>
        <sz val="10"/>
        <rFont val="WenQuanYi Zen Hei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WenQuanYi Zen Hei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WenQuanYi Zen Hei"/>
        <family val="2"/>
      </rPr>
      <t xml:space="preserve">（股權發行價同步）</t>
    </r>
  </si>
  <si>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WenQuanYi Zen Hei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WenQuanYi Zen Hei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WenQuanYi Zen Hei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</si>
  <si>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</si>
  <si>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WenQuanYi Zen Hei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WenQuanYi Zen Hei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WenQuanYi Zen Hei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</si>
  <si>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</si>
  <si>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</si>
  <si>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</si>
  <si>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WenQuanYi Zen Hei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WenQuanYi Zen Hei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情境區間以模擬運算表計算（活公式）</t>
    </r>
  </si>
  <si>
    <r>
      <rPr>
        <sz val="10"/>
        <rFont val="WenQuanYi Zen Hei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WenQuanYi Zen Hei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</si>
  <si>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</si>
  <si>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</si>
  <si>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WenQuanYi Zen Hei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WenQuanYi Zen Hei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WenQuanYi Zen Hei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</si>
  <si>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</si>
  <si>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WenQuanYi Zen Hei"/>
        <family val="2"/>
      </rPr>
      <t xml:space="preserve">穩態倍數一致）</t>
    </r>
  </si>
  <si>
    <r>
      <rPr>
        <sz val="10"/>
        <rFont val="WenQuanYi Zen Hei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WenQuanYi Zen Hei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WenQuanYi Zen Hei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WenQuanYi Zen Hei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</si>
  <si>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</si>
  <si>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頁）</t>
    </r>
  </si>
  <si>
    <t xml:space="preserve">$21.3</t>
  </si>
  <si>
    <r>
      <rPr>
        <sz val="10"/>
        <rFont val="WenQuanYi Zen Hei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</si>
  <si>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</si>
  <si>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WenQuanYi Zen Hei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WenQuanYi Zen Hei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WenQuanYi Zen Hei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WenQuanYi Zen Hei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</si>
  <si>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</si>
  <si>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</si>
  <si>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</si>
  <si>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年收入／建置成本倍數</t>
    </r>
  </si>
  <si>
    <r>
      <rPr>
        <sz val="10"/>
        <rFont val="WenQuanYi Zen Hei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</si>
  <si>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</si>
  <si>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</si>
  <si>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</si>
  <si>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WenQuanYi Zen Hei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</si>
  <si>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</si>
  <si>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左欄分類選單；日期與版本同步</t>
    </r>
  </si>
  <si>
    <r>
      <rPr>
        <sz val="10"/>
        <rFont val="WenQuanYi Zen Hei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</si>
  <si>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</si>
  <si>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WenQuanYi Zen Hei"/>
        <family val="2"/>
      </rPr>
      <t xml:space="preserve">改動</t>
    </r>
  </si>
  <si>
    <t xml:space="preserve">v2.6–2.8</t>
  </si>
  <si>
    <r>
      <rPr>
        <sz val="10"/>
        <rFont val="WenQuanYi Zen Hei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WenQuanYi Zen Hei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年收入敏感性</t>
    </r>
  </si>
  <si>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WenQuanYi Zen Hei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</si>
  <si>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</si>
  <si>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</si>
  <si>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</si>
  <si>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</si>
  <si>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WenQuanYi Zen Hei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</si>
  <si>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</si>
  <si>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WenQuanYi Zen Hei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</si>
  <si>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WenQuanYi Zen Hei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</si>
  <si>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</si>
  <si>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</si>
  <si>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</si>
  <si>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</si>
  <si>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</si>
  <si>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</si>
  <si>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WenQuanYi Zen Hei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WenQuanYi Zen Hei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</si>
  <si>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</si>
  <si>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</si>
  <si>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</si>
  <si>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WenQuanYi Zen Hei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WenQuanYi Zen Hei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</si>
  <si>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</si>
  <si>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</si>
  <si>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</si>
  <si>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</si>
  <si>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WenQuanYi Zen Hei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</si>
  <si>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</si>
  <si>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</si>
  <si>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</si>
  <si>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WenQuanYi Zen Hei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</t>
    </r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</si>
  <si>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</si>
  <si>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</si>
  <si>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</si>
  <si>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</si>
  <si>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</si>
  <si>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WenQuanYi Zen Hei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</si>
  <si>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</si>
  <si>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</si>
  <si>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為下限</t>
    </r>
  </si>
  <si>
    <t xml:space="preserve">$16</t>
  </si>
  <si>
    <t xml:space="preserve">v1.3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</si>
  <si>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WenQuanYi Zen Hei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WenQuanYi Zen Hei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</si>
  <si>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與服務營收下修</t>
    </r>
  </si>
  <si>
    <t xml:space="preserve">v1.2</t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</si>
  <si>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WenQuanYi Zen Hei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</si>
  <si>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</si>
  <si>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</si>
  <si>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WenQuanYi Zen Hei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</si>
  <si>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</si>
  <si>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WenQuanYi Zen Hei"/>
        <family val="2"/>
      </rPr>
      <t xml:space="preserve">數據</t>
    </r>
  </si>
  <si>
    <r>
      <rPr>
        <sz val="10"/>
        <rFont val="WenQuanYi Zen Hei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</si>
  <si>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</si>
  <si>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</si>
  <si>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</si>
  <si>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WenQuanYi Zen Hei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WenQuanYi Zen Hei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WenQuanYi Zen Hei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WenQuanYi Zen Hei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WenQuanYi Zen Hei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WenQuanYi Zen Hei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WenQuanYi Zen Hei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</si>
  <si>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WenQuanYi Zen Hei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WenQuanYi Zen Hei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WenQuanYi Zen Hei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WenQuanYi Zen Hei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WenQuanYi Zen Hei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WenQuanYi Zen Hei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WenQuanYi Zen Hei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</si>
  <si>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WenQuanYi Zen Hei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WenQuanYi Zen Hei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WenQuanYi Zen Hei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</si>
  <si>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WenQuanYi Zen Hei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WenQuanYi Zen Hei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WenQuanYi Zen Hei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WenQuanYi Zen Hei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WenQuanYi Zen Hei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WenQuanYi Zen Hei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</si>
  <si>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WenQuanYi Zen Hei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</si>
  <si>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WenQuanYi Zen Hei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WenQuanYi Zen Hei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WenQuanYi Zen Hei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</si>
  <si>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</si>
  <si>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WenQuanYi Zen Hei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WenQuanYi Zen Hei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WenQuanYi Zen Hei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WenQuanYi Zen Hei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</si>
  <si>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r>
      <rPr>
        <sz val="10"/>
        <rFont val="WenQuanYi Zen Hei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WenQuanYi Zen Hei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WenQuanYi Zen Hei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WenQuanYi Zen Hei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WenQuanYi Zen Hei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WenQuanYi Zen Hei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WenQuanYi Zen Hei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WenQuanYi Zen Hei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</si>
  <si>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WenQuanYi Zen Hei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WenQuanYi Zen Hei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WenQuanYi Zen Hei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WenQuanYi Zen Hei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</si>
  <si>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</si>
  <si>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WenQuanYi Zen Hei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WenQuanYi Zen Hei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WenQuanYi Zen Hei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WenQuanYi Zen Hei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WenQuanYi Zen Hei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</si>
  <si>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</si>
  <si>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WenQuanYi Zen Hei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WenQuanYi Zen Hei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WenQuanYi Zen Hei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</si>
  <si>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</si>
  <si>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WenQuanYi Zen Hei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WenQuanYi Zen Hei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WenQuanYi Zen Hei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WenQuanYi Zen Hei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WenQuanYi Zen Hei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WenQuanYi Zen Hei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</si>
  <si>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WenQuanYi Zen Hei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WenQuanYi Zen Hei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</si>
  <si>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WenQuanYi Zen Hei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WenQuanYi Zen Hei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WenQuanYi Zen Hei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WenQuanYi Zen Hei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</si>
  <si>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</si>
  <si>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WenQuanYi Zen Hei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改為債務設上限、殘差以股權支應。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</si>
</sst>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0.00"/>
    <numFmt numFmtId="173" formatCode="0.000"/>
    <numFmt numFmtId="174" formatCode="#,##0.000"/>
    <numFmt numFmtId="175" formatCode="@"/>
    <numFmt numFmtId="176" formatCode="0.00%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4.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  <row r="27" customFormat="false" ht="14.15" hidden="false" customHeight="false" outlineLevel="0" collapsed="false">
      <c r="A27" s="4" t="s">
        <v>21</v>
      </c>
    </row>
    <row r="28" customFormat="false" ht="14.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4.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4.15" hidden="false" customHeight="false" outlineLevel="0" collapsed="false">
      <c r="A39" s="3" t="s">
        <v>31</v>
      </c>
    </row>
    <row r="40" customFormat="false" ht="14.15" hidden="false" customHeight="false" outlineLevel="0" collapsed="false">
      <c r="A40" s="3" t="s">
        <v>32</v>
      </c>
    </row>
    <row r="41" customFormat="false" ht="14.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34</v>
      </c>
    </row>
    <row r="44" customFormat="false" ht="14.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4.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3"/>
    </row>
    <row r="48" customFormat="false" ht="14.15" hidden="false" customHeight="false" outlineLevel="0" collapsed="false">
      <c r="A48" s="2" t="s">
        <v>38</v>
      </c>
    </row>
    <row r="49" customFormat="false" ht="14.15" hidden="false" customHeight="false" outlineLevel="0" collapsed="false">
      <c r="A49" s="3" t="s">
        <v>39</v>
      </c>
    </row>
    <row r="50" customFormat="false" ht="14.15" hidden="false" customHeight="false" outlineLevel="0" collapsed="false">
      <c r="A50" s="4" t="s">
        <v>40</v>
      </c>
    </row>
    <row r="51" customFormat="false" ht="14.15" hidden="false" customHeight="false" outlineLevel="0" collapsed="false">
      <c r="A51" s="3" t="s">
        <v>41</v>
      </c>
    </row>
    <row r="52" customFormat="false" ht="14.15" hidden="false" customHeight="false" outlineLevel="0" collapsed="false">
      <c r="A52" s="3" t="s">
        <v>42</v>
      </c>
    </row>
    <row r="53" customFormat="false" ht="14.15" hidden="false" customHeight="false" outlineLevel="0" collapsed="false">
      <c r="A53" s="4" t="s">
        <v>43</v>
      </c>
    </row>
    <row r="54" customFormat="false" ht="14.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2" t="s">
        <v>45</v>
      </c>
    </row>
    <row r="57" customFormat="false" ht="14.15" hidden="false" customHeight="false" outlineLevel="0" collapsed="false">
      <c r="A57" s="4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 t="s">
        <v>48</v>
      </c>
    </row>
    <row r="60" customFormat="false" ht="15" hidden="false" customHeight="false" outlineLevel="0" collapsed="false">
      <c r="A60" s="3"/>
    </row>
    <row r="61" customFormat="false" ht="14.15" hidden="false" customHeight="false" outlineLevel="0" collapsed="false">
      <c r="A61" s="5" t="s">
        <v>49</v>
      </c>
    </row>
    <row r="62" customFormat="false" ht="14.15" hidden="false" customHeight="false" outlineLevel="0" collapsed="false">
      <c r="A62" s="4" t="s">
        <v>50</v>
      </c>
    </row>
    <row r="63" customFormat="false" ht="14.15" hidden="false" customHeight="false" outlineLevel="0" collapsed="false">
      <c r="A63" s="3" t="s">
        <v>51</v>
      </c>
    </row>
    <row r="64" customFormat="false" ht="14.15" hidden="false" customHeight="false" outlineLevel="0" collapsed="false">
      <c r="A64" s="4" t="s">
        <v>52</v>
      </c>
    </row>
    <row r="65" customFormat="false" ht="14.15" hidden="false" customHeight="false" outlineLevel="0" collapsed="false">
      <c r="A65" s="4" t="s">
        <v>53</v>
      </c>
    </row>
    <row r="66" customFormat="false" ht="14.15" hidden="false" customHeight="false" outlineLevel="0" collapsed="false">
      <c r="A66" s="4" t="s">
        <v>54</v>
      </c>
    </row>
    <row r="67" customFormat="false" ht="14.15" hidden="false" customHeight="false" outlineLevel="0" collapsed="false">
      <c r="A67" s="4" t="s">
        <v>55</v>
      </c>
    </row>
    <row r="68" customFormat="false" ht="15" hidden="false" customHeight="false" outlineLevel="0" collapsed="false">
      <c r="A68" s="3"/>
    </row>
    <row r="69" customFormat="false" ht="14.15" hidden="false" customHeight="false" outlineLevel="0" collapsed="false">
      <c r="A69" s="5" t="s">
        <v>56</v>
      </c>
    </row>
    <row r="70" customFormat="false" ht="14.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 t="s">
        <v>58</v>
      </c>
    </row>
    <row r="72" customFormat="false" ht="14.15" hidden="false" customHeight="false" outlineLevel="0" collapsed="false">
      <c r="A72" s="3" t="s">
        <v>59</v>
      </c>
    </row>
    <row r="73" customFormat="false" ht="15" hidden="false" customHeight="false" outlineLevel="0" collapsed="false">
      <c r="A73" s="3"/>
    </row>
    <row r="74" customFormat="false" ht="14.15" hidden="false" customHeight="false" outlineLevel="0" collapsed="false">
      <c r="A74" s="5" t="s">
        <v>60</v>
      </c>
    </row>
    <row r="75" customFormat="false" ht="14.15" hidden="false" customHeight="false" outlineLevel="0" collapsed="false">
      <c r="A75" s="4" t="s">
        <v>61</v>
      </c>
    </row>
    <row r="76" customFormat="false" ht="14.15" hidden="false" customHeight="false" outlineLevel="0" collapsed="false">
      <c r="A76" s="3" t="s">
        <v>62</v>
      </c>
    </row>
    <row r="77" customFormat="false" ht="14.15" hidden="false" customHeight="false" outlineLevel="0" collapsed="false">
      <c r="A77" s="3" t="s">
        <v>63</v>
      </c>
    </row>
    <row r="78" customFormat="false" ht="15" hidden="false" customHeight="false" outlineLevel="0" collapsed="false">
      <c r="A78" s="3"/>
    </row>
    <row r="79" customFormat="false" ht="14.15" hidden="false" customHeight="false" outlineLevel="0" collapsed="false">
      <c r="A79" s="5" t="s">
        <v>64</v>
      </c>
    </row>
    <row r="80" customFormat="false" ht="14.15" hidden="false" customHeight="false" outlineLevel="0" collapsed="false">
      <c r="A80" s="3" t="s">
        <v>65</v>
      </c>
    </row>
    <row r="81" customFormat="false" ht="14.15" hidden="false" customHeight="false" outlineLevel="0" collapsed="false">
      <c r="A81" s="3" t="s">
        <v>66</v>
      </c>
    </row>
    <row r="82" customFormat="false" ht="14.15" hidden="false" customHeight="false" outlineLevel="0" collapsed="false">
      <c r="A82" s="4" t="s">
        <v>67</v>
      </c>
    </row>
    <row r="83" customFormat="false" ht="14.15" hidden="false" customHeight="false" outlineLevel="0" collapsed="false">
      <c r="A8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71</v>
      </c>
      <c r="C5" s="10" t="n">
        <f aca="false">評價_DCF與目標價!C56</f>
        <v>-1</v>
      </c>
    </row>
    <row r="6" customFormat="false" ht="15" hidden="false" customHeight="false" outlineLevel="1" collapsed="false">
      <c r="A6" s="3" t="s">
        <v>72</v>
      </c>
      <c r="C6" s="11" t="str">
        <f aca="false">CHOOSE(C5+2,"賣出","中立","買進")</f>
        <v>賣出</v>
      </c>
    </row>
    <row r="7" customFormat="false" ht="15" hidden="false" customHeight="false" outlineLevel="1" collapsed="false">
      <c r="A7" s="2" t="s">
        <v>73</v>
      </c>
      <c r="B7" s="12" t="s">
        <v>74</v>
      </c>
      <c r="C7" s="13" t="n">
        <f aca="false">評價_DCF與目標價!C47</f>
        <v>47.9384361086369</v>
      </c>
    </row>
    <row r="8" customFormat="false" ht="15" hidden="false" customHeight="false" outlineLevel="1" collapsed="false">
      <c r="A8" s="3" t="s">
        <v>75</v>
      </c>
      <c r="B8" s="12" t="s">
        <v>74</v>
      </c>
      <c r="C8" s="13" t="n">
        <f aca="false">輸入與假設!$C$98</f>
        <v>90.13</v>
      </c>
    </row>
    <row r="9" customFormat="false" ht="15" hidden="false" customHeight="false" outlineLevel="1" collapsed="false">
      <c r="A9" s="3" t="s">
        <v>76</v>
      </c>
      <c r="B9" s="12" t="s">
        <v>77</v>
      </c>
      <c r="C9" s="14" t="n">
        <f aca="false">C7/C8-1</f>
        <v>-0.46811898248489</v>
      </c>
    </row>
    <row r="10" customFormat="false" ht="15" hidden="false" customHeight="false" outlineLevel="1" collapsed="false">
      <c r="A10" s="3" t="s">
        <v>78</v>
      </c>
      <c r="B10" s="12" t="s">
        <v>74</v>
      </c>
      <c r="C10" s="13" t="n">
        <f aca="false">評價_DCF與目標價!C61</f>
        <v>32.6112889396302</v>
      </c>
      <c r="D10" s="13" t="n">
        <f aca="false">評價_DCF與目標價!D61</f>
        <v>71.6858468760584</v>
      </c>
    </row>
    <row r="11" customFormat="false" ht="15" hidden="false" customHeight="false" outlineLevel="1" collapsed="false">
      <c r="A11" s="3" t="s">
        <v>79</v>
      </c>
      <c r="B11" s="12" t="s">
        <v>74</v>
      </c>
      <c r="C11" s="13" t="n">
        <f aca="false">評價_DCF與目標價!C63</f>
        <v>31.0540794815724</v>
      </c>
      <c r="D11" s="13" t="n">
        <f aca="false">評價_DCF與目標價!D63</f>
        <v>47.9384361086369</v>
      </c>
    </row>
    <row r="12" customFormat="false" ht="15" hidden="false" customHeight="false" outlineLevel="1" collapsed="false">
      <c r="A12" s="3" t="s">
        <v>80</v>
      </c>
      <c r="B12" s="12" t="s">
        <v>74</v>
      </c>
      <c r="C12" s="13" t="n">
        <f aca="false">評價_DCF與目標價!$C$57</f>
        <v>76.6105</v>
      </c>
    </row>
    <row r="13" customFormat="false" ht="15" hidden="false" customHeight="false" outlineLevel="1" collapsed="false">
      <c r="A13" s="3" t="s">
        <v>81</v>
      </c>
      <c r="B13" s="12" t="s">
        <v>74</v>
      </c>
      <c r="C13" s="13" t="n">
        <f aca="false">C7-C12</f>
        <v>-28.6720638913631</v>
      </c>
    </row>
    <row r="14" customFormat="false" ht="15" hidden="false" customHeight="false" outlineLevel="1" collapsed="false">
      <c r="A14" s="2" t="s">
        <v>82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$47.9，較現價 $90.13 低 47%；情境區間 $32.6–$71.7，方法區間 $31.1–$47.9；點位低於賣出門檻 $76.6 達 $28.7。</v>
      </c>
    </row>
    <row r="15" customFormat="false" ht="15" hidden="false" customHeight="false" outlineLevel="1" collapsed="false">
      <c r="A15" s="3" t="s">
        <v>83</v>
      </c>
      <c r="C15" s="11" t="str">
        <f aca="false">評價_DCF與目標價!C69</f>
        <v>情境區間上緣 $71.7 低於現價 $90.13：賣出在三個擴張情境下都成立。</v>
      </c>
    </row>
    <row r="17" customFormat="false" ht="15" hidden="false" customHeight="false" outlineLevel="0" collapsed="false">
      <c r="A17" s="8" t="s">
        <v>84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1" collapsed="false">
      <c r="A18" s="15" t="s">
        <v>85</v>
      </c>
      <c r="B18" s="15" t="s">
        <v>86</v>
      </c>
      <c r="C18" s="16" t="s">
        <v>87</v>
      </c>
      <c r="D18" s="16" t="s">
        <v>88</v>
      </c>
      <c r="E18" s="16" t="s">
        <v>89</v>
      </c>
    </row>
    <row r="19" customFormat="false" ht="15" hidden="false" customHeight="false" outlineLevel="1" collapsed="false">
      <c r="A19" s="3" t="s">
        <v>90</v>
      </c>
      <c r="B19" s="12" t="s">
        <v>91</v>
      </c>
      <c r="C19" s="11" t="n">
        <f aca="false">損益!C26</f>
        <v>13.066</v>
      </c>
      <c r="D19" s="11" t="n">
        <f aca="false">損益!D26</f>
        <v>26.1275</v>
      </c>
      <c r="E19" s="11" t="n">
        <f aca="false">損益!E26</f>
        <v>36.6694155</v>
      </c>
    </row>
    <row r="20" customFormat="false" ht="15" hidden="false" customHeight="false" outlineLevel="1" collapsed="false">
      <c r="A20" s="3" t="s">
        <v>92</v>
      </c>
      <c r="B20" s="12" t="s">
        <v>91</v>
      </c>
      <c r="C20" s="11" t="n">
        <f aca="false">輸入與假設!$C$176</f>
        <v>12.882</v>
      </c>
      <c r="D20" s="11" t="n">
        <f aca="false">輸入與假設!$D$176</f>
        <v>26.376</v>
      </c>
      <c r="E20" s="11" t="n">
        <f aca="false">輸入與假設!$E$176</f>
        <v>42.55</v>
      </c>
    </row>
    <row r="21" customFormat="false" ht="15" hidden="false" customHeight="false" outlineLevel="1" collapsed="false">
      <c r="A21" s="3" t="s">
        <v>93</v>
      </c>
      <c r="B21" s="12" t="s">
        <v>77</v>
      </c>
      <c r="C21" s="14" t="n">
        <f aca="false">C19/C20-1</f>
        <v>0.0142834963514982</v>
      </c>
      <c r="D21" s="14" t="n">
        <f aca="false">D19/D20-1</f>
        <v>-0.00942144373673048</v>
      </c>
      <c r="E21" s="14" t="n">
        <f aca="false">E19/E20-1</f>
        <v>-0.138204101057579</v>
      </c>
    </row>
    <row r="22" customFormat="false" ht="15" hidden="false" customHeight="false" outlineLevel="1" collapsed="false">
      <c r="A22" s="3" t="s">
        <v>94</v>
      </c>
      <c r="B22" s="12" t="s">
        <v>91</v>
      </c>
      <c r="C22" s="11" t="n">
        <f aca="false">輸入與假設!$C$148+損益!C19</f>
        <v>7.63067</v>
      </c>
      <c r="D22" s="11" t="n">
        <f aca="false">損益!D31</f>
        <v>15.8071375</v>
      </c>
      <c r="E22" s="11" t="n">
        <f aca="false">損益!E31</f>
        <v>22.73503761</v>
      </c>
    </row>
    <row r="23" customFormat="false" ht="15" hidden="false" customHeight="false" outlineLevel="1" collapsed="false">
      <c r="A23" s="3" t="s">
        <v>95</v>
      </c>
      <c r="B23" s="12" t="s">
        <v>91</v>
      </c>
      <c r="C23" s="11" t="n">
        <f aca="false">輸入與假設!$C$177</f>
        <v>7.574</v>
      </c>
      <c r="D23" s="11" t="n">
        <f aca="false">輸入與假設!$D$177</f>
        <v>16.656</v>
      </c>
      <c r="E23" s="11" t="n">
        <f aca="false">輸入與假設!$E$177</f>
        <v>28.857</v>
      </c>
    </row>
    <row r="24" customFormat="false" ht="15" hidden="false" customHeight="false" outlineLevel="1" collapsed="false">
      <c r="A24" s="3" t="s">
        <v>96</v>
      </c>
      <c r="B24" s="12" t="s">
        <v>77</v>
      </c>
      <c r="C24" s="14" t="n">
        <f aca="false">C22/C23-1</f>
        <v>0.00748217586480049</v>
      </c>
      <c r="D24" s="14" t="n">
        <f aca="false">D22/D23-1</f>
        <v>-0.0509643671950049</v>
      </c>
      <c r="E24" s="14" t="n">
        <f aca="false">E22/E23-1</f>
        <v>-0.212148261773573</v>
      </c>
      <c r="I24" s="12" t="s">
        <v>97</v>
      </c>
    </row>
    <row r="25" customFormat="false" ht="15" hidden="false" customHeight="false" outlineLevel="1" collapsed="false">
      <c r="A25" s="3" t="s">
        <v>98</v>
      </c>
      <c r="B25" s="12" t="s">
        <v>77</v>
      </c>
      <c r="C25" s="14" t="n">
        <f aca="false">C22/C19</f>
        <v>0.584009643349151</v>
      </c>
      <c r="D25" s="14" t="n">
        <f aca="false">D22/D19</f>
        <v>0.605</v>
      </c>
      <c r="E25" s="14" t="n">
        <f aca="false">E22/E19</f>
        <v>0.62</v>
      </c>
    </row>
    <row r="26" customFormat="false" ht="15" hidden="false" customHeight="false" outlineLevel="1" collapsed="false">
      <c r="A26" s="3" t="s">
        <v>99</v>
      </c>
      <c r="B26" s="12" t="s">
        <v>77</v>
      </c>
      <c r="C26" s="14" t="n">
        <f aca="false">輸入與假設!$C$178</f>
        <v>0.588</v>
      </c>
      <c r="D26" s="14" t="n">
        <f aca="false">輸入與假設!$D$178</f>
        <v>0.632</v>
      </c>
      <c r="E26" s="14" t="n">
        <f aca="false">輸入與假設!$E$178</f>
        <v>0.678</v>
      </c>
    </row>
    <row r="27" customFormat="false" ht="15" hidden="false" customHeight="false" outlineLevel="1" collapsed="false">
      <c r="A27" s="3" t="s">
        <v>100</v>
      </c>
      <c r="B27" s="12" t="s">
        <v>101</v>
      </c>
      <c r="C27" s="14" t="n">
        <f aca="false">C25-C26</f>
        <v>-0.00399035665084946</v>
      </c>
      <c r="D27" s="14" t="n">
        <f aca="false">D25-D26</f>
        <v>-0.027</v>
      </c>
      <c r="E27" s="14" t="n">
        <f aca="false">E25-E26</f>
        <v>-0.0580000000000001</v>
      </c>
      <c r="I27" s="12" t="s">
        <v>102</v>
      </c>
    </row>
    <row r="28" customFormat="false" ht="15" hidden="false" customHeight="false" outlineLevel="1" collapsed="false">
      <c r="A28" s="3" t="s">
        <v>103</v>
      </c>
      <c r="B28" s="12" t="s">
        <v>91</v>
      </c>
      <c r="C28" s="11" t="n">
        <f aca="false">輸入與假設!$C$132+輸入與假設!C$73</f>
        <v>36.975</v>
      </c>
      <c r="D28" s="11" t="n">
        <f aca="false">輸入與假設!D$73</f>
        <v>38.335</v>
      </c>
      <c r="E28" s="11" t="n">
        <f aca="false">輸入與假設!E$73</f>
        <v>29.41</v>
      </c>
    </row>
    <row r="29" customFormat="false" ht="15" hidden="false" customHeight="false" outlineLevel="1" collapsed="false">
      <c r="A29" s="3" t="s">
        <v>104</v>
      </c>
      <c r="B29" s="12" t="s">
        <v>91</v>
      </c>
      <c r="C29" s="11" t="n">
        <f aca="false">輸入與假設!$C$183</f>
        <v>35.953</v>
      </c>
      <c r="D29" s="11" t="n">
        <f aca="false">輸入與假設!$D$183</f>
        <v>46.476</v>
      </c>
      <c r="E29" s="11" t="n">
        <f aca="false">輸入與假設!$E$183</f>
        <v>50.129</v>
      </c>
    </row>
    <row r="30" customFormat="false" ht="15" hidden="false" customHeight="false" outlineLevel="1" collapsed="false">
      <c r="A30" s="3" t="s">
        <v>105</v>
      </c>
      <c r="B30" s="12" t="s">
        <v>77</v>
      </c>
      <c r="C30" s="14" t="n">
        <f aca="false">C28/C29-1</f>
        <v>0.0284260006119099</v>
      </c>
      <c r="D30" s="14" t="n">
        <f aca="false">D28/D29-1</f>
        <v>-0.175165676908512</v>
      </c>
      <c r="E30" s="14" t="n">
        <f aca="false">E28/E29-1</f>
        <v>-0.413313650780985</v>
      </c>
      <c r="I30" s="7" t="s">
        <v>106</v>
      </c>
    </row>
    <row r="31" customFormat="false" ht="15" hidden="false" customHeight="false" outlineLevel="1" collapsed="false">
      <c r="A31" s="3" t="s">
        <v>107</v>
      </c>
      <c r="B31" s="12" t="s">
        <v>91</v>
      </c>
      <c r="C31" s="11" t="n">
        <f aca="false">資產負債_新債與新股!C22</f>
        <v>45.3924958156778</v>
      </c>
      <c r="D31" s="11" t="n">
        <f aca="false">資產負債_新債與新股!D22</f>
        <v>71.8853373202291</v>
      </c>
      <c r="E31" s="11" t="n">
        <f aca="false">資產負債_新債與新股!E22</f>
        <v>84.3099096068628</v>
      </c>
    </row>
    <row r="32" customFormat="false" ht="15" hidden="false" customHeight="false" outlineLevel="1" collapsed="false">
      <c r="A32" s="3" t="s">
        <v>108</v>
      </c>
      <c r="B32" s="12" t="s">
        <v>91</v>
      </c>
      <c r="C32" s="11" t="n">
        <f aca="false">輸入與假設!$C$185</f>
        <v>46.442</v>
      </c>
      <c r="D32" s="11" t="n">
        <f aca="false">輸入與假設!$D$185</f>
        <v>74.707</v>
      </c>
      <c r="E32" s="11" t="n">
        <f aca="false">輸入與假設!$E$185</f>
        <v>96.039</v>
      </c>
    </row>
    <row r="33" customFormat="false" ht="15" hidden="false" customHeight="false" outlineLevel="1" collapsed="false">
      <c r="A33" s="3" t="s">
        <v>109</v>
      </c>
      <c r="B33" s="12" t="s">
        <v>77</v>
      </c>
      <c r="C33" s="14" t="n">
        <f aca="false">C31/C32-1</f>
        <v>-0.0225981694225537</v>
      </c>
      <c r="D33" s="14" t="n">
        <f aca="false">D31/D32-1</f>
        <v>-0.0377697227806088</v>
      </c>
      <c r="E33" s="14" t="n">
        <f aca="false">E31/E32-1</f>
        <v>-0.122128410261844</v>
      </c>
      <c r="I33" s="7" t="s">
        <v>110</v>
      </c>
    </row>
    <row r="34" customFormat="false" ht="15" hidden="false" customHeight="false" outlineLevel="1" collapsed="false">
      <c r="A34" s="3" t="s">
        <v>111</v>
      </c>
      <c r="C34" s="11" t="str">
        <f aca="false">MID(IF(ABS(C21)&gt;輸入與假設!$C$218,"、營收 "&amp;IF(C21&lt;0,"−","+")&amp;TEXT(ABS(C21)*100,"0.0")&amp;"%","")&amp;IF(ABS(C24)&gt;輸入與假設!$C$218,"、EBITDA "&amp;IF(C24&lt;0,"−","+")&amp;TEXT(ABS(C24)*100,"0.0")&amp;"%","")&amp;IF(ABS(C30)&gt;輸入與假設!$C$218,"、CapEx "&amp;IF(C30&lt;0,"−","+")&amp;TEXT(ABS(C30)*100,"0.0")&amp;"%",""),2,999)</f>
        <v/>
      </c>
      <c r="D34" s="11" t="str">
        <f aca="false">MID(IF(ABS(D21)&gt;輸入與假設!$C$218,"、營收 "&amp;IF(D21&lt;0,"−","+")&amp;TEXT(ABS(D21)*100,"0.0")&amp;"%","")&amp;IF(ABS(D24)&gt;輸入與假設!$C$218,"、EBITDA "&amp;IF(D24&lt;0,"−","+")&amp;TEXT(ABS(D24)*100,"0.0")&amp;"%","")&amp;IF(ABS(D30)&gt;輸入與假設!$C$218,"、CapEx "&amp;IF(D30&lt;0,"−","+")&amp;TEXT(ABS(D30)*100,"0.0")&amp;"%",""),2,999)</f>
        <v>EBITDA −5.1%、CapEx −17.5%</v>
      </c>
      <c r="E34" s="11" t="str">
        <f aca="false">MID(IF(ABS(E21)&gt;輸入與假設!$C$218,"、營收 "&amp;IF(E21&lt;0,"−","+")&amp;TEXT(ABS(E21)*100,"0.0")&amp;"%","")&amp;IF(ABS(E24)&gt;輸入與假設!$C$218,"、EBITDA "&amp;IF(E24&lt;0,"−","+")&amp;TEXT(ABS(E24)*100,"0.0")&amp;"%","")&amp;IF(ABS(E30)&gt;輸入與假設!$C$218,"、CapEx "&amp;IF(E30&lt;0,"−","+")&amp;TEXT(ABS(E30)*100,"0.0")&amp;"%",""),2,999)</f>
        <v>營收 −13.8%、EBITDA −21.2%、CapEx −41.3%</v>
      </c>
      <c r="I34" s="7" t="s">
        <v>112</v>
      </c>
    </row>
    <row r="35" customFormat="false" ht="15" hidden="false" customHeight="false" outlineLevel="1" collapsed="false">
      <c r="A35" s="3" t="s">
        <v>113</v>
      </c>
      <c r="C35" s="10" t="n">
        <f aca="false">IF(C34&lt;&gt;"",1,IF(D34&lt;&gt;"",2,IF(E34&lt;&gt;"",3,0)))</f>
        <v>2</v>
      </c>
    </row>
    <row r="36" customFormat="false" ht="15" hidden="false" customHeight="false" outlineLevel="1" collapsed="false">
      <c r="A36" s="2" t="s">
        <v>114</v>
      </c>
      <c r="C36" s="11" t="str">
        <f aca="false">CHOOSE(C35+1,"FY26–FY28 營收、EBITDA、CapEx 與共識差距皆在 "&amp;IF(ROUND(ABS(輸入與假設!$C$218)*100,4)=INT(ROUND(ABS(輸入與假設!$C$218)*100,4)),TEXT(ROUND(ABS(輸入與假設!$C$218)*100,4),"0"),TEXT(ROUND(ABS(輸入與假設!$C$218)*100,4),"0.0"))&amp;"%"&amp;" 以內。","分歧始於 FY26（"&amp;C34&amp;"）"&amp;"；FY27 "&amp;IF(D34="","回到 "&amp;IF(ROUND(ABS(輸入與假設!$C$218)*100,4)=INT(ROUND(ABS(輸入與假設!$C$218)*100,4)),TEXT(ROUND(ABS(輸入與假設!$C$218)*100,4),"0"),TEXT(ROUND(ABS(輸入與假設!$C$218)*100,4),"0.0"))&amp;"%"&amp;" 以內",D34)&amp;"；FY28 "&amp;IF(E34="","回到 "&amp;IF(ROUND(ABS(輸入與假設!$C$218)*100,4)=INT(ROUND(ABS(輸入與假設!$C$218)*100,4)),TEXT(ROUND(ABS(輸入與假設!$C$218)*100,4),"0"),TEXT(ROUND(ABS(輸入與假設!$C$218)*100,4),"0.0"))&amp;"%"&amp;" 以內",E34)&amp;"。","FY26 營收、EBITDA、CapEx 與共識差距在 "&amp;IF(ROUND(ABS(輸入與假設!$C$218)*100,4)=INT(ROUND(ABS(輸入與假設!$C$218)*100,4)),TEXT(ROUND(ABS(輸入與假設!$C$218)*100,4),"0"),TEXT(ROUND(ABS(輸入與假設!$C$218)*100,4),"0.0"))&amp;"%"&amp;" 以內；分歧始於 FY27（"&amp;D34&amp;"）"&amp;"；FY28 "&amp;IF(E34="","回到 "&amp;IF(ROUND(ABS(輸入與假設!$C$218)*100,4)=INT(ROUND(ABS(輸入與假設!$C$218)*100,4)),TEXT(ROUND(ABS(輸入與假設!$C$218)*100,4),"0"),TEXT(ROUND(ABS(輸入與假設!$C$218)*100,4),"0.0"))&amp;"%"&amp;" 以內",E34)&amp;"。","FY26–FY27 營收、EBITDA、CapEx 與共識差距在 "&amp;IF(ROUND(ABS(輸入與假設!$C$218)*100,4)=INT(ROUND(ABS(輸入與假設!$C$218)*100,4)),TEXT(ROUND(ABS(輸入與假設!$C$218)*100,4),"0"),TEXT(ROUND(ABS(輸入與假設!$C$218)*100,4),"0.0"))&amp;"%"&amp;" 以內；分歧始於 FY28（"&amp;E34&amp;"）。")</f>
        <v>FY26 營收、EBITDA、CapEx 與共識差距在 5% 以內；分歧始於 FY27（EBITDA −5.1%、CapEx −17.5%）；FY28 營收 −13.8%、EBITDA −21.2%、CapEx −41.3%。</v>
      </c>
    </row>
    <row r="37" customFormat="false" ht="15" hidden="false" customHeight="false" outlineLevel="1" collapsed="false">
      <c r="A37" s="3" t="s">
        <v>115</v>
      </c>
      <c r="C37" s="11" t="str">
        <f aca="false">IF(ABS(C33)&gt;輸入與假設!$C$218,"觀點","")</f>
        <v/>
      </c>
      <c r="D37" s="11" t="str">
        <f aca="false">IF(ABS(C33)&gt;輸入與假設!$C$218,"淨負債隨 CapEx 與融資需求而定（模型 CapEx 差距 "&amp;IF(C30&lt;0,"−","+")&amp;TEXT(ABS(C30)*100,"#,##0.0")&amp;"%"&amp;"）；共識淨負債不含租賃、口徑未揭露","")</f>
        <v/>
      </c>
      <c r="I37" s="12" t="s">
        <v>116</v>
      </c>
    </row>
    <row r="38" customFormat="false" ht="15" hidden="false" customHeight="false" outlineLevel="1" collapsed="false">
      <c r="A38" s="3" t="s">
        <v>117</v>
      </c>
      <c r="C38" s="11" t="str">
        <f aca="false">IF(ABS(D24)&gt;輸入與假設!$C$218,"觀點","")</f>
        <v>觀點</v>
      </c>
      <c r="D38" s="11" t="str">
        <f aca="false">IF(ABS(D24)&gt;輸入與假設!$C$218,"EBITDA 率 "&amp;IF(D25&lt;0,"−","")&amp;TEXT(ABS(D25)*100,"#,##0.0")&amp;"%"&amp;" 對共識 "&amp;IF(D26&lt;0,"−","")&amp;TEXT(ABS(D26)*100,"#,##0.0")&amp;"%"&amp;"：模型由 "&amp;IF(輸入與假設!$C$36&lt;0,"−","")&amp;TEXT(ABS(輸入與假設!$C$36)*100,"#,##0")&amp;"%"&amp;" 線性爬升至 FY30 穩態 "&amp;IF(輸入與假設!$C$37&lt;0,"−","")&amp;TEXT(ABS(輸入與假設!$C$37)*100,"#,##0")&amp;"%"&amp;"；營收差距 "&amp;IF(D21&lt;0,"−","+")&amp;TEXT(ABS(D21)*100,"#,##0.0")&amp;"%","")</f>
        <v>EBITDA 率 60.5% 對共識 63.2%：模型由 59% 線性爬升至 FY30 穩態 65%；營收差距 −0.9%</v>
      </c>
    </row>
    <row r="39" customFormat="false" ht="15" hidden="false" customHeight="false" outlineLevel="1" collapsed="false">
      <c r="A39" s="3" t="s">
        <v>118</v>
      </c>
      <c r="C39" s="11" t="str">
        <f aca="false">IF(ABS(D30)&gt;輸入與假設!$C$218,"觀點","")</f>
        <v>觀點</v>
      </c>
      <c r="D39" s="11" t="str">
        <f aca="false">IF(ABS(D30)&gt;輸入與假設!$C$218,"CapEx 依新增 MW 計算：新增 "&amp;IF(輸入與假設!D$66&lt;0,"−","")&amp;TEXT(ABS(輸入與假設!D$66),"#,##0")&amp;" MW × 每 MW $"&amp;IF(輸入與假設!D$57&lt;0,"−","")&amp;TEXT(ABS(輸入與假設!D$57),"#,##0")&amp;"m（含次年預建）；共識口徑未揭露","")</f>
        <v>CapEx 依新增 MW 計算：新增 1,250 MW × 每 MW $34m（含次年預建）；共識口徑未揭露</v>
      </c>
    </row>
    <row r="40" customFormat="false" ht="15" hidden="false" customHeight="false" outlineLevel="1" collapsed="false">
      <c r="A40" s="3" t="s">
        <v>119</v>
      </c>
      <c r="C40" s="11" t="str">
        <f aca="false">IF(ABS(D33)&gt;輸入與假設!$C$218,"觀點","")</f>
        <v/>
      </c>
      <c r="D40" s="11" t="str">
        <f aca="false">IF(ABS(D33)&gt;輸入與假設!$C$218,"淨負債隨 CapEx 與融資需求而定（模型 CapEx 差距 "&amp;IF(D30&lt;0,"−","+")&amp;TEXT(ABS(D30)*100,"#,##0.0")&amp;"%"&amp;"）；共識淨負債不含租賃、口徑未揭露","")</f>
        <v/>
      </c>
    </row>
    <row r="41" customFormat="false" ht="15" hidden="false" customHeight="false" outlineLevel="1" collapsed="false">
      <c r="A41" s="3" t="s">
        <v>120</v>
      </c>
      <c r="C41" s="11" t="str">
        <f aca="false">IF(ABS(E21)&gt;輸入與假設!$C$218,"觀點","")</f>
        <v>觀點</v>
      </c>
      <c r="D41" s="11" t="str">
        <f aca="false">IF(ABS(E21)&gt;輸入與假設!$C$218,"營收由模型 MW 路徑決定：FY28 年底 Accepted "&amp;IF(輸入與假設!E$26&lt;0,"−","")&amp;TEXT(ABS(輸入與假設!E$26),"#,##0")&amp;" MW（目前情境）；共識未揭露 MW 假設","")</f>
        <v>營收由模型 MW 路徑決定：FY28 年底 Accepted 4,000 MW（目前情境）；共識未揭露 MW 假設</v>
      </c>
    </row>
    <row r="42" customFormat="false" ht="15" hidden="false" customHeight="false" outlineLevel="1" collapsed="false">
      <c r="A42" s="3" t="s">
        <v>121</v>
      </c>
      <c r="C42" s="11" t="str">
        <f aca="false">IF(ABS(E24)&gt;輸入與假設!$C$218,"觀點","")</f>
        <v>觀點</v>
      </c>
      <c r="D42" s="11" t="str">
        <f aca="false">IF(ABS(E24)&gt;輸入與假設!$C$218,"營收差距 "&amp;IF(E21&lt;0,"−","+")&amp;TEXT(ABS(E21)*100,"#,##0.0")&amp;"%"&amp;"，加上 EBITDA 率 "&amp;IF(E25&lt;0,"−","")&amp;TEXT(ABS(E25)*100,"#,##0.0")&amp;"%"&amp;" 對共識 "&amp;IF(E26&lt;0,"−","")&amp;TEXT(ABS(E26)*100,"#,##0.0")&amp;"%","")</f>
        <v>營收差距 −13.8%，加上 EBITDA 率 62.0% 對共識 67.8%</v>
      </c>
    </row>
    <row r="43" customFormat="false" ht="15" hidden="false" customHeight="false" outlineLevel="1" collapsed="false">
      <c r="A43" s="3" t="s">
        <v>122</v>
      </c>
      <c r="C43" s="11" t="str">
        <f aca="false">IF(ABS(E30)&gt;輸入與假設!$C$218,"觀點","")</f>
        <v>觀點</v>
      </c>
      <c r="D43" s="11" t="str">
        <f aca="false">IF(ABS(E30)&gt;輸入與假設!$C$218,"CapEx 依新增 MW 計算：新增 "&amp;IF(輸入與假設!E$66&lt;0,"−","")&amp;TEXT(ABS(輸入與假設!E$66),"#,##0")&amp;" MW × 每 MW $"&amp;IF(輸入與假設!E$57&lt;0,"−","")&amp;TEXT(ABS(輸入與假設!E$57),"#,##0")&amp;"m（含次年預建）；共識口徑未揭露","")</f>
        <v>CapEx 依新增 MW 計算：新增 900 MW × 每 MW $34m（含次年預建）；共識口徑未揭露</v>
      </c>
    </row>
    <row r="44" customFormat="false" ht="15" hidden="false" customHeight="false" outlineLevel="1" collapsed="false">
      <c r="A44" s="3" t="s">
        <v>123</v>
      </c>
      <c r="C44" s="11" t="str">
        <f aca="false">IF(ABS(E33)&gt;輸入與假設!$C$218,"觀點","")</f>
        <v>觀點</v>
      </c>
      <c r="D44" s="11" t="str">
        <f aca="false">IF(ABS(E33)&gt;輸入與假設!$C$218,"淨負債隨 CapEx 與融資需求而定（模型 CapEx 差距 "&amp;IF(E30&lt;0,"−","+")&amp;TEXT(ABS(E30)*100,"#,##0.0")&amp;"%"&amp;"）；共識淨負債不含租賃、口徑未揭露","")</f>
        <v>淨負債隨 CapEx 與融資需求而定（模型 CapEx 差距 −41.3%）；共識淨負債不含租賃、口徑未揭露</v>
      </c>
    </row>
    <row r="45" customFormat="false" ht="15" hidden="false" customHeight="false" outlineLevel="1" collapsed="false">
      <c r="A45" s="3" t="s">
        <v>124</v>
      </c>
      <c r="C45" s="10" t="n">
        <f aca="false">SUMPRODUCT(--(ABS(C21:E21)&gt;輸入與假設!$C$218))+SUMPRODUCT(--(ABS(C24:E24)&gt;輸入與假設!$C$218))+SUMPRODUCT(--(ABS(C30:E30)&gt;輸入與假設!$C$218))+SUMPRODUCT(--(ABS(C33:E33)&gt;輸入與假設!$C$218))</f>
        <v>6</v>
      </c>
      <c r="I45" s="7" t="s">
        <v>125</v>
      </c>
    </row>
    <row r="46" customFormat="false" ht="15" hidden="false" customHeight="false" outlineLevel="1" collapsed="false">
      <c r="A46" s="3" t="s">
        <v>126</v>
      </c>
      <c r="C46" s="11" t="str">
        <f aca="false">IF(C45=0,"","超過 "&amp;IF(ROUND(ABS(輸入與假設!$C$218)*100,4)=INT(ROUND(ABS(輸入與假設!$C$218)*100,4)),TEXT(ROUND(ABS(輸入與假設!$C$218)*100,4),"0"),TEXT(ROUND(ABS(輸入與假設!$C$218)*100,4),"0.0"))&amp;"%"&amp;" 的 "&amp;C45&amp;" 項差距："&amp;MID(IF((COUNTIF(C37,"觀點")+COUNTIF(C38,"觀點")+COUNTIF(C39,"觀點")+COUNTIF(C40,"觀點")+COUNTIF(C41,"觀點")+COUNTIF(C42,"觀點")+COUNTIF(C43,"觀點")+COUNTIF(C44,"觀點"))&gt;0,"、觀點 "&amp;(COUNTIF(C37,"觀點")+COUNTIF(C38,"觀點")+COUNTIF(C39,"觀點")+COUNTIF(C40,"觀點")+COUNTIF(C41,"觀點")+COUNTIF(C42,"觀點")+COUNTIF(C43,"觀點")+COUNTIF(C44,"觀點"))&amp;" 項","")&amp;IF((COUNTIF(C37,"拆法")+COUNTIF(C38,"拆法")+COUNTIF(C39,"拆法")+COUNTIF(C40,"拆法")+COUNTIF(C41,"拆法")+COUNTIF(C42,"拆法")+COUNTIF(C43,"拆法")+COUNTIF(C44,"拆法"))&gt;0,"、拆法 "&amp;(COUNTIF(C37,"拆法")+COUNTIF(C38,"拆法")+COUNTIF(C39,"拆法")+COUNTIF(C40,"拆法")+COUNTIF(C41,"拆法")+COUNTIF(C42,"拆法")+COUNTIF(C43,"拆法")+COUNTIF(C44,"拆法"))&amp;" 項","")&amp;IF((COUNTIF(C37,"已知限制")+COUNTIF(C38,"已知限制")+COUNTIF(C39,"已知限制")+COUNTIF(C40,"已知限制")+COUNTIF(C41,"已知限制")+COUNTIF(C42,"已知限制")+COUNTIF(C43,"已知限制")+COUNTIF(C44,"已知限制"))&gt;0,"、已知限制 "&amp;(COUNTIF(C37,"已知限制")+COUNTIF(C38,"已知限制")+COUNTIF(C39,"已知限制")+COUNTIF(C40,"已知限制")+COUNTIF(C41,"已知限制")+COUNTIF(C42,"已知限制")+COUNTIF(C43,"已知限制")+COUNTIF(C44,"已知限制"))&amp;" 項","")&amp;IF((C45-((COUNTIF(C37,"觀點")+COUNTIF(C38,"觀點")+COUNTIF(C39,"觀點")+COUNTIF(C40,"觀點")+COUNTIF(C41,"觀點")+COUNTIF(C42,"觀點")+COUNTIF(C43,"觀點")+COUNTIF(C44,"觀點"))+(COUNTIF(C37,"拆法")+COUNTIF(C38,"拆法")+COUNTIF(C39,"拆法")+COUNTIF(C40,"拆法")+COUNTIF(C41,"拆法")+COUNTIF(C42,"拆法")+COUNTIF(C43,"拆法")+COUNTIF(C44,"拆法"))+(COUNTIF(C37,"已知限制")+COUNTIF(C38,"已知限制")+COUNTIF(C39,"已知限制")+COUNTIF(C40,"已知限制")+COUNTIF(C41,"已知限制")+COUNTIF(C42,"已知限制")+COUNTIF(C43,"已知限制")+COUNTIF(C44,"已知限制"))))&gt;0,"、未歸類 "&amp;(C45-((COUNTIF(C37,"觀點")+COUNTIF(C38,"觀點")+COUNTIF(C39,"觀點")+COUNTIF(C40,"觀點")+COUNTIF(C41,"觀點")+COUNTIF(C42,"觀點")+COUNTIF(C43,"觀點")+COUNTIF(C44,"觀點"))+(COUNTIF(C37,"拆法")+COUNTIF(C38,"拆法")+COUNTIF(C39,"拆法")+COUNTIF(C40,"拆法")+COUNTIF(C41,"拆法")+COUNTIF(C42,"拆法")+COUNTIF(C43,"拆法")+COUNTIF(C44,"拆法"))+(COUNTIF(C37,"已知限制")+COUNTIF(C38,"已知限制")+COUNTIF(C39,"已知限制")+COUNTIF(C40,"已知限制")+COUNTIF(C41,"已知限制")+COUNTIF(C42,"已知限制")+COUNTIF(C43,"已知限制")+COUNTIF(C44,"已知限制"))))&amp;" 項",""),2,999)&amp;"；原因見「損益與評價 → 市場共識」。")</f>
        <v>超過 5% 的 6 項差距：觀點 6 項；原因見「損益與評價 → 市場共識」。</v>
      </c>
      <c r="I46" s="7" t="s">
        <v>127</v>
      </c>
    </row>
    <row r="48" customFormat="false" ht="15" hidden="false" customHeight="false" outlineLevel="0" collapsed="false">
      <c r="A48" s="8" t="s">
        <v>128</v>
      </c>
      <c r="B48" s="9"/>
      <c r="C48" s="9"/>
      <c r="D48" s="9"/>
      <c r="E48" s="9"/>
      <c r="F48" s="9"/>
      <c r="G48" s="9"/>
      <c r="H48" s="9"/>
    </row>
    <row r="49" customFormat="false" ht="15" hidden="false" customHeight="false" outlineLevel="1" collapsed="false">
      <c r="A49" s="3" t="s">
        <v>129</v>
      </c>
      <c r="B49" s="12" t="s">
        <v>130</v>
      </c>
      <c r="C49" s="17" t="n">
        <f aca="false">(輸入與假設!$C$159*輸入與假設!$C$99+輸入與假設!$E$185)/輸入與假設!$E$177</f>
        <v>6.19241327927366</v>
      </c>
      <c r="I49" s="7" t="s">
        <v>131</v>
      </c>
    </row>
    <row r="50" customFormat="false" ht="15" hidden="false" customHeight="false" outlineLevel="1" collapsed="false">
      <c r="A50" s="3" t="s">
        <v>132</v>
      </c>
      <c r="B50" s="12" t="s">
        <v>130</v>
      </c>
      <c r="C50" s="17" t="n">
        <f aca="false">(輸入與假設!$C$98*輸入與假設!$C$99+輸入與假設!$E$185)/輸入與假設!$E$177</f>
        <v>5.16149669057768</v>
      </c>
      <c r="I50" s="7" t="s">
        <v>133</v>
      </c>
    </row>
    <row r="51" customFormat="false" ht="15" hidden="false" customHeight="false" outlineLevel="1" collapsed="false">
      <c r="A51" s="3" t="s">
        <v>134</v>
      </c>
      <c r="B51" s="12" t="s">
        <v>130</v>
      </c>
      <c r="C51" s="17" t="n">
        <f aca="false">MAX(輸入與假設!$C$110,輸入與假設!$C$111)</f>
        <v>6</v>
      </c>
      <c r="I51" s="7" t="s">
        <v>135</v>
      </c>
    </row>
    <row r="52" customFormat="false" ht="15" hidden="false" customHeight="false" outlineLevel="1" collapsed="false">
      <c r="A52" s="2" t="s">
        <v>136</v>
      </c>
      <c r="C52" s="11" t="str">
        <f aca="false">"共識平均目標價 $"&amp;TEXT(輸入與假設!$C$159,"0.00")&amp;" 隱含 FY28 EV/EBITDA "&amp;TEXT(C49,"0.0")&amp;"x，"&amp;IF(ROUND(C49,1)&gt;C51,"高於",IF(ROUND(C49,1)&lt;C51,"低於","等於"))&amp;"模型方法區間上緣 "&amp;IF(C51=INT(C51),TEXT(C51,"0"),TEXT(C51,"0.0"))&amp;"x；現價 $"&amp;TEXT(輸入與假設!$C$98,"0.00")&amp;" 隱含 "&amp;TEXT(C50,"0.0")&amp;"x。"</f>
        <v>共識平均目標價 $140.81 隱含 FY28 EV/EBITDA 6.2x，高於模型方法區間上緣 6x；現價 $90.13 隱含 5.2x。</v>
      </c>
    </row>
    <row r="53" customFormat="false" ht="15" hidden="false" customHeight="false" outlineLevel="1" collapsed="false">
      <c r="A53" s="3" t="s">
        <v>137</v>
      </c>
      <c r="C53" s="18" t="n">
        <f aca="false">評價_反向DCF!B18</f>
        <v>10.5</v>
      </c>
      <c r="D53" s="18" t="n">
        <f aca="false">評價_反向DCF!C18</f>
        <v>14.0989</v>
      </c>
      <c r="E53" s="14" t="n">
        <f aca="false">評價_反向DCF!D18</f>
        <v>0.3428</v>
      </c>
      <c r="I53" s="7" t="s">
        <v>138</v>
      </c>
    </row>
    <row r="54" customFormat="false" ht="15" hidden="false" customHeight="false" outlineLevel="1" collapsed="false">
      <c r="A54" s="3" t="s">
        <v>139</v>
      </c>
      <c r="C54" s="18" t="n">
        <f aca="false">評價_反向DCF!B19</f>
        <v>34</v>
      </c>
      <c r="D54" s="18" t="n">
        <f aca="false">評價_反向DCF!C19</f>
        <v>20.2994</v>
      </c>
      <c r="E54" s="14" t="n">
        <f aca="false">評價_反向DCF!D19</f>
        <v>-0.403</v>
      </c>
    </row>
    <row r="55" customFormat="false" ht="15" hidden="false" customHeight="false" outlineLevel="1" collapsed="false">
      <c r="A55" s="3" t="s">
        <v>140</v>
      </c>
      <c r="C55" s="14" t="n">
        <f aca="false">評價_反向DCF!B20</f>
        <v>0.65</v>
      </c>
      <c r="D55" s="14" t="n">
        <f aca="false">評價_反向DCF!C20</f>
        <v>0.8566</v>
      </c>
      <c r="E55" s="14" t="n">
        <f aca="false">評價_反向DCF!D20</f>
        <v>0.2066</v>
      </c>
    </row>
    <row r="56" customFormat="false" ht="15" hidden="false" customHeight="false" outlineLevel="1" collapsed="false">
      <c r="A56" s="3" t="s">
        <v>141</v>
      </c>
      <c r="C56" s="18" t="n">
        <f aca="false">評價_反向DCF!B21</f>
        <v>10.5</v>
      </c>
      <c r="D56" s="18" t="n">
        <f aca="false">評價_反向DCF!C21</f>
        <v>12.3138</v>
      </c>
      <c r="E56" s="14" t="n">
        <f aca="false">評價_反向DCF!D21</f>
        <v>0.1727</v>
      </c>
    </row>
    <row r="58" customFormat="false" ht="15" hidden="false" customHeight="false" outlineLevel="0" collapsed="false">
      <c r="A58" s="8" t="s">
        <v>142</v>
      </c>
      <c r="B58" s="9"/>
      <c r="C58" s="9"/>
      <c r="D58" s="9"/>
      <c r="E58" s="9"/>
      <c r="F58" s="9"/>
      <c r="G58" s="9"/>
      <c r="H58" s="9"/>
    </row>
    <row r="59" customFormat="false" ht="15" hidden="false" customHeight="false" outlineLevel="1" collapsed="false">
      <c r="A59" s="3" t="s">
        <v>143</v>
      </c>
      <c r="C59" s="11" t="str">
        <f aca="false">季度追蹤!C12</f>
        <v>Q3'26</v>
      </c>
      <c r="I59" s="7" t="s">
        <v>144</v>
      </c>
    </row>
    <row r="60" customFormat="false" ht="15" hidden="false" customHeight="false" outlineLevel="1" collapsed="false">
      <c r="A60" s="3" t="s">
        <v>145</v>
      </c>
      <c r="B60" s="12" t="s">
        <v>91</v>
      </c>
      <c r="C60" s="11" t="n">
        <f aca="false">季度追蹤!C6</f>
        <v>3.66266666666667</v>
      </c>
      <c r="D60" s="11" t="n">
        <f aca="false">季度追蹤!D6</f>
        <v>3.541</v>
      </c>
      <c r="E60" s="11" t="n">
        <f aca="false">季度追蹤!F6</f>
        <v>3.45</v>
      </c>
      <c r="F60" s="11" t="n">
        <f aca="false">季度追蹤!G6</f>
        <v>3.6</v>
      </c>
      <c r="G60" s="11" t="str">
        <f aca="false">季度追蹤!I6</f>
        <v>待公布</v>
      </c>
      <c r="I60" s="7" t="s">
        <v>146</v>
      </c>
    </row>
    <row r="61" customFormat="false" ht="15" hidden="false" customHeight="false" outlineLevel="1" collapsed="false">
      <c r="A61" s="2" t="s">
        <v>147</v>
      </c>
      <c r="C61" s="11" t="str">
        <f aca="false">INDEX(季度追蹤!$C$118:$H$118,輸入與假設!$C$223)</f>
        <v>營收：模型 $3.66bn｜共識 $3.54bn（+3.4%）｜指引 $3.45–3.60bn（中點 +3.9%，高於上緣）</v>
      </c>
    </row>
    <row r="62" customFormat="false" ht="15" hidden="false" customHeight="false" outlineLevel="1" collapsed="false">
      <c r="A62" s="3" t="s">
        <v>148</v>
      </c>
      <c r="B62" s="12" t="s">
        <v>91</v>
      </c>
      <c r="C62" s="11" t="n">
        <f aca="false">季度追蹤!C9</f>
        <v>-0.0134137432629213</v>
      </c>
      <c r="D62" s="11" t="str">
        <f aca="false">季度追蹤!D9</f>
        <v>不適用</v>
      </c>
      <c r="E62" s="11" t="n">
        <f aca="false">季度追蹤!F9</f>
        <v>0.2</v>
      </c>
      <c r="F62" s="11" t="n">
        <f aca="false">季度追蹤!G9</f>
        <v>0.26</v>
      </c>
      <c r="G62" s="11" t="str">
        <f aca="false">季度追蹤!I9</f>
        <v>待公布</v>
      </c>
      <c r="I62" s="7" t="s">
        <v>146</v>
      </c>
    </row>
    <row r="63" customFormat="false" ht="15" hidden="false" customHeight="false" outlineLevel="1" collapsed="false">
      <c r="A63" s="2" t="s">
        <v>149</v>
      </c>
      <c r="C63" s="11" t="str">
        <f aca="false">INDEX(季度追蹤!$C$121:$H$121,輸入與假設!$C$223)</f>
        <v>調整後營業利益：模型 −$0.01bn｜指引 $0.20–0.26bn（中點 −105.8%，低於下緣）〔已知限制〕</v>
      </c>
    </row>
    <row r="64" customFormat="false" ht="15" hidden="false" customHeight="false" outlineLevel="1" collapsed="false">
      <c r="A64" s="3" t="s">
        <v>150</v>
      </c>
      <c r="B64" s="12" t="s">
        <v>91</v>
      </c>
      <c r="C64" s="11" t="n">
        <f aca="false">季度追蹤!C10</f>
        <v>10.418</v>
      </c>
      <c r="D64" s="11" t="str">
        <f aca="false">季度追蹤!D10</f>
        <v>不適用</v>
      </c>
      <c r="E64" s="11" t="n">
        <f aca="false">季度追蹤!F10</f>
        <v>11.5</v>
      </c>
      <c r="F64" s="11" t="n">
        <f aca="false">季度追蹤!G10</f>
        <v>13.5</v>
      </c>
      <c r="G64" s="11" t="str">
        <f aca="false">季度追蹤!I10</f>
        <v>待公布</v>
      </c>
      <c r="I64" s="7" t="s">
        <v>146</v>
      </c>
    </row>
    <row r="65" customFormat="false" ht="15" hidden="false" customHeight="false" outlineLevel="1" collapsed="false">
      <c r="A65" s="2" t="s">
        <v>151</v>
      </c>
      <c r="C65" s="11" t="str">
        <f aca="false">INDEX(季度追蹤!$C$122:$H$122,輸入與假設!$C$223)</f>
        <v>CapEx（毛額）：模型 $10.42bn｜指引 $11.50–13.50bn（中點 −16.7%，低於下緣）〔拆法〕</v>
      </c>
    </row>
    <row r="66" customFormat="false" ht="15" hidden="false" customHeight="false" outlineLevel="1" collapsed="false">
      <c r="A66" s="3" t="s">
        <v>152</v>
      </c>
      <c r="B66" s="7" t="s">
        <v>153</v>
      </c>
      <c r="C66" s="10" t="n">
        <f aca="false">輸入與假設!$C$169</f>
        <v>21</v>
      </c>
      <c r="D66" s="10" t="n">
        <f aca="false">輸入與假設!$C$170</f>
        <v>7</v>
      </c>
      <c r="E66" s="10" t="n">
        <f aca="false">輸入與假設!$C$171</f>
        <v>9</v>
      </c>
      <c r="F66" s="10" t="n">
        <f aca="false">輸入與假設!$C$172</f>
        <v>1</v>
      </c>
      <c r="G66" s="10" t="n">
        <f aca="false">輸入與假設!$C$173</f>
        <v>2</v>
      </c>
      <c r="I66" s="12" t="s">
        <v>154</v>
      </c>
    </row>
    <row r="67" customFormat="false" ht="15" hidden="false" customHeight="false" outlineLevel="1" collapsed="false">
      <c r="A67" s="3" t="s">
        <v>155</v>
      </c>
      <c r="B67" s="12" t="s">
        <v>74</v>
      </c>
      <c r="C67" s="13" t="n">
        <f aca="false">輸入與假設!$C$159</f>
        <v>140.81</v>
      </c>
      <c r="D67" s="13" t="n">
        <f aca="false">輸入與假設!$C$160</f>
        <v>140</v>
      </c>
      <c r="E67" s="13" t="n">
        <f aca="false">輸入與假設!$C$161</f>
        <v>39</v>
      </c>
      <c r="F67" s="13" t="n">
        <f aca="false">輸入與假設!$C$162</f>
        <v>317</v>
      </c>
      <c r="I67" s="12" t="s">
        <v>156</v>
      </c>
    </row>
    <row r="68" customFormat="false" ht="15" hidden="false" customHeight="false" outlineLevel="1" collapsed="false"/>
    <row r="69" customFormat="false" ht="15" hidden="false" customHeight="false" outlineLevel="1" collapsed="false">
      <c r="A69" s="7" t="s">
        <v>157</v>
      </c>
    </row>
    <row r="70" customFormat="false" ht="15" hidden="false" customHeight="false" outlineLevel="1" collapsed="false">
      <c r="A70" s="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159</v>
      </c>
    </row>
    <row r="2" customFormat="false" ht="15" hidden="false" customHeight="false" outlineLevel="0" collapsed="false">
      <c r="A2" s="12" t="s">
        <v>160</v>
      </c>
    </row>
    <row r="4" customFormat="false" ht="15" hidden="false" customHeight="false" outlineLevel="0" collapsed="false">
      <c r="A4" s="8" t="s">
        <v>161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162</v>
      </c>
      <c r="C5" s="19" t="n">
        <v>2</v>
      </c>
      <c r="D5" s="2" t="str">
        <f aca="false">CHOOSE(C5,"保守 4.2 GW","基準 5.6 GW","積極 8 GW")</f>
        <v>基準 5.6 GW</v>
      </c>
      <c r="I5" s="7" t="s">
        <v>163</v>
      </c>
    </row>
    <row r="6" customFormat="false" ht="15" hidden="false" customHeight="false" outlineLevel="1" collapsed="false">
      <c r="A6" s="20" t="s">
        <v>164</v>
      </c>
      <c r="B6" s="21"/>
      <c r="C6" s="21"/>
      <c r="D6" s="21"/>
      <c r="E6" s="21"/>
      <c r="F6" s="21"/>
      <c r="G6" s="21"/>
      <c r="H6" s="21"/>
    </row>
    <row r="7" customFormat="false" ht="15" hidden="false" customHeight="false" outlineLevel="2" collapsed="false">
      <c r="A7" s="16" t="s">
        <v>165</v>
      </c>
      <c r="B7" s="15" t="s">
        <v>86</v>
      </c>
      <c r="C7" s="16" t="s">
        <v>87</v>
      </c>
      <c r="D7" s="16" t="s">
        <v>88</v>
      </c>
      <c r="E7" s="16" t="s">
        <v>89</v>
      </c>
      <c r="F7" s="16" t="s">
        <v>166</v>
      </c>
      <c r="G7" s="16" t="s">
        <v>167</v>
      </c>
      <c r="I7" s="16" t="s">
        <v>168</v>
      </c>
    </row>
    <row r="8" customFormat="false" ht="15" hidden="false" customHeight="false" outlineLevel="2" collapsed="false">
      <c r="A8" s="3" t="s">
        <v>169</v>
      </c>
      <c r="B8" s="12" t="s">
        <v>170</v>
      </c>
      <c r="C8" s="22" t="n">
        <v>1850</v>
      </c>
      <c r="D8" s="22" t="n">
        <v>3100</v>
      </c>
      <c r="E8" s="22" t="n">
        <v>3800</v>
      </c>
      <c r="F8" s="22" t="n">
        <v>4200</v>
      </c>
      <c r="G8" s="22" t="n">
        <v>4200</v>
      </c>
      <c r="I8" s="22" t="n">
        <v>0</v>
      </c>
      <c r="J8" s="7" t="s">
        <v>171</v>
      </c>
    </row>
    <row r="9" customFormat="false" ht="15" hidden="false" customHeight="false" outlineLevel="2" collapsed="false">
      <c r="A9" s="3" t="s">
        <v>172</v>
      </c>
      <c r="B9" s="12" t="s">
        <v>170</v>
      </c>
      <c r="C9" s="22" t="n">
        <v>1850</v>
      </c>
      <c r="D9" s="22" t="n">
        <v>3100</v>
      </c>
      <c r="E9" s="22" t="n">
        <v>4000</v>
      </c>
      <c r="F9" s="22" t="n">
        <v>4800</v>
      </c>
      <c r="G9" s="22" t="n">
        <v>5600</v>
      </c>
      <c r="I9" s="22" t="n">
        <v>500</v>
      </c>
      <c r="J9" s="12" t="s">
        <v>173</v>
      </c>
    </row>
    <row r="10" customFormat="false" ht="15" hidden="false" customHeight="false" outlineLevel="2" collapsed="false">
      <c r="A10" s="3" t="s">
        <v>174</v>
      </c>
      <c r="B10" s="12" t="s">
        <v>170</v>
      </c>
      <c r="C10" s="22" t="n">
        <v>1850</v>
      </c>
      <c r="D10" s="22" t="n">
        <v>3100</v>
      </c>
      <c r="E10" s="22" t="n">
        <v>4600</v>
      </c>
      <c r="F10" s="22" t="n">
        <v>6300</v>
      </c>
      <c r="G10" s="22" t="n">
        <v>8000</v>
      </c>
      <c r="I10" s="22" t="n">
        <v>1000</v>
      </c>
      <c r="J10" s="7" t="s">
        <v>175</v>
      </c>
    </row>
    <row r="11" customFormat="false" ht="15" hidden="false" customHeight="false" outlineLevel="2" collapsed="false">
      <c r="A11" s="4" t="s">
        <v>176</v>
      </c>
      <c r="B11" s="12" t="s">
        <v>77</v>
      </c>
      <c r="C11" s="23" t="n">
        <v>0.918918918918919</v>
      </c>
      <c r="D11" s="23" t="n">
        <v>0.935483870967742</v>
      </c>
      <c r="E11" s="23" t="n">
        <v>0.934782608695652</v>
      </c>
      <c r="F11" s="23" t="n">
        <v>0.936507936507937</v>
      </c>
      <c r="G11" s="23" t="n">
        <v>0.9375</v>
      </c>
      <c r="I11" s="7" t="s">
        <v>177</v>
      </c>
    </row>
    <row r="12" customFormat="false" ht="15" hidden="false" customHeight="false" outlineLevel="2" collapsed="false">
      <c r="A12" s="3" t="s">
        <v>178</v>
      </c>
      <c r="B12" s="12" t="s">
        <v>91</v>
      </c>
      <c r="C12" s="24" t="n">
        <v>0.3</v>
      </c>
      <c r="D12" s="24" t="n">
        <v>1.6</v>
      </c>
      <c r="E12" s="24" t="n">
        <v>3</v>
      </c>
      <c r="F12" s="24" t="n">
        <v>4</v>
      </c>
      <c r="G12" s="24" t="n">
        <v>4.6</v>
      </c>
      <c r="I12" s="7" t="s">
        <v>179</v>
      </c>
    </row>
    <row r="14" customFormat="false" ht="15" hidden="false" customHeight="false" outlineLevel="0" collapsed="false">
      <c r="A14" s="8" t="s">
        <v>180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181</v>
      </c>
      <c r="B15" s="12" t="s">
        <v>91</v>
      </c>
      <c r="C15" s="25" t="n">
        <v>103.7</v>
      </c>
      <c r="I15" s="12" t="s">
        <v>182</v>
      </c>
    </row>
    <row r="16" customFormat="false" ht="15" hidden="false" customHeight="false" outlineLevel="1" collapsed="false">
      <c r="A16" s="4" t="s">
        <v>183</v>
      </c>
      <c r="B16" s="12" t="s">
        <v>91</v>
      </c>
      <c r="C16" s="24" t="n">
        <v>25</v>
      </c>
      <c r="I16" s="7" t="s">
        <v>184</v>
      </c>
    </row>
    <row r="17" customFormat="false" ht="15" hidden="false" customHeight="false" outlineLevel="1" collapsed="false">
      <c r="A17" s="3" t="s">
        <v>185</v>
      </c>
      <c r="B17" s="12" t="s">
        <v>77</v>
      </c>
      <c r="C17" s="26" t="n">
        <v>0.84</v>
      </c>
      <c r="I17" s="12" t="s">
        <v>186</v>
      </c>
    </row>
    <row r="18" customFormat="false" ht="15" hidden="false" customHeight="false" outlineLevel="1" collapsed="false">
      <c r="A18" s="4" t="s">
        <v>187</v>
      </c>
      <c r="B18" s="12" t="s">
        <v>77</v>
      </c>
      <c r="C18" s="23" t="n">
        <v>0.84</v>
      </c>
      <c r="I18" s="7" t="s">
        <v>188</v>
      </c>
    </row>
    <row r="19" customFormat="false" ht="15" hidden="false" customHeight="false" outlineLevel="1" collapsed="false">
      <c r="A19" s="4" t="s">
        <v>189</v>
      </c>
      <c r="B19" s="12" t="s">
        <v>170</v>
      </c>
      <c r="C19" s="22" t="n">
        <v>850</v>
      </c>
      <c r="I19" s="12" t="s">
        <v>190</v>
      </c>
    </row>
    <row r="20" customFormat="false" ht="15" hidden="false" customHeight="false" outlineLevel="1" collapsed="false">
      <c r="A20" s="4" t="s">
        <v>191</v>
      </c>
      <c r="B20" s="12" t="s">
        <v>170</v>
      </c>
      <c r="C20" s="22" t="n">
        <v>1350</v>
      </c>
      <c r="I20" s="7" t="s">
        <v>192</v>
      </c>
    </row>
    <row r="21" customFormat="false" ht="15" hidden="false" customHeight="false" outlineLevel="1" collapsed="false">
      <c r="A21" s="3" t="s">
        <v>193</v>
      </c>
      <c r="B21" s="7"/>
      <c r="C21" s="22" t="n">
        <v>1</v>
      </c>
      <c r="I21" s="12" t="s">
        <v>194</v>
      </c>
    </row>
    <row r="22" customFormat="false" ht="15" hidden="false" customHeight="false" outlineLevel="1" collapsed="false">
      <c r="A22" s="3" t="s">
        <v>195</v>
      </c>
      <c r="B22" s="12" t="s">
        <v>77</v>
      </c>
      <c r="C22" s="23" t="n">
        <v>1</v>
      </c>
      <c r="I22" s="7" t="s">
        <v>196</v>
      </c>
    </row>
    <row r="23" customFormat="false" ht="15" hidden="false" customHeight="false" outlineLevel="1" collapsed="false">
      <c r="A23" s="15" t="s">
        <v>85</v>
      </c>
      <c r="B23" s="15" t="s">
        <v>86</v>
      </c>
      <c r="C23" s="27" t="s">
        <v>87</v>
      </c>
      <c r="D23" s="27" t="s">
        <v>88</v>
      </c>
      <c r="E23" s="27" t="s">
        <v>89</v>
      </c>
      <c r="F23" s="27" t="s">
        <v>166</v>
      </c>
      <c r="G23" s="27" t="s">
        <v>167</v>
      </c>
      <c r="I23" s="15" t="s">
        <v>197</v>
      </c>
    </row>
    <row r="24" customFormat="false" ht="15" hidden="false" customHeight="false" outlineLevel="1" collapsed="false">
      <c r="A24" s="3" t="s">
        <v>198</v>
      </c>
      <c r="B24" s="7"/>
      <c r="C24" s="24" t="n">
        <v>0.5</v>
      </c>
      <c r="D24" s="24" t="n">
        <v>1</v>
      </c>
      <c r="E24" s="24" t="n">
        <v>1</v>
      </c>
      <c r="F24" s="24" t="n">
        <v>1</v>
      </c>
      <c r="G24" s="24" t="n">
        <v>1</v>
      </c>
      <c r="I24" s="7" t="s">
        <v>199</v>
      </c>
    </row>
    <row r="25" customFormat="false" ht="15" hidden="false" customHeight="false" outlineLevel="1" collapsed="false">
      <c r="A25" s="4" t="s">
        <v>200</v>
      </c>
      <c r="B25" s="12" t="s">
        <v>77</v>
      </c>
      <c r="C25" s="23" t="n">
        <v>0.1025</v>
      </c>
      <c r="D25" s="23" t="n">
        <v>0.205</v>
      </c>
      <c r="E25" s="23" t="n">
        <v>0.2</v>
      </c>
      <c r="F25" s="23" t="n">
        <v>0.195</v>
      </c>
      <c r="G25" s="23" t="n">
        <v>0.1375</v>
      </c>
      <c r="H25" s="28" t="n">
        <f aca="false">SUM(C25:G25)</f>
        <v>0.84</v>
      </c>
      <c r="I25" s="12" t="s">
        <v>201</v>
      </c>
    </row>
    <row r="26" customFormat="false" ht="15" hidden="false" customHeight="false" outlineLevel="1" collapsed="false">
      <c r="A26" s="4" t="s">
        <v>202</v>
      </c>
      <c r="B26" s="12" t="s">
        <v>170</v>
      </c>
      <c r="C26" s="29" t="n">
        <f aca="false">CHOOSE(輸入與假設!$C$5,C8,C9,C10)</f>
        <v>1850</v>
      </c>
      <c r="D26" s="29" t="n">
        <f aca="false">CHOOSE(輸入與假設!$C$5,D8,D9,D10)</f>
        <v>3100</v>
      </c>
      <c r="E26" s="29" t="n">
        <f aca="false">CHOOSE(輸入與假設!$C$5,E8,E9,E10)</f>
        <v>4000</v>
      </c>
      <c r="F26" s="29" t="n">
        <f aca="false">CHOOSE(輸入與假設!$C$5,F8,F9,F10)</f>
        <v>4800</v>
      </c>
      <c r="G26" s="29" t="n">
        <f aca="false">CHOOSE(輸入與假設!$C$5,G8,G9,G10)</f>
        <v>5600</v>
      </c>
      <c r="I26" s="7" t="s">
        <v>203</v>
      </c>
    </row>
    <row r="27" customFormat="false" ht="15" hidden="false" customHeight="false" outlineLevel="1" collapsed="false">
      <c r="A27" s="4" t="s">
        <v>204</v>
      </c>
      <c r="B27" s="12" t="s">
        <v>170</v>
      </c>
      <c r="C27" s="29" t="n">
        <f aca="false">ROUND(C26*C11,0)</f>
        <v>1700</v>
      </c>
      <c r="D27" s="29" t="n">
        <f aca="false">ROUND(D26*D11,0)</f>
        <v>2900</v>
      </c>
      <c r="E27" s="29" t="n">
        <f aca="false">ROUND(E26*E11,0)</f>
        <v>3739</v>
      </c>
      <c r="F27" s="29" t="n">
        <f aca="false">ROUND(F26*F11,0)</f>
        <v>4495</v>
      </c>
      <c r="G27" s="29" t="n">
        <f aca="false">ROUND(G26*G11,0)</f>
        <v>5250</v>
      </c>
      <c r="I27" s="7" t="s">
        <v>205</v>
      </c>
    </row>
    <row r="28" customFormat="false" ht="15" hidden="false" customHeight="false" outlineLevel="1" collapsed="false">
      <c r="A28" s="3" t="s">
        <v>206</v>
      </c>
      <c r="B28" s="12" t="s">
        <v>77</v>
      </c>
      <c r="C28" s="23" t="n">
        <v>0.95</v>
      </c>
      <c r="D28" s="23" t="n">
        <v>0.95</v>
      </c>
      <c r="E28" s="23" t="n">
        <v>0.94</v>
      </c>
      <c r="F28" s="23" t="n">
        <v>0.93</v>
      </c>
      <c r="G28" s="23" t="n">
        <v>0.92</v>
      </c>
      <c r="I28" s="7" t="s">
        <v>207</v>
      </c>
    </row>
    <row r="29" customFormat="false" ht="15" hidden="false" customHeight="false" outlineLevel="1" collapsed="false">
      <c r="A29" s="3" t="s">
        <v>208</v>
      </c>
      <c r="B29" s="12" t="s">
        <v>209</v>
      </c>
      <c r="C29" s="30" t="n">
        <v>0.0112</v>
      </c>
      <c r="D29" s="30" t="n">
        <v>0.0115</v>
      </c>
      <c r="E29" s="30" t="n">
        <v>0.0115</v>
      </c>
      <c r="F29" s="30" t="n">
        <v>0.011</v>
      </c>
      <c r="G29" s="30" t="n">
        <v>0.0105</v>
      </c>
      <c r="I29" s="7" t="s">
        <v>210</v>
      </c>
    </row>
    <row r="30" customFormat="false" ht="15" hidden="false" customHeight="false" outlineLevel="1" collapsed="false">
      <c r="A30" s="3" t="s">
        <v>211</v>
      </c>
      <c r="B30" s="12" t="s">
        <v>77</v>
      </c>
      <c r="C30" s="23" t="n">
        <v>1</v>
      </c>
      <c r="D30" s="23" t="n">
        <v>1</v>
      </c>
      <c r="E30" s="23" t="n">
        <v>0.9</v>
      </c>
      <c r="F30" s="23" t="n">
        <v>0.85</v>
      </c>
      <c r="G30" s="23" t="n">
        <v>0.8</v>
      </c>
      <c r="I30" s="7" t="s">
        <v>212</v>
      </c>
    </row>
    <row r="31" customFormat="false" ht="15" hidden="false" customHeight="false" outlineLevel="1" collapsed="false">
      <c r="A31" s="3" t="s">
        <v>213</v>
      </c>
      <c r="B31" s="12" t="s">
        <v>77</v>
      </c>
      <c r="C31" s="23" t="n">
        <v>0.005</v>
      </c>
      <c r="D31" s="23" t="n">
        <v>0.01</v>
      </c>
      <c r="E31" s="23" t="n">
        <v>0.015</v>
      </c>
      <c r="F31" s="23" t="n">
        <v>0.02</v>
      </c>
      <c r="G31" s="23" t="n">
        <v>0.025</v>
      </c>
      <c r="I31" s="7" t="s">
        <v>214</v>
      </c>
    </row>
    <row r="32" customFormat="false" ht="15" hidden="false" customHeight="false" outlineLevel="1" collapsed="false">
      <c r="A32" s="3" t="s">
        <v>215</v>
      </c>
      <c r="B32" s="12" t="s">
        <v>77</v>
      </c>
      <c r="C32" s="23" t="n">
        <v>0.5</v>
      </c>
      <c r="D32" s="23" t="n">
        <v>0.5</v>
      </c>
      <c r="E32" s="23" t="n">
        <v>0.5</v>
      </c>
      <c r="F32" s="23" t="n">
        <v>0.5</v>
      </c>
      <c r="G32" s="23" t="n">
        <v>0.5</v>
      </c>
      <c r="I32" s="12" t="s">
        <v>216</v>
      </c>
    </row>
    <row r="33" customFormat="false" ht="15" hidden="false" customHeight="false" outlineLevel="1" collapsed="false">
      <c r="A33" s="3" t="s">
        <v>217</v>
      </c>
      <c r="B33" s="12" t="s">
        <v>91</v>
      </c>
      <c r="C33" s="24" t="n">
        <v>0.3</v>
      </c>
      <c r="D33" s="24" t="n">
        <v>1</v>
      </c>
      <c r="E33" s="24" t="n">
        <v>1.8</v>
      </c>
      <c r="F33" s="24" t="n">
        <v>2.8</v>
      </c>
      <c r="G33" s="24" t="n">
        <v>3.8</v>
      </c>
      <c r="I33" s="7" t="s">
        <v>218</v>
      </c>
    </row>
    <row r="35" customFormat="false" ht="15" hidden="false" customHeight="false" outlineLevel="0" collapsed="false">
      <c r="A35" s="8" t="s">
        <v>219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220</v>
      </c>
      <c r="B36" s="12" t="s">
        <v>77</v>
      </c>
      <c r="C36" s="26" t="n">
        <v>0.59</v>
      </c>
      <c r="I36" s="12" t="s">
        <v>221</v>
      </c>
    </row>
    <row r="37" customFormat="false" ht="15" hidden="false" customHeight="false" outlineLevel="1" collapsed="false">
      <c r="A37" s="3" t="s">
        <v>222</v>
      </c>
      <c r="B37" s="12" t="s">
        <v>77</v>
      </c>
      <c r="C37" s="26" t="n">
        <v>0.65</v>
      </c>
      <c r="I37" s="7" t="s">
        <v>223</v>
      </c>
    </row>
    <row r="38" customFormat="false" ht="15" hidden="false" customHeight="false" outlineLevel="1" collapsed="false">
      <c r="A38" s="15" t="s">
        <v>85</v>
      </c>
      <c r="B38" s="15" t="s">
        <v>86</v>
      </c>
      <c r="C38" s="27" t="s">
        <v>87</v>
      </c>
      <c r="D38" s="27" t="s">
        <v>88</v>
      </c>
      <c r="E38" s="27" t="s">
        <v>89</v>
      </c>
      <c r="F38" s="27" t="s">
        <v>166</v>
      </c>
      <c r="G38" s="27" t="s">
        <v>167</v>
      </c>
      <c r="I38" s="15" t="s">
        <v>197</v>
      </c>
    </row>
    <row r="39" customFormat="false" ht="15" hidden="false" customHeight="false" outlineLevel="1" collapsed="false">
      <c r="A39" s="4" t="s">
        <v>224</v>
      </c>
      <c r="B39" s="12" t="s">
        <v>77</v>
      </c>
      <c r="C39" s="31" t="n">
        <f aca="false">輸入與假設!$C$36+(輸入與假設!$C$37-輸入與假設!$C$36)*0/4</f>
        <v>0.59</v>
      </c>
      <c r="D39" s="31" t="n">
        <f aca="false">輸入與假設!$C$36+(輸入與假設!$C$37-輸入與假設!$C$36)*1/4</f>
        <v>0.605</v>
      </c>
      <c r="E39" s="31" t="n">
        <f aca="false">輸入與假設!$C$36+(輸入與假設!$C$37-輸入與假設!$C$36)*2/4</f>
        <v>0.62</v>
      </c>
      <c r="F39" s="31" t="n">
        <f aca="false">輸入與假設!$C$36+(輸入與假設!$C$37-輸入與假設!$C$36)*3/4</f>
        <v>0.635</v>
      </c>
      <c r="G39" s="31" t="n">
        <f aca="false">輸入與假設!$C$36+(輸入與假設!$C$37-輸入與假設!$C$36)*4/4</f>
        <v>0.65</v>
      </c>
      <c r="I39" s="7" t="s">
        <v>225</v>
      </c>
    </row>
    <row r="40" customFormat="false" ht="15" hidden="false" customHeight="false" outlineLevel="1" collapsed="false">
      <c r="A40" s="3" t="s">
        <v>226</v>
      </c>
      <c r="B40" s="12" t="s">
        <v>91</v>
      </c>
      <c r="C40" s="32" t="n">
        <f aca="false">輸入與假設!C$33*運營_產能與收入!C35</f>
        <v>0.224783192677998</v>
      </c>
      <c r="D40" s="32" t="n">
        <f aca="false">輸入與假設!D$33*運營_產能與收入!D35</f>
        <v>0.755760692756674</v>
      </c>
      <c r="E40" s="32" t="n">
        <f aca="false">輸入與假設!E$33*運營_產能與收入!E35</f>
        <v>1.34795457559659</v>
      </c>
      <c r="F40" s="32" t="n">
        <f aca="false">輸入與假設!F$33*運營_產能與收入!F35</f>
        <v>2.11660002119496</v>
      </c>
      <c r="G40" s="32" t="n">
        <f aca="false">輸入與假設!G$33*運營_產能與收入!G35</f>
        <v>2.90837126816542</v>
      </c>
      <c r="I40" s="7" t="s">
        <v>227</v>
      </c>
    </row>
    <row r="41" customFormat="false" ht="15" hidden="false" customHeight="false" outlineLevel="1" collapsed="true">
      <c r="A41" s="20" t="s">
        <v>228</v>
      </c>
      <c r="B41" s="21"/>
      <c r="C41" s="21"/>
      <c r="D41" s="21"/>
      <c r="E41" s="21"/>
      <c r="F41" s="21"/>
      <c r="G41" s="21"/>
      <c r="H41" s="21"/>
    </row>
    <row r="42" customFormat="false" ht="15" hidden="true" customHeight="false" outlineLevel="2" collapsed="false">
      <c r="A42" s="3" t="s">
        <v>229</v>
      </c>
      <c r="B42" s="7"/>
      <c r="C42" s="22" t="n">
        <v>0</v>
      </c>
      <c r="I42" s="12" t="s">
        <v>230</v>
      </c>
    </row>
    <row r="43" customFormat="false" ht="15" hidden="true" customHeight="false" outlineLevel="2" collapsed="false">
      <c r="A43" s="3" t="s">
        <v>231</v>
      </c>
      <c r="B43" s="12" t="s">
        <v>232</v>
      </c>
      <c r="C43" s="22" t="n">
        <v>60</v>
      </c>
      <c r="D43" s="22" t="n">
        <v>62</v>
      </c>
      <c r="E43" s="22" t="n">
        <v>64</v>
      </c>
      <c r="F43" s="22" t="n">
        <v>66</v>
      </c>
      <c r="G43" s="22" t="n">
        <v>68</v>
      </c>
      <c r="I43" s="12" t="s">
        <v>233</v>
      </c>
    </row>
    <row r="44" customFormat="false" ht="15" hidden="true" customHeight="false" outlineLevel="2" collapsed="false">
      <c r="A44" s="4" t="s">
        <v>234</v>
      </c>
      <c r="B44" s="7"/>
      <c r="C44" s="33" t="n">
        <v>1.25</v>
      </c>
      <c r="D44" s="33" t="n">
        <v>1.24</v>
      </c>
      <c r="E44" s="33" t="n">
        <v>1.22</v>
      </c>
      <c r="F44" s="33" t="n">
        <v>1.2</v>
      </c>
      <c r="G44" s="33" t="n">
        <v>1.2</v>
      </c>
      <c r="I44" s="12" t="s">
        <v>233</v>
      </c>
    </row>
    <row r="45" customFormat="false" ht="15" hidden="true" customHeight="false" outlineLevel="2" collapsed="false">
      <c r="A45" s="3" t="s">
        <v>235</v>
      </c>
      <c r="B45" s="12" t="s">
        <v>236</v>
      </c>
      <c r="C45" s="33" t="n">
        <v>0.15</v>
      </c>
      <c r="D45" s="33" t="n">
        <v>0.15</v>
      </c>
      <c r="E45" s="33" t="n">
        <v>0.16</v>
      </c>
      <c r="F45" s="33" t="n">
        <v>0.16</v>
      </c>
      <c r="G45" s="33" t="n">
        <v>0.17</v>
      </c>
      <c r="I45" s="12" t="s">
        <v>233</v>
      </c>
    </row>
    <row r="47" customFormat="false" ht="15" hidden="false" customHeight="false" outlineLevel="0" collapsed="false">
      <c r="A47" s="8" t="s">
        <v>237</v>
      </c>
      <c r="B47" s="9"/>
      <c r="C47" s="9"/>
      <c r="D47" s="9"/>
      <c r="E47" s="9"/>
      <c r="F47" s="9"/>
      <c r="G47" s="9"/>
      <c r="H47" s="9"/>
    </row>
    <row r="48" customFormat="false" ht="15" hidden="false" customHeight="false" outlineLevel="1" collapsed="false">
      <c r="A48" s="3" t="s">
        <v>238</v>
      </c>
      <c r="B48" s="12" t="s">
        <v>77</v>
      </c>
      <c r="C48" s="23" t="n">
        <v>0.35</v>
      </c>
      <c r="I48" s="7" t="s">
        <v>239</v>
      </c>
    </row>
    <row r="49" customFormat="false" ht="15" hidden="false" customHeight="false" outlineLevel="1" collapsed="false">
      <c r="A49" s="4" t="s">
        <v>240</v>
      </c>
      <c r="B49" s="12" t="s">
        <v>170</v>
      </c>
      <c r="C49" s="29" t="n">
        <f aca="false">CHOOSE(輸入與假設!$C$5,I8,I9,I10)</f>
        <v>500</v>
      </c>
      <c r="I49" s="7" t="s">
        <v>241</v>
      </c>
    </row>
    <row r="50" customFormat="false" ht="15" hidden="false" customHeight="false" outlineLevel="1" collapsed="false">
      <c r="A50" s="4" t="s">
        <v>242</v>
      </c>
      <c r="B50" s="12" t="s">
        <v>91</v>
      </c>
      <c r="C50" s="24" t="n">
        <v>35</v>
      </c>
      <c r="I50" s="7" t="s">
        <v>243</v>
      </c>
    </row>
    <row r="51" customFormat="false" ht="15" hidden="false" customHeight="false" outlineLevel="1" collapsed="false">
      <c r="A51" s="4" t="s">
        <v>244</v>
      </c>
      <c r="B51" s="7" t="s">
        <v>245</v>
      </c>
      <c r="C51" s="22" t="n">
        <v>6</v>
      </c>
      <c r="I51" s="7" t="s">
        <v>246</v>
      </c>
    </row>
    <row r="52" customFormat="false" ht="15" hidden="false" customHeight="false" outlineLevel="1" collapsed="false">
      <c r="A52" s="4" t="s">
        <v>247</v>
      </c>
      <c r="B52" s="12" t="s">
        <v>170</v>
      </c>
      <c r="C52" s="22" t="n">
        <v>100</v>
      </c>
      <c r="I52" s="7" t="s">
        <v>248</v>
      </c>
    </row>
    <row r="53" customFormat="false" ht="15" hidden="false" customHeight="false" outlineLevel="1" collapsed="false">
      <c r="A53" s="4" t="s">
        <v>249</v>
      </c>
      <c r="B53" s="12" t="s">
        <v>170</v>
      </c>
      <c r="C53" s="22" t="n">
        <v>360</v>
      </c>
      <c r="I53" s="12" t="s">
        <v>250</v>
      </c>
    </row>
    <row r="54" customFormat="false" ht="15" hidden="false" customHeight="false" outlineLevel="1" collapsed="false">
      <c r="A54" s="4" t="s">
        <v>251</v>
      </c>
      <c r="B54" s="12" t="s">
        <v>91</v>
      </c>
      <c r="C54" s="24" t="n">
        <v>46.736</v>
      </c>
      <c r="I54" s="12" t="s">
        <v>252</v>
      </c>
    </row>
    <row r="55" customFormat="false" ht="15" hidden="false" customHeight="false" outlineLevel="1" collapsed="false">
      <c r="A55" s="3" t="s">
        <v>253</v>
      </c>
      <c r="B55" s="12" t="s">
        <v>77</v>
      </c>
      <c r="C55" s="23" t="n">
        <v>1</v>
      </c>
      <c r="I55" s="7" t="s">
        <v>254</v>
      </c>
    </row>
    <row r="56" customFormat="false" ht="15" hidden="false" customHeight="false" outlineLevel="1" collapsed="false">
      <c r="A56" s="15" t="s">
        <v>85</v>
      </c>
      <c r="B56" s="15" t="s">
        <v>86</v>
      </c>
      <c r="C56" s="27" t="s">
        <v>87</v>
      </c>
      <c r="D56" s="27" t="s">
        <v>88</v>
      </c>
      <c r="E56" s="27" t="s">
        <v>89</v>
      </c>
      <c r="F56" s="27" t="s">
        <v>166</v>
      </c>
      <c r="G56" s="27" t="s">
        <v>167</v>
      </c>
      <c r="I56" s="15" t="s">
        <v>197</v>
      </c>
    </row>
    <row r="57" customFormat="false" ht="15" hidden="false" customHeight="false" outlineLevel="1" collapsed="false">
      <c r="A57" s="3" t="s">
        <v>255</v>
      </c>
      <c r="B57" s="12" t="s">
        <v>236</v>
      </c>
      <c r="C57" s="34" t="n">
        <v>34</v>
      </c>
      <c r="D57" s="34" t="n">
        <v>34</v>
      </c>
      <c r="E57" s="34" t="n">
        <v>34</v>
      </c>
      <c r="F57" s="34" t="n">
        <v>34</v>
      </c>
      <c r="G57" s="34" t="n">
        <v>34</v>
      </c>
      <c r="I57" s="12" t="s">
        <v>256</v>
      </c>
    </row>
    <row r="58" customFormat="false" ht="15" hidden="false" customHeight="false" outlineLevel="1" collapsed="false">
      <c r="A58" s="3" t="s">
        <v>257</v>
      </c>
      <c r="B58" s="12" t="s">
        <v>77</v>
      </c>
      <c r="C58" s="23" t="n">
        <v>0.08</v>
      </c>
      <c r="D58" s="23" t="n">
        <v>0.08</v>
      </c>
      <c r="E58" s="23" t="n">
        <v>0.08</v>
      </c>
      <c r="F58" s="23" t="n">
        <v>0.08</v>
      </c>
      <c r="G58" s="23" t="n">
        <v>0.08</v>
      </c>
      <c r="I58" s="12" t="s">
        <v>258</v>
      </c>
    </row>
    <row r="59" customFormat="false" ht="15" hidden="false" customHeight="false" outlineLevel="1" collapsed="false">
      <c r="A59" s="3" t="s">
        <v>259</v>
      </c>
      <c r="B59" s="12" t="s">
        <v>91</v>
      </c>
      <c r="C59" s="24" t="n">
        <v>1.04</v>
      </c>
      <c r="D59" s="24" t="n">
        <v>2.339</v>
      </c>
      <c r="E59" s="24" t="n">
        <v>2.306</v>
      </c>
      <c r="F59" s="24" t="n">
        <v>2.373</v>
      </c>
      <c r="G59" s="24" t="n">
        <v>2.289</v>
      </c>
      <c r="I59" s="7" t="s">
        <v>260</v>
      </c>
    </row>
    <row r="60" customFormat="false" ht="15" hidden="false" customHeight="false" outlineLevel="1" collapsed="false">
      <c r="A60" s="3" t="s">
        <v>261</v>
      </c>
      <c r="B60" s="12" t="s">
        <v>91</v>
      </c>
      <c r="C60" s="32" t="n">
        <f aca="false">C12*MAX(0,C26-1500)/(C10-1500)</f>
        <v>0.3</v>
      </c>
      <c r="D60" s="32" t="n">
        <f aca="false">D12*MAX(0,D26-1500)/(D10-1500)</f>
        <v>1.6</v>
      </c>
      <c r="E60" s="32" t="n">
        <f aca="false">E12*MAX(0,E26-1500)/(E10-1500)</f>
        <v>2.41935483870968</v>
      </c>
      <c r="F60" s="32" t="n">
        <f aca="false">F12*MAX(0,F26-1500)/(F10-1500)</f>
        <v>2.75</v>
      </c>
      <c r="G60" s="32" t="n">
        <f aca="false">G12*MAX(0,G26-1500)/(G10-1500)</f>
        <v>2.90153846153846</v>
      </c>
      <c r="I60" s="7" t="s">
        <v>262</v>
      </c>
    </row>
    <row r="61" customFormat="false" ht="15" hidden="false" customHeight="false" outlineLevel="1" collapsed="false">
      <c r="A61" s="4" t="s">
        <v>263</v>
      </c>
      <c r="B61" s="12" t="s">
        <v>91</v>
      </c>
      <c r="C61" s="24" t="n">
        <v>1.15</v>
      </c>
      <c r="D61" s="24" t="n">
        <v>0</v>
      </c>
      <c r="E61" s="24" t="n">
        <v>0</v>
      </c>
      <c r="F61" s="24" t="n">
        <v>0</v>
      </c>
      <c r="G61" s="24" t="n">
        <v>0</v>
      </c>
      <c r="I61" s="12" t="s">
        <v>264</v>
      </c>
    </row>
    <row r="62" customFormat="false" ht="15" hidden="false" customHeight="false" outlineLevel="1" collapsed="false">
      <c r="A62" s="4" t="s">
        <v>265</v>
      </c>
      <c r="B62" s="12" t="s">
        <v>91</v>
      </c>
      <c r="C62" s="24" t="n">
        <v>0.1</v>
      </c>
      <c r="D62" s="24" t="n">
        <v>0.4</v>
      </c>
      <c r="E62" s="24" t="n">
        <v>0.3</v>
      </c>
      <c r="F62" s="24" t="n">
        <v>0.2</v>
      </c>
      <c r="G62" s="24" t="n">
        <v>0.2</v>
      </c>
      <c r="I62" s="7" t="s">
        <v>266</v>
      </c>
    </row>
    <row r="63" customFormat="false" ht="15" hidden="false" customHeight="false" outlineLevel="1" collapsed="false">
      <c r="A63" s="4" t="s">
        <v>267</v>
      </c>
      <c r="B63" s="12" t="s">
        <v>91</v>
      </c>
      <c r="C63" s="32" t="n">
        <f aca="false">C61+C62</f>
        <v>1.25</v>
      </c>
      <c r="D63" s="32" t="n">
        <f aca="false">D61+D62</f>
        <v>0.4</v>
      </c>
      <c r="E63" s="32" t="n">
        <f aca="false">E61+E62</f>
        <v>0.3</v>
      </c>
      <c r="F63" s="32" t="n">
        <f aca="false">F61+F62</f>
        <v>0.2</v>
      </c>
      <c r="G63" s="32" t="n">
        <f aca="false">G61+G62</f>
        <v>0.2</v>
      </c>
      <c r="I63" s="7" t="s">
        <v>268</v>
      </c>
    </row>
    <row r="64" customFormat="false" ht="15" hidden="false" customHeight="false" outlineLevel="1" collapsed="true">
      <c r="A64" s="35" t="s">
        <v>269</v>
      </c>
      <c r="B64" s="21"/>
      <c r="C64" s="21"/>
      <c r="D64" s="21"/>
      <c r="E64" s="21"/>
      <c r="F64" s="21"/>
      <c r="G64" s="21"/>
      <c r="H64" s="21"/>
    </row>
    <row r="65" customFormat="false" ht="15" hidden="true" customHeight="false" outlineLevel="2" collapsed="false">
      <c r="A65" s="3" t="s">
        <v>270</v>
      </c>
      <c r="B65" s="12" t="s">
        <v>170</v>
      </c>
      <c r="C65" s="29" t="n">
        <f aca="false">輸入與假設!$C$19</f>
        <v>850</v>
      </c>
      <c r="D65" s="29" t="n">
        <f aca="false">C26</f>
        <v>1850</v>
      </c>
      <c r="E65" s="29" t="n">
        <f aca="false">D26</f>
        <v>3100</v>
      </c>
      <c r="F65" s="29" t="n">
        <f aca="false">E26</f>
        <v>4000</v>
      </c>
      <c r="G65" s="29" t="n">
        <f aca="false">F26</f>
        <v>4800</v>
      </c>
      <c r="I65" s="12" t="s">
        <v>271</v>
      </c>
    </row>
    <row r="66" customFormat="false" ht="15" hidden="true" customHeight="false" outlineLevel="2" collapsed="false">
      <c r="A66" s="3" t="s">
        <v>272</v>
      </c>
      <c r="B66" s="12" t="s">
        <v>170</v>
      </c>
      <c r="C66" s="29" t="n">
        <f aca="false">C26-C65</f>
        <v>1000</v>
      </c>
      <c r="D66" s="29" t="n">
        <f aca="false">D26-D65</f>
        <v>1250</v>
      </c>
      <c r="E66" s="29" t="n">
        <f aca="false">E26-E65</f>
        <v>900</v>
      </c>
      <c r="F66" s="29" t="n">
        <f aca="false">F26-F65</f>
        <v>800</v>
      </c>
      <c r="G66" s="29" t="n">
        <f aca="false">G26-G65</f>
        <v>800</v>
      </c>
    </row>
    <row r="67" customFormat="false" ht="15" hidden="true" customHeight="false" outlineLevel="2" collapsed="false">
      <c r="A67" s="3" t="s">
        <v>273</v>
      </c>
      <c r="B67" s="12" t="s">
        <v>170</v>
      </c>
      <c r="C67" s="29" t="n">
        <f aca="false">D26-C26</f>
        <v>1250</v>
      </c>
      <c r="D67" s="29" t="n">
        <f aca="false">E26-D26</f>
        <v>900</v>
      </c>
      <c r="E67" s="29" t="n">
        <f aca="false">F26-E26</f>
        <v>800</v>
      </c>
      <c r="F67" s="29" t="n">
        <f aca="false">G26-F26</f>
        <v>800</v>
      </c>
      <c r="G67" s="29" t="n">
        <f aca="false">輸入與假設!$C$49</f>
        <v>500</v>
      </c>
    </row>
    <row r="68" customFormat="false" ht="15" hidden="true" customHeight="false" outlineLevel="2" collapsed="false">
      <c r="A68" s="3" t="s">
        <v>274</v>
      </c>
      <c r="B68" s="12" t="s">
        <v>91</v>
      </c>
      <c r="C68" s="32" t="n">
        <f aca="false">(C66*(1-輸入與假設!$C$48)+C67*輸入與假設!$C$48)*C57*輸入與假設!$C$55/1000</f>
        <v>36.975</v>
      </c>
      <c r="D68" s="32" t="n">
        <f aca="false">(D66*(1-輸入與假設!$C$48)+D67*輸入與假設!$C$48)*D57*輸入與假設!$C$55/1000</f>
        <v>38.335</v>
      </c>
      <c r="E68" s="32" t="n">
        <f aca="false">(E66*(1-輸入與假設!$C$48)+E67*輸入與假設!$C$48)*E57*輸入與假設!$C$55/1000</f>
        <v>29.41</v>
      </c>
      <c r="F68" s="32" t="n">
        <f aca="false">(F66*(1-輸入與假設!$C$48)+F67*輸入與假設!$C$48)*F57*輸入與假設!$C$55/1000</f>
        <v>27.2</v>
      </c>
      <c r="G68" s="32" t="n">
        <f aca="false">(G66*(1-輸入與假設!$C$48)+G67*輸入與假設!$C$48)*G57*輸入與假設!$C$55/1000</f>
        <v>23.63</v>
      </c>
      <c r="I68" s="7" t="s">
        <v>275</v>
      </c>
    </row>
    <row r="69" customFormat="false" ht="15" hidden="true" customHeight="false" outlineLevel="2" collapsed="false">
      <c r="A69" s="3" t="s">
        <v>276</v>
      </c>
      <c r="B69" s="12" t="s">
        <v>91</v>
      </c>
      <c r="C69" s="32" t="n">
        <f aca="false">MAX(C68,輸入與假設!$C$50)-輸入與假設!$C$132</f>
        <v>20.836</v>
      </c>
      <c r="D69" s="32" t="n">
        <f aca="false">D68</f>
        <v>38.335</v>
      </c>
      <c r="E69" s="32" t="n">
        <f aca="false">E68</f>
        <v>29.41</v>
      </c>
      <c r="F69" s="32" t="n">
        <f aca="false">F68</f>
        <v>27.2</v>
      </c>
      <c r="G69" s="32" t="n">
        <f aca="false">G68</f>
        <v>23.63</v>
      </c>
      <c r="I69" s="12" t="s">
        <v>277</v>
      </c>
    </row>
    <row r="70" customFormat="false" ht="15" hidden="true" customHeight="false" outlineLevel="2" collapsed="false">
      <c r="A70" s="4" t="s">
        <v>278</v>
      </c>
      <c r="B70" s="12" t="s">
        <v>91</v>
      </c>
      <c r="C70" s="32" t="n">
        <f aca="false">IF(2026-輸入與假設!$C$51=2023,輸入與假設!$C$52,IF(2026-輸入與假設!$C$51=2024,輸入與假設!$C$53-輸入與假設!$C$52,IF(2026-輸入與假設!$C$51=2025,輸入與假設!$C$19-輸入與假設!$C$53,0)))*C57*輸入與假設!$C$55/1000</f>
        <v>0</v>
      </c>
      <c r="D70" s="32" t="n">
        <f aca="false">IF(2027-輸入與假設!$C$51=2023,輸入與假設!$C$52,IF(2027-輸入與假設!$C$51=2024,輸入與假設!$C$53-輸入與假設!$C$52,IF(2027-輸入與假設!$C$51=2025,輸入與假設!$C$19-輸入與假設!$C$53,0)))*D57*輸入與假設!$C$55/1000</f>
        <v>0</v>
      </c>
      <c r="E70" s="32" t="n">
        <f aca="false">IF(2028-輸入與假設!$C$51=2023,輸入與假設!$C$52,IF(2028-輸入與假設!$C$51=2024,輸入與假設!$C$53-輸入與假設!$C$52,IF(2028-輸入與假設!$C$51=2025,輸入與假設!$C$19-輸入與假設!$C$53,0)))*E57*輸入與假設!$C$55/1000</f>
        <v>0</v>
      </c>
      <c r="F70" s="32" t="n">
        <f aca="false">IF(2029-輸入與假設!$C$51=2023,輸入與假設!$C$52,IF(2029-輸入與假設!$C$51=2024,輸入與假設!$C$53-輸入與假設!$C$52,IF(2029-輸入與假設!$C$51=2025,輸入與假設!$C$19-輸入與假設!$C$53,0)))*F57*輸入與假設!$C$55/1000</f>
        <v>3.4</v>
      </c>
      <c r="G70" s="32" t="n">
        <f aca="false">IF(2030-輸入與假設!$C$51=2023,輸入與假設!$C$52,IF(2030-輸入與假設!$C$51=2024,輸入與假設!$C$53-輸入與假設!$C$52,IF(2030-輸入與假設!$C$51=2025,輸入與假設!$C$19-輸入與假設!$C$53,0)))*G57*輸入與假設!$C$55/1000</f>
        <v>8.84</v>
      </c>
      <c r="I70" s="7" t="s">
        <v>279</v>
      </c>
    </row>
    <row r="71" customFormat="false" ht="15" hidden="true" customHeight="false" outlineLevel="2" collapsed="false">
      <c r="A71" s="3" t="s">
        <v>280</v>
      </c>
      <c r="B71" s="12" t="s">
        <v>91</v>
      </c>
      <c r="C71" s="32" t="n">
        <f aca="false">輸入與假設!$C$54</f>
        <v>46.736</v>
      </c>
      <c r="D71" s="32" t="n">
        <f aca="false">C71+C69</f>
        <v>67.572</v>
      </c>
      <c r="E71" s="32" t="n">
        <f aca="false">D71+D69</f>
        <v>105.907</v>
      </c>
      <c r="F71" s="32" t="n">
        <f aca="false">E71+E69</f>
        <v>135.317</v>
      </c>
      <c r="G71" s="32" t="n">
        <f aca="false">F71+F69</f>
        <v>162.517</v>
      </c>
      <c r="I71" s="7" t="s">
        <v>281</v>
      </c>
    </row>
    <row r="72" customFormat="false" ht="15" hidden="false" customHeight="false" outlineLevel="1" collapsed="false">
      <c r="A72" s="35" t="s">
        <v>282</v>
      </c>
      <c r="B72" s="21"/>
      <c r="C72" s="21"/>
      <c r="D72" s="21"/>
      <c r="E72" s="21"/>
      <c r="F72" s="21"/>
      <c r="G72" s="21"/>
      <c r="H72" s="21"/>
    </row>
    <row r="73" customFormat="false" ht="15" hidden="false" customHeight="false" outlineLevel="2" collapsed="false">
      <c r="A73" s="3" t="s">
        <v>283</v>
      </c>
      <c r="B73" s="12" t="s">
        <v>91</v>
      </c>
      <c r="C73" s="36" t="n">
        <f aca="false">C69+C70</f>
        <v>20.836</v>
      </c>
      <c r="D73" s="36" t="n">
        <f aca="false">D69+D70</f>
        <v>38.335</v>
      </c>
      <c r="E73" s="36" t="n">
        <f aca="false">E69+E70</f>
        <v>29.41</v>
      </c>
      <c r="F73" s="36" t="n">
        <f aca="false">F69+F70</f>
        <v>30.6</v>
      </c>
      <c r="G73" s="36" t="n">
        <f aca="false">G69+G70</f>
        <v>32.47</v>
      </c>
      <c r="I73" s="7" t="s">
        <v>284</v>
      </c>
    </row>
    <row r="74" customFormat="false" ht="15" hidden="false" customHeight="false" outlineLevel="2" collapsed="false">
      <c r="A74" s="4" t="s">
        <v>285</v>
      </c>
      <c r="B74" s="12" t="s">
        <v>91</v>
      </c>
      <c r="C74" s="36" t="n">
        <f aca="false">(C71+0.5*C69)/輸入與假設!$C$51*C24</f>
        <v>4.76283333333333</v>
      </c>
      <c r="D74" s="36" t="n">
        <f aca="false">(D71+0.5*D69)/輸入與假設!$C$51*D24</f>
        <v>14.4565833333333</v>
      </c>
      <c r="E74" s="36" t="n">
        <f aca="false">(E71+0.5*E69)/輸入與假設!$C$51*E24</f>
        <v>20.102</v>
      </c>
      <c r="F74" s="36" t="n">
        <f aca="false">(F71+0.5*F69)/輸入與假設!$C$51*F24</f>
        <v>24.8195</v>
      </c>
      <c r="G74" s="36" t="n">
        <f aca="false">(G71+0.5*G69)/輸入與假設!$C$51*G24</f>
        <v>29.0553333333333</v>
      </c>
      <c r="I74" s="7" t="s">
        <v>286</v>
      </c>
    </row>
    <row r="76" customFormat="false" ht="15" hidden="false" customHeight="false" outlineLevel="0" collapsed="false">
      <c r="A76" s="8" t="s">
        <v>287</v>
      </c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1" collapsed="false">
      <c r="A77" s="3" t="s">
        <v>288</v>
      </c>
      <c r="B77" s="12" t="s">
        <v>91</v>
      </c>
      <c r="C77" s="24" t="n">
        <v>5.5</v>
      </c>
      <c r="I77" s="12" t="s">
        <v>289</v>
      </c>
    </row>
    <row r="78" customFormat="false" ht="15" hidden="false" customHeight="false" outlineLevel="1" collapsed="false">
      <c r="A78" s="3" t="s">
        <v>290</v>
      </c>
      <c r="B78" s="12" t="s">
        <v>91</v>
      </c>
      <c r="C78" s="24" t="n">
        <v>6.2</v>
      </c>
      <c r="I78" s="12" t="s">
        <v>291</v>
      </c>
    </row>
    <row r="79" customFormat="false" ht="15" hidden="false" customHeight="false" outlineLevel="1" collapsed="false">
      <c r="A79" s="3" t="s">
        <v>292</v>
      </c>
      <c r="B79" s="7"/>
      <c r="C79" s="22" t="n">
        <v>1</v>
      </c>
      <c r="I79" s="7" t="s">
        <v>293</v>
      </c>
    </row>
    <row r="80" customFormat="false" ht="15" hidden="false" customHeight="false" outlineLevel="1" collapsed="false">
      <c r="A80" s="3" t="s">
        <v>294</v>
      </c>
      <c r="B80" s="12" t="s">
        <v>91</v>
      </c>
      <c r="C80" s="24" t="n">
        <v>10</v>
      </c>
      <c r="I80" s="12" t="s">
        <v>295</v>
      </c>
    </row>
    <row r="81" customFormat="false" ht="15" hidden="false" customHeight="false" outlineLevel="1" collapsed="false">
      <c r="A81" s="3" t="s">
        <v>296</v>
      </c>
      <c r="B81" s="7"/>
      <c r="C81" s="22" t="n">
        <v>1</v>
      </c>
      <c r="I81" s="7" t="s">
        <v>297</v>
      </c>
    </row>
    <row r="82" customFormat="false" ht="15" hidden="false" customHeight="false" outlineLevel="1" collapsed="false">
      <c r="A82" s="3" t="s">
        <v>298</v>
      </c>
      <c r="B82" s="7"/>
      <c r="C82" s="22" t="n">
        <v>1</v>
      </c>
      <c r="I82" s="12" t="s">
        <v>299</v>
      </c>
    </row>
    <row r="83" customFormat="false" ht="15" hidden="false" customHeight="false" outlineLevel="1" collapsed="false">
      <c r="A83" s="3" t="s">
        <v>300</v>
      </c>
      <c r="B83" s="12" t="s">
        <v>130</v>
      </c>
      <c r="C83" s="37" t="n">
        <v>1</v>
      </c>
      <c r="I83" s="7" t="s">
        <v>301</v>
      </c>
    </row>
    <row r="84" customFormat="false" ht="15" hidden="false" customHeight="false" outlineLevel="1" collapsed="false">
      <c r="A84" s="3" t="s">
        <v>302</v>
      </c>
      <c r="B84" s="7" t="s">
        <v>245</v>
      </c>
      <c r="C84" s="22" t="n">
        <v>5</v>
      </c>
      <c r="I84" s="12" t="s">
        <v>303</v>
      </c>
    </row>
    <row r="85" customFormat="false" ht="15" hidden="false" customHeight="false" outlineLevel="1" collapsed="false">
      <c r="A85" s="3" t="s">
        <v>304</v>
      </c>
      <c r="B85" s="12" t="s">
        <v>91</v>
      </c>
      <c r="C85" s="24" t="n">
        <v>2</v>
      </c>
      <c r="I85" s="7" t="s">
        <v>305</v>
      </c>
    </row>
    <row r="86" customFormat="false" ht="15" hidden="false" customHeight="false" outlineLevel="1" collapsed="false">
      <c r="A86" s="3" t="s">
        <v>306</v>
      </c>
      <c r="B86" s="12" t="s">
        <v>74</v>
      </c>
      <c r="C86" s="38" t="n">
        <v>90.13</v>
      </c>
      <c r="I86" s="7" t="s">
        <v>307</v>
      </c>
    </row>
    <row r="87" customFormat="false" ht="15" hidden="false" customHeight="false" outlineLevel="1" collapsed="false">
      <c r="A87" s="3" t="s">
        <v>308</v>
      </c>
      <c r="B87" s="12" t="s">
        <v>77</v>
      </c>
      <c r="C87" s="23" t="n">
        <v>0.1</v>
      </c>
      <c r="I87" s="7" t="s">
        <v>309</v>
      </c>
    </row>
    <row r="88" customFormat="false" ht="15" hidden="false" customHeight="false" outlineLevel="1" collapsed="false">
      <c r="A88" s="3" t="s">
        <v>310</v>
      </c>
      <c r="B88" s="12" t="s">
        <v>77</v>
      </c>
      <c r="C88" s="23" t="n">
        <v>0.2</v>
      </c>
      <c r="I88" s="12" t="s">
        <v>311</v>
      </c>
    </row>
    <row r="89" customFormat="false" ht="15" hidden="false" customHeight="false" outlineLevel="1" collapsed="false">
      <c r="A89" s="3" t="s">
        <v>312</v>
      </c>
      <c r="B89" s="12" t="s">
        <v>77</v>
      </c>
      <c r="C89" s="23" t="n">
        <v>0.12</v>
      </c>
      <c r="I89" s="7" t="s">
        <v>313</v>
      </c>
    </row>
    <row r="90" customFormat="false" ht="15" hidden="false" customHeight="false" outlineLevel="1" collapsed="false">
      <c r="A90" s="4" t="s">
        <v>314</v>
      </c>
      <c r="B90" s="12" t="s">
        <v>315</v>
      </c>
      <c r="C90" s="22" t="n">
        <v>720</v>
      </c>
      <c r="I90" s="12" t="s">
        <v>316</v>
      </c>
    </row>
    <row r="91" customFormat="false" ht="15" hidden="false" customHeight="false" outlineLevel="1" collapsed="false">
      <c r="A91" s="4" t="s">
        <v>317</v>
      </c>
      <c r="B91" s="7"/>
      <c r="C91" s="22" t="n">
        <v>0</v>
      </c>
      <c r="I91" s="7" t="s">
        <v>318</v>
      </c>
    </row>
    <row r="92" customFormat="false" ht="15" hidden="false" customHeight="false" outlineLevel="1" collapsed="false">
      <c r="A92" s="15" t="s">
        <v>85</v>
      </c>
      <c r="B92" s="15" t="s">
        <v>86</v>
      </c>
      <c r="C92" s="27" t="s">
        <v>87</v>
      </c>
      <c r="D92" s="27" t="s">
        <v>88</v>
      </c>
      <c r="E92" s="27" t="s">
        <v>89</v>
      </c>
      <c r="F92" s="27" t="s">
        <v>166</v>
      </c>
      <c r="G92" s="27" t="s">
        <v>167</v>
      </c>
      <c r="I92" s="15" t="s">
        <v>197</v>
      </c>
    </row>
    <row r="93" customFormat="false" ht="15" hidden="false" customHeight="false" outlineLevel="1" collapsed="false">
      <c r="A93" s="3" t="s">
        <v>319</v>
      </c>
      <c r="B93" s="12" t="s">
        <v>91</v>
      </c>
      <c r="C93" s="24" t="n">
        <v>4.413</v>
      </c>
      <c r="D93" s="24" t="n">
        <v>6.184</v>
      </c>
      <c r="E93" s="24" t="n">
        <v>4.416</v>
      </c>
      <c r="F93" s="24" t="n">
        <v>2.421</v>
      </c>
      <c r="G93" s="24" t="n">
        <v>3.221</v>
      </c>
      <c r="I93" s="7" t="s">
        <v>320</v>
      </c>
    </row>
    <row r="94" customFormat="false" ht="15" hidden="false" customHeight="false" outlineLevel="1" collapsed="false">
      <c r="A94" s="3" t="s">
        <v>321</v>
      </c>
      <c r="B94" s="12" t="s">
        <v>77</v>
      </c>
      <c r="C94" s="23" t="n">
        <v>0.09</v>
      </c>
      <c r="D94" s="23" t="n">
        <v>0.09</v>
      </c>
      <c r="E94" s="23" t="n">
        <v>0.09</v>
      </c>
      <c r="F94" s="23" t="n">
        <v>0.09</v>
      </c>
      <c r="G94" s="23" t="n">
        <v>0.09</v>
      </c>
      <c r="I94" s="7" t="s">
        <v>322</v>
      </c>
    </row>
    <row r="95" customFormat="false" ht="15" hidden="false" customHeight="false" outlineLevel="1" collapsed="false">
      <c r="A95" s="3" t="s">
        <v>323</v>
      </c>
      <c r="B95" s="12" t="s">
        <v>91</v>
      </c>
      <c r="C95" s="39" t="n">
        <f aca="false">資產負債_既有債務!C35</f>
        <v>1.80589628695395</v>
      </c>
      <c r="D95" s="39" t="n">
        <f aca="false">資產負債_既有債務!D35</f>
        <v>2.46600676169447</v>
      </c>
      <c r="E95" s="39" t="n">
        <f aca="false">資產負債_既有債務!E35</f>
        <v>2.02009474796771</v>
      </c>
      <c r="F95" s="39" t="n">
        <f aca="false">資產負債_既有債務!F35</f>
        <v>1.73248149911395</v>
      </c>
      <c r="G95" s="39" t="n">
        <f aca="false">資產負債_既有債務!G35</f>
        <v>1.49513851973222</v>
      </c>
      <c r="I95" s="7" t="s">
        <v>324</v>
      </c>
    </row>
    <row r="97" customFormat="false" ht="15" hidden="false" customHeight="false" outlineLevel="0" collapsed="false">
      <c r="A97" s="8" t="s">
        <v>325</v>
      </c>
      <c r="B97" s="9"/>
      <c r="C97" s="9"/>
      <c r="D97" s="9"/>
      <c r="E97" s="9"/>
      <c r="F97" s="9"/>
      <c r="G97" s="9"/>
      <c r="H97" s="9"/>
    </row>
    <row r="98" customFormat="false" ht="15" hidden="false" customHeight="false" outlineLevel="1" collapsed="false">
      <c r="A98" s="3" t="s">
        <v>326</v>
      </c>
      <c r="B98" s="12" t="s">
        <v>74</v>
      </c>
      <c r="C98" s="38" t="n">
        <v>90.13</v>
      </c>
      <c r="I98" s="12" t="s">
        <v>327</v>
      </c>
    </row>
    <row r="99" customFormat="false" ht="15" hidden="false" customHeight="false" outlineLevel="1" collapsed="false">
      <c r="A99" s="3" t="s">
        <v>328</v>
      </c>
      <c r="B99" s="12" t="s">
        <v>329</v>
      </c>
      <c r="C99" s="40" t="n">
        <v>0.587</v>
      </c>
      <c r="I99" s="12" t="s">
        <v>330</v>
      </c>
    </row>
    <row r="100" customFormat="false" ht="15" hidden="false" customHeight="false" outlineLevel="1" collapsed="false">
      <c r="A100" s="3" t="s">
        <v>331</v>
      </c>
      <c r="B100" s="12" t="s">
        <v>91</v>
      </c>
      <c r="C100" s="24" t="n">
        <v>30</v>
      </c>
      <c r="I100" s="7" t="s">
        <v>332</v>
      </c>
    </row>
    <row r="101" customFormat="false" ht="15" hidden="false" customHeight="false" outlineLevel="1" collapsed="false">
      <c r="A101" s="4" t="s">
        <v>333</v>
      </c>
      <c r="B101" s="12" t="s">
        <v>77</v>
      </c>
      <c r="C101" s="23" t="n">
        <v>0.11</v>
      </c>
      <c r="I101" s="12" t="s">
        <v>216</v>
      </c>
    </row>
    <row r="102" customFormat="false" ht="15" hidden="false" customHeight="false" outlineLevel="1" collapsed="false">
      <c r="A102" s="3" t="s">
        <v>334</v>
      </c>
      <c r="B102" s="12" t="s">
        <v>77</v>
      </c>
      <c r="C102" s="23" t="n">
        <v>0.03</v>
      </c>
      <c r="I102" s="12" t="s">
        <v>216</v>
      </c>
    </row>
    <row r="103" customFormat="false" ht="15" hidden="false" customHeight="false" outlineLevel="1" collapsed="false">
      <c r="A103" s="3" t="s">
        <v>335</v>
      </c>
      <c r="B103" s="12" t="s">
        <v>77</v>
      </c>
      <c r="C103" s="23" t="n">
        <v>0.8</v>
      </c>
      <c r="I103" s="7" t="s">
        <v>336</v>
      </c>
    </row>
    <row r="104" customFormat="false" ht="15" hidden="false" customHeight="false" outlineLevel="1" collapsed="false">
      <c r="A104" s="3" t="s">
        <v>337</v>
      </c>
      <c r="B104" s="12" t="s">
        <v>77</v>
      </c>
      <c r="C104" s="23" t="n">
        <v>0.21</v>
      </c>
      <c r="I104" s="7" t="s">
        <v>338</v>
      </c>
    </row>
    <row r="105" customFormat="false" ht="15" hidden="false" customHeight="false" outlineLevel="1" collapsed="false">
      <c r="A105" s="3" t="s">
        <v>339</v>
      </c>
      <c r="B105" s="12" t="s">
        <v>91</v>
      </c>
      <c r="C105" s="24" t="n">
        <v>4</v>
      </c>
      <c r="I105" s="12" t="s">
        <v>340</v>
      </c>
    </row>
    <row r="106" customFormat="false" ht="15" hidden="false" customHeight="false" outlineLevel="1" collapsed="false">
      <c r="A106" s="4" t="s">
        <v>341</v>
      </c>
      <c r="B106" s="12" t="s">
        <v>130</v>
      </c>
      <c r="C106" s="41" t="n">
        <v>6</v>
      </c>
      <c r="I106" s="7" t="s">
        <v>342</v>
      </c>
    </row>
    <row r="107" customFormat="false" ht="15" hidden="false" customHeight="false" outlineLevel="1" collapsed="false">
      <c r="A107" s="4" t="s">
        <v>343</v>
      </c>
      <c r="B107" s="7"/>
      <c r="C107" s="19" t="n">
        <v>3</v>
      </c>
      <c r="I107" s="12" t="s">
        <v>344</v>
      </c>
    </row>
    <row r="108" customFormat="false" ht="15" hidden="false" customHeight="false" outlineLevel="1" collapsed="false">
      <c r="A108" s="3" t="s">
        <v>345</v>
      </c>
      <c r="B108" s="12" t="s">
        <v>77</v>
      </c>
      <c r="C108" s="23" t="n">
        <v>0.45</v>
      </c>
      <c r="I108" s="7"/>
    </row>
    <row r="109" customFormat="false" ht="15" hidden="false" customHeight="false" outlineLevel="1" collapsed="false">
      <c r="A109" s="3" t="s">
        <v>346</v>
      </c>
      <c r="B109" s="12" t="s">
        <v>77</v>
      </c>
      <c r="C109" s="23" t="n">
        <v>0.55</v>
      </c>
      <c r="I109" s="7"/>
    </row>
    <row r="110" customFormat="false" ht="15" hidden="false" customHeight="false" outlineLevel="1" collapsed="false">
      <c r="A110" s="3" t="s">
        <v>347</v>
      </c>
      <c r="B110" s="12" t="s">
        <v>130</v>
      </c>
      <c r="C110" s="41" t="n">
        <v>5</v>
      </c>
      <c r="I110" s="12" t="s">
        <v>348</v>
      </c>
    </row>
    <row r="111" customFormat="false" ht="15" hidden="false" customHeight="false" outlineLevel="1" collapsed="false">
      <c r="A111" s="3" t="s">
        <v>349</v>
      </c>
      <c r="B111" s="12" t="s">
        <v>130</v>
      </c>
      <c r="C111" s="41" t="n">
        <v>6</v>
      </c>
      <c r="I111" s="7"/>
    </row>
    <row r="112" customFormat="false" ht="15" hidden="false" customHeight="false" outlineLevel="1" collapsed="false">
      <c r="A112" s="3" t="s">
        <v>350</v>
      </c>
      <c r="B112" s="12" t="s">
        <v>77</v>
      </c>
      <c r="C112" s="23" t="n">
        <v>0.01</v>
      </c>
      <c r="I112" s="12" t="s">
        <v>351</v>
      </c>
    </row>
    <row r="113" customFormat="false" ht="15" hidden="false" customHeight="false" outlineLevel="1" collapsed="false">
      <c r="A113" s="3" t="s">
        <v>352</v>
      </c>
      <c r="B113" s="12" t="s">
        <v>91</v>
      </c>
      <c r="C113" s="24" t="n">
        <v>0.7</v>
      </c>
      <c r="I113" s="12" t="s">
        <v>353</v>
      </c>
    </row>
    <row r="114" customFormat="false" ht="15" hidden="false" customHeight="false" outlineLevel="1" collapsed="false">
      <c r="A114" s="35" t="s">
        <v>354</v>
      </c>
      <c r="B114" s="21"/>
      <c r="C114" s="21"/>
      <c r="D114" s="21"/>
      <c r="E114" s="21"/>
      <c r="F114" s="21"/>
      <c r="G114" s="21"/>
      <c r="H114" s="21"/>
    </row>
    <row r="115" customFormat="false" ht="15" hidden="false" customHeight="false" outlineLevel="2" collapsed="false">
      <c r="A115" s="4" t="s">
        <v>355</v>
      </c>
      <c r="B115" s="7"/>
      <c r="C115" s="19" t="n">
        <v>1</v>
      </c>
      <c r="I115" s="12" t="s">
        <v>356</v>
      </c>
    </row>
    <row r="116" customFormat="false" ht="15" hidden="false" customHeight="false" outlineLevel="2" collapsed="false">
      <c r="A116" s="3" t="s">
        <v>357</v>
      </c>
      <c r="B116" s="12" t="s">
        <v>77</v>
      </c>
      <c r="C116" s="23" t="n">
        <v>0.5</v>
      </c>
      <c r="I116" s="7" t="s">
        <v>358</v>
      </c>
    </row>
    <row r="117" customFormat="false" ht="15" hidden="false" customHeight="false" outlineLevel="2" collapsed="false">
      <c r="A117" s="3" t="s">
        <v>359</v>
      </c>
      <c r="B117" s="12" t="s">
        <v>77</v>
      </c>
      <c r="C117" s="23" t="n">
        <v>0.04</v>
      </c>
      <c r="I117" s="7" t="s">
        <v>358</v>
      </c>
    </row>
    <row r="118" customFormat="false" ht="15" hidden="false" customHeight="false" outlineLevel="2" collapsed="false">
      <c r="A118" s="3" t="s">
        <v>360</v>
      </c>
      <c r="B118" s="7" t="s">
        <v>245</v>
      </c>
      <c r="C118" s="34" t="n">
        <v>4.5</v>
      </c>
      <c r="I118" s="7" t="s">
        <v>361</v>
      </c>
    </row>
    <row r="119" customFormat="false" ht="15" hidden="false" customHeight="false" outlineLevel="1" collapsed="false">
      <c r="A119" s="20" t="s">
        <v>362</v>
      </c>
      <c r="B119" s="21"/>
      <c r="C119" s="21"/>
      <c r="D119" s="21"/>
      <c r="E119" s="21"/>
      <c r="F119" s="21"/>
      <c r="G119" s="21"/>
      <c r="H119" s="21"/>
    </row>
    <row r="120" customFormat="false" ht="15" hidden="false" customHeight="false" outlineLevel="2" collapsed="false">
      <c r="A120" s="3" t="s">
        <v>363</v>
      </c>
      <c r="B120" s="12" t="s">
        <v>77</v>
      </c>
      <c r="C120" s="23" t="n">
        <v>0.25</v>
      </c>
      <c r="I120" s="7" t="s">
        <v>364</v>
      </c>
    </row>
    <row r="121" customFormat="false" ht="15" hidden="false" customHeight="false" outlineLevel="2" collapsed="false">
      <c r="A121" s="3" t="s">
        <v>365</v>
      </c>
      <c r="B121" s="12" t="s">
        <v>77</v>
      </c>
      <c r="C121" s="23" t="n">
        <v>0.9</v>
      </c>
      <c r="I121" s="7" t="s">
        <v>366</v>
      </c>
    </row>
    <row r="122" customFormat="false" ht="15" hidden="false" customHeight="false" outlineLevel="2" collapsed="false">
      <c r="A122" s="3" t="s">
        <v>367</v>
      </c>
      <c r="B122" s="12" t="s">
        <v>77</v>
      </c>
      <c r="C122" s="23" t="n">
        <v>-0.15</v>
      </c>
      <c r="I122" s="7" t="s">
        <v>368</v>
      </c>
    </row>
    <row r="123" customFormat="false" ht="15" hidden="false" customHeight="false" outlineLevel="2" collapsed="false">
      <c r="A123" s="3" t="s">
        <v>369</v>
      </c>
      <c r="B123" s="12" t="s">
        <v>130</v>
      </c>
      <c r="C123" s="41" t="n">
        <v>1.5</v>
      </c>
      <c r="I123" s="7" t="s">
        <v>370</v>
      </c>
    </row>
    <row r="124" customFormat="false" ht="15" hidden="false" customHeight="false" outlineLevel="2" collapsed="false">
      <c r="A124" s="3" t="s">
        <v>371</v>
      </c>
      <c r="B124" s="12" t="s">
        <v>77</v>
      </c>
      <c r="C124" s="23" t="n">
        <v>-0.08</v>
      </c>
      <c r="I124" s="7" t="s">
        <v>372</v>
      </c>
    </row>
    <row r="125" customFormat="false" ht="15" hidden="false" customHeight="false" outlineLevel="2" collapsed="false">
      <c r="A125" s="3" t="s">
        <v>373</v>
      </c>
      <c r="B125" s="12" t="s">
        <v>77</v>
      </c>
      <c r="C125" s="23" t="n">
        <v>0.05</v>
      </c>
      <c r="I125" s="7" t="s">
        <v>374</v>
      </c>
    </row>
    <row r="126" customFormat="false" ht="15" hidden="false" customHeight="false" outlineLevel="2" collapsed="false">
      <c r="A126" s="3" t="s">
        <v>375</v>
      </c>
      <c r="B126" s="12" t="s">
        <v>77</v>
      </c>
      <c r="C126" s="23" t="n">
        <v>0.85</v>
      </c>
      <c r="I126" s="7" t="s">
        <v>376</v>
      </c>
    </row>
    <row r="128" customFormat="false" ht="15" hidden="false" customHeight="false" outlineLevel="0" collapsed="true">
      <c r="A128" s="8" t="s">
        <v>377</v>
      </c>
      <c r="B128" s="9"/>
      <c r="C128" s="9"/>
      <c r="D128" s="9"/>
      <c r="E128" s="9"/>
      <c r="F128" s="9"/>
      <c r="G128" s="9"/>
      <c r="H128" s="9"/>
    </row>
    <row r="129" customFormat="false" ht="15" hidden="true" customHeight="false" outlineLevel="1" collapsed="false">
      <c r="A129" s="4" t="s">
        <v>378</v>
      </c>
      <c r="B129" s="12" t="s">
        <v>91</v>
      </c>
      <c r="C129" s="24" t="n">
        <v>3.127</v>
      </c>
      <c r="I129" s="12" t="s">
        <v>379</v>
      </c>
    </row>
    <row r="130" customFormat="false" ht="15" hidden="true" customHeight="false" outlineLevel="1" collapsed="false">
      <c r="A130" s="3" t="s">
        <v>380</v>
      </c>
      <c r="B130" s="12" t="s">
        <v>91</v>
      </c>
      <c r="C130" s="24" t="n">
        <v>3.663</v>
      </c>
      <c r="I130" s="7" t="s">
        <v>381</v>
      </c>
    </row>
    <row r="131" customFormat="false" ht="15" hidden="true" customHeight="false" outlineLevel="1" collapsed="false">
      <c r="A131" s="3" t="s">
        <v>382</v>
      </c>
      <c r="B131" s="12" t="s">
        <v>91</v>
      </c>
      <c r="C131" s="24" t="n">
        <v>14.117</v>
      </c>
      <c r="I131" s="7" t="s">
        <v>383</v>
      </c>
    </row>
    <row r="132" customFormat="false" ht="15" hidden="true" customHeight="false" outlineLevel="1" collapsed="false">
      <c r="A132" s="4" t="s">
        <v>384</v>
      </c>
      <c r="B132" s="12" t="s">
        <v>91</v>
      </c>
      <c r="C132" s="24" t="n">
        <v>16.139</v>
      </c>
      <c r="I132" s="12" t="s">
        <v>385</v>
      </c>
    </row>
    <row r="133" customFormat="false" ht="15" hidden="true" customHeight="false" outlineLevel="1" collapsed="false">
      <c r="A133" s="4" t="s">
        <v>386</v>
      </c>
      <c r="B133" s="12" t="s">
        <v>91</v>
      </c>
      <c r="C133" s="24" t="n">
        <v>0.688</v>
      </c>
      <c r="I133" s="12" t="s">
        <v>387</v>
      </c>
    </row>
    <row r="134" customFormat="false" ht="15" hidden="true" customHeight="false" outlineLevel="1" collapsed="false">
      <c r="A134" s="3" t="s">
        <v>388</v>
      </c>
      <c r="B134" s="12" t="s">
        <v>91</v>
      </c>
      <c r="C134" s="24" t="n">
        <v>16.747</v>
      </c>
      <c r="I134" s="7" t="s">
        <v>389</v>
      </c>
    </row>
    <row r="135" customFormat="false" ht="15" hidden="true" customHeight="false" outlineLevel="1" collapsed="false">
      <c r="A135" s="3" t="s">
        <v>390</v>
      </c>
      <c r="B135" s="12" t="s">
        <v>91</v>
      </c>
      <c r="C135" s="24" t="n">
        <v>5.219</v>
      </c>
      <c r="I135" s="7" t="s">
        <v>391</v>
      </c>
    </row>
    <row r="136" customFormat="false" ht="15" hidden="true" customHeight="false" outlineLevel="1" collapsed="false">
      <c r="A136" s="4" t="s">
        <v>392</v>
      </c>
      <c r="B136" s="12" t="s">
        <v>91</v>
      </c>
      <c r="C136" s="24" t="n">
        <v>0.492</v>
      </c>
      <c r="I136" s="12" t="s">
        <v>393</v>
      </c>
    </row>
    <row r="137" customFormat="false" ht="15" hidden="true" customHeight="false" outlineLevel="1" collapsed="false">
      <c r="A137" s="3" t="s">
        <v>394</v>
      </c>
      <c r="B137" s="12" t="s">
        <v>91</v>
      </c>
      <c r="C137" s="24" t="n">
        <v>2.982</v>
      </c>
      <c r="I137" s="12" t="s">
        <v>395</v>
      </c>
    </row>
    <row r="138" customFormat="false" ht="15" hidden="true" customHeight="false" outlineLevel="1" collapsed="false">
      <c r="A138" s="3" t="s">
        <v>396</v>
      </c>
      <c r="B138" s="12" t="s">
        <v>91</v>
      </c>
      <c r="C138" s="24" t="n">
        <v>1.176</v>
      </c>
      <c r="I138" s="7" t="s">
        <v>397</v>
      </c>
    </row>
    <row r="139" customFormat="false" ht="15" hidden="true" customHeight="false" outlineLevel="1" collapsed="false">
      <c r="A139" s="3" t="s">
        <v>398</v>
      </c>
      <c r="B139" s="12" t="s">
        <v>91</v>
      </c>
      <c r="C139" s="24" t="n">
        <v>0.748</v>
      </c>
      <c r="I139" s="7" t="s">
        <v>399</v>
      </c>
    </row>
    <row r="140" customFormat="false" ht="15" hidden="true" customHeight="false" outlineLevel="1" collapsed="false">
      <c r="A140" s="3" t="s">
        <v>400</v>
      </c>
      <c r="B140" s="12" t="s">
        <v>91</v>
      </c>
      <c r="C140" s="24" t="n">
        <v>4.653</v>
      </c>
      <c r="I140" s="12" t="s">
        <v>401</v>
      </c>
    </row>
    <row r="141" customFormat="false" ht="15" hidden="true" customHeight="false" outlineLevel="1" collapsed="false">
      <c r="A141" s="4" t="s">
        <v>402</v>
      </c>
      <c r="B141" s="12" t="s">
        <v>91</v>
      </c>
      <c r="C141" s="24" t="n">
        <v>-0.193</v>
      </c>
      <c r="I141" s="12" t="s">
        <v>403</v>
      </c>
    </row>
    <row r="142" customFormat="false" ht="15" hidden="true" customHeight="false" outlineLevel="1" collapsed="false">
      <c r="A142" s="3" t="s">
        <v>404</v>
      </c>
      <c r="B142" s="12" t="s">
        <v>91</v>
      </c>
      <c r="C142" s="24" t="n">
        <v>-1.366</v>
      </c>
      <c r="I142" s="12" t="s">
        <v>403</v>
      </c>
    </row>
    <row r="143" customFormat="false" ht="15" hidden="true" customHeight="false" outlineLevel="1" collapsed="false">
      <c r="A143" s="3" t="s">
        <v>405</v>
      </c>
      <c r="B143" s="12" t="s">
        <v>91</v>
      </c>
      <c r="C143" s="24" t="n">
        <v>1.365</v>
      </c>
      <c r="I143" s="7" t="s">
        <v>399</v>
      </c>
    </row>
    <row r="144" customFormat="false" ht="15" hidden="true" customHeight="false" outlineLevel="1" collapsed="false">
      <c r="A144" s="4" t="s">
        <v>406</v>
      </c>
      <c r="B144" s="12" t="s">
        <v>91</v>
      </c>
      <c r="C144" s="24" t="n">
        <v>2.54</v>
      </c>
      <c r="I144" s="7" t="s">
        <v>407</v>
      </c>
    </row>
    <row r="145" customFormat="false" ht="15" hidden="true" customHeight="false" outlineLevel="1" collapsed="false">
      <c r="A145" s="4" t="s">
        <v>408</v>
      </c>
      <c r="B145" s="12" t="s">
        <v>91</v>
      </c>
      <c r="C145" s="24" t="n">
        <v>0.318</v>
      </c>
      <c r="I145" s="7" t="s">
        <v>407</v>
      </c>
    </row>
    <row r="146" customFormat="false" ht="15" hidden="true" customHeight="false" outlineLevel="1" collapsed="false">
      <c r="A146" s="4" t="s">
        <v>409</v>
      </c>
      <c r="B146" s="12" t="s">
        <v>74</v>
      </c>
      <c r="C146" s="24" t="n">
        <v>-2.53</v>
      </c>
      <c r="I146" s="7" t="s">
        <v>410</v>
      </c>
    </row>
    <row r="147" customFormat="false" ht="15" hidden="true" customHeight="false" outlineLevel="1" collapsed="false">
      <c r="A147" s="4" t="s">
        <v>411</v>
      </c>
      <c r="B147" s="12" t="s">
        <v>74</v>
      </c>
      <c r="C147" s="24" t="n">
        <v>-1.94</v>
      </c>
      <c r="I147" s="12" t="s">
        <v>412</v>
      </c>
    </row>
    <row r="148" customFormat="false" ht="15" hidden="true" customHeight="false" outlineLevel="1" collapsed="false">
      <c r="A148" s="3" t="s">
        <v>413</v>
      </c>
      <c r="B148" s="12" t="s">
        <v>91</v>
      </c>
      <c r="C148" s="24" t="n">
        <v>2.667</v>
      </c>
      <c r="I148" s="12" t="s">
        <v>414</v>
      </c>
    </row>
    <row r="150" customFormat="false" ht="15" hidden="false" customHeight="false" outlineLevel="0" collapsed="false">
      <c r="A150" s="8" t="s">
        <v>415</v>
      </c>
      <c r="B150" s="9"/>
      <c r="C150" s="9"/>
      <c r="D150" s="9"/>
      <c r="E150" s="9"/>
      <c r="F150" s="9"/>
      <c r="G150" s="9"/>
      <c r="H150" s="9"/>
      <c r="I150" s="7" t="s">
        <v>416</v>
      </c>
    </row>
    <row r="151" customFormat="false" ht="15" hidden="false" customHeight="false" outlineLevel="1" collapsed="false">
      <c r="A151" s="3" t="s">
        <v>417</v>
      </c>
      <c r="D151" s="13" t="n">
        <f aca="false">評價_DCF與目標價!C47</f>
        <v>47.9384361086369</v>
      </c>
      <c r="E151" s="10" t="n">
        <f aca="false">評價_DCF與目標價!C56</f>
        <v>-1</v>
      </c>
    </row>
    <row r="152" customFormat="false" ht="15" hidden="false" customHeight="false" outlineLevel="1" collapsed="false">
      <c r="A152" s="3" t="s">
        <v>418</v>
      </c>
      <c r="C152" s="10" t="n">
        <v>1</v>
      </c>
      <c r="D152" s="42" t="n">
        <f t="dataTable" ref="D152:E154" dt2D="0" dtr="0" r1="C5"/>
        <v>71.6858468760584</v>
      </c>
      <c r="E152" s="43" t="n">
        <v>-1</v>
      </c>
    </row>
    <row r="153" customFormat="false" ht="15" hidden="false" customHeight="false" outlineLevel="1" collapsed="false">
      <c r="A153" s="3" t="s">
        <v>419</v>
      </c>
      <c r="C153" s="10" t="n">
        <v>2</v>
      </c>
      <c r="D153" s="42" t="n">
        <v>47.9384361086369</v>
      </c>
      <c r="E153" s="43" t="n">
        <v>-1</v>
      </c>
    </row>
    <row r="154" customFormat="false" ht="15" hidden="false" customHeight="false" outlineLevel="1" collapsed="false">
      <c r="A154" s="3" t="s">
        <v>420</v>
      </c>
      <c r="C154" s="10" t="n">
        <v>3</v>
      </c>
      <c r="D154" s="42" t="n">
        <v>32.6112889396302</v>
      </c>
      <c r="E154" s="43" t="n">
        <v>-1</v>
      </c>
    </row>
    <row r="156" customFormat="false" ht="15" hidden="false" customHeight="false" outlineLevel="0" collapsed="false">
      <c r="A156" s="8" t="s">
        <v>421</v>
      </c>
      <c r="B156" s="9"/>
      <c r="C156" s="9"/>
      <c r="D156" s="9"/>
      <c r="E156" s="9"/>
      <c r="F156" s="9"/>
      <c r="G156" s="9"/>
      <c r="H156" s="9"/>
      <c r="I156" s="7" t="s">
        <v>422</v>
      </c>
    </row>
    <row r="157" customFormat="false" ht="15" hidden="false" customHeight="false" outlineLevel="1" collapsed="false">
      <c r="A157" s="15" t="s">
        <v>423</v>
      </c>
      <c r="B157" s="15" t="s">
        <v>86</v>
      </c>
      <c r="C157" s="15" t="s">
        <v>424</v>
      </c>
      <c r="D157" s="15"/>
      <c r="E157" s="15"/>
      <c r="F157" s="15" t="s">
        <v>425</v>
      </c>
      <c r="G157" s="15" t="s">
        <v>426</v>
      </c>
      <c r="H157" s="15"/>
      <c r="I157" s="15" t="s">
        <v>427</v>
      </c>
      <c r="J157" s="15" t="s">
        <v>428</v>
      </c>
    </row>
    <row r="158" customFormat="false" ht="15" hidden="false" customHeight="false" outlineLevel="1" collapsed="false">
      <c r="A158" s="3" t="s">
        <v>429</v>
      </c>
      <c r="B158" s="12" t="s">
        <v>74</v>
      </c>
      <c r="C158" s="38" t="n">
        <v>90.13</v>
      </c>
      <c r="F158" s="12" t="s">
        <v>430</v>
      </c>
      <c r="G158" s="12" t="s">
        <v>431</v>
      </c>
      <c r="I158" s="12" t="s">
        <v>432</v>
      </c>
      <c r="J158" s="7" t="s">
        <v>433</v>
      </c>
    </row>
    <row r="159" customFormat="false" ht="15" hidden="false" customHeight="false" outlineLevel="1" collapsed="false">
      <c r="A159" s="3" t="s">
        <v>434</v>
      </c>
      <c r="B159" s="12" t="s">
        <v>74</v>
      </c>
      <c r="C159" s="38" t="n">
        <v>140.81</v>
      </c>
      <c r="F159" s="12" t="s">
        <v>435</v>
      </c>
      <c r="G159" s="12" t="s">
        <v>436</v>
      </c>
      <c r="I159" s="12" t="s">
        <v>437</v>
      </c>
      <c r="J159" s="7"/>
    </row>
    <row r="160" customFormat="false" ht="15" hidden="false" customHeight="false" outlineLevel="1" collapsed="false">
      <c r="A160" s="3" t="s">
        <v>438</v>
      </c>
      <c r="B160" s="12" t="s">
        <v>74</v>
      </c>
      <c r="C160" s="38" t="n">
        <v>140</v>
      </c>
      <c r="F160" s="12" t="s">
        <v>435</v>
      </c>
      <c r="G160" s="12" t="s">
        <v>436</v>
      </c>
      <c r="I160" s="12" t="s">
        <v>437</v>
      </c>
      <c r="J160" s="7"/>
    </row>
    <row r="161" customFormat="false" ht="15" hidden="false" customHeight="false" outlineLevel="1" collapsed="false">
      <c r="A161" s="3" t="s">
        <v>439</v>
      </c>
      <c r="B161" s="12" t="s">
        <v>74</v>
      </c>
      <c r="C161" s="38" t="n">
        <v>39</v>
      </c>
      <c r="F161" s="12" t="s">
        <v>435</v>
      </c>
      <c r="G161" s="12" t="s">
        <v>436</v>
      </c>
      <c r="I161" s="12" t="s">
        <v>437</v>
      </c>
      <c r="J161" s="7"/>
    </row>
    <row r="162" customFormat="false" ht="15" hidden="false" customHeight="false" outlineLevel="1" collapsed="false">
      <c r="A162" s="3" t="s">
        <v>440</v>
      </c>
      <c r="B162" s="12" t="s">
        <v>74</v>
      </c>
      <c r="C162" s="38" t="n">
        <v>317</v>
      </c>
      <c r="F162" s="12" t="s">
        <v>435</v>
      </c>
      <c r="G162" s="12" t="s">
        <v>436</v>
      </c>
      <c r="I162" s="12" t="s">
        <v>437</v>
      </c>
      <c r="J162" s="7"/>
    </row>
    <row r="163" customFormat="false" ht="15" hidden="false" customHeight="false" outlineLevel="1" collapsed="false">
      <c r="A163" s="3" t="s">
        <v>441</v>
      </c>
      <c r="B163" s="7" t="s">
        <v>153</v>
      </c>
      <c r="C163" s="22" t="n">
        <v>40</v>
      </c>
      <c r="F163" s="12" t="s">
        <v>435</v>
      </c>
      <c r="G163" s="12" t="s">
        <v>436</v>
      </c>
      <c r="I163" s="12" t="s">
        <v>437</v>
      </c>
      <c r="J163" s="7"/>
    </row>
    <row r="164" customFormat="false" ht="15" hidden="false" customHeight="false" outlineLevel="1" collapsed="false">
      <c r="A164" s="3" t="s">
        <v>442</v>
      </c>
      <c r="B164" s="7"/>
      <c r="C164" s="4" t="s">
        <v>443</v>
      </c>
      <c r="F164" s="12" t="s">
        <v>435</v>
      </c>
      <c r="G164" s="12" t="s">
        <v>436</v>
      </c>
      <c r="I164" s="12" t="s">
        <v>437</v>
      </c>
      <c r="J164" s="7"/>
    </row>
    <row r="165" customFormat="false" ht="15" hidden="false" customHeight="false" outlineLevel="1" collapsed="false">
      <c r="A165" s="3" t="s">
        <v>444</v>
      </c>
      <c r="B165" s="12" t="s">
        <v>74</v>
      </c>
      <c r="C165" s="38" t="n">
        <v>140.95</v>
      </c>
      <c r="F165" s="12" t="s">
        <v>435</v>
      </c>
      <c r="G165" s="12" t="s">
        <v>436</v>
      </c>
      <c r="I165" s="12" t="s">
        <v>445</v>
      </c>
      <c r="J165" s="7"/>
    </row>
    <row r="166" customFormat="false" ht="15" hidden="false" customHeight="false" outlineLevel="1" collapsed="false">
      <c r="A166" s="3" t="s">
        <v>446</v>
      </c>
      <c r="B166" s="7" t="s">
        <v>153</v>
      </c>
      <c r="C166" s="22" t="n">
        <v>40</v>
      </c>
      <c r="F166" s="12" t="s">
        <v>435</v>
      </c>
      <c r="G166" s="12" t="s">
        <v>436</v>
      </c>
      <c r="I166" s="12" t="s">
        <v>445</v>
      </c>
      <c r="J166" s="7"/>
    </row>
    <row r="167" customFormat="false" ht="15" hidden="false" customHeight="false" outlineLevel="1" collapsed="false">
      <c r="A167" s="3" t="s">
        <v>447</v>
      </c>
      <c r="B167" s="7"/>
      <c r="C167" s="4" t="s">
        <v>448</v>
      </c>
      <c r="F167" s="12" t="s">
        <v>435</v>
      </c>
      <c r="G167" s="12" t="s">
        <v>436</v>
      </c>
      <c r="I167" s="12" t="s">
        <v>445</v>
      </c>
      <c r="J167" s="7"/>
    </row>
    <row r="168" customFormat="false" ht="15" hidden="false" customHeight="false" outlineLevel="1" collapsed="false">
      <c r="A168" s="15" t="s">
        <v>449</v>
      </c>
      <c r="B168" s="15" t="s">
        <v>86</v>
      </c>
      <c r="C168" s="15" t="s">
        <v>424</v>
      </c>
      <c r="D168" s="15"/>
      <c r="E168" s="15"/>
      <c r="F168" s="15" t="s">
        <v>425</v>
      </c>
      <c r="G168" s="15" t="s">
        <v>426</v>
      </c>
      <c r="H168" s="15"/>
      <c r="I168" s="15" t="s">
        <v>427</v>
      </c>
      <c r="J168" s="15" t="s">
        <v>428</v>
      </c>
    </row>
    <row r="169" customFormat="false" ht="15" hidden="false" customHeight="false" outlineLevel="1" collapsed="false">
      <c r="A169" s="3" t="s">
        <v>450</v>
      </c>
      <c r="B169" s="7" t="s">
        <v>153</v>
      </c>
      <c r="C169" s="22" t="n">
        <v>21</v>
      </c>
      <c r="F169" s="12" t="s">
        <v>435</v>
      </c>
      <c r="G169" s="12" t="s">
        <v>436</v>
      </c>
      <c r="I169" s="12" t="s">
        <v>437</v>
      </c>
      <c r="J169" s="7"/>
    </row>
    <row r="170" customFormat="false" ht="15" hidden="false" customHeight="false" outlineLevel="1" collapsed="false">
      <c r="A170" s="3" t="s">
        <v>451</v>
      </c>
      <c r="B170" s="7" t="s">
        <v>153</v>
      </c>
      <c r="C170" s="22" t="n">
        <v>7</v>
      </c>
      <c r="F170" s="12" t="s">
        <v>435</v>
      </c>
      <c r="G170" s="12" t="s">
        <v>436</v>
      </c>
      <c r="I170" s="12" t="s">
        <v>437</v>
      </c>
      <c r="J170" s="7"/>
    </row>
    <row r="171" customFormat="false" ht="15" hidden="false" customHeight="false" outlineLevel="1" collapsed="false">
      <c r="A171" s="3" t="s">
        <v>452</v>
      </c>
      <c r="B171" s="7" t="s">
        <v>153</v>
      </c>
      <c r="C171" s="22" t="n">
        <v>9</v>
      </c>
      <c r="F171" s="12" t="s">
        <v>435</v>
      </c>
      <c r="G171" s="12" t="s">
        <v>436</v>
      </c>
      <c r="I171" s="12" t="s">
        <v>437</v>
      </c>
      <c r="J171" s="7"/>
    </row>
    <row r="172" customFormat="false" ht="15" hidden="false" customHeight="false" outlineLevel="1" collapsed="false">
      <c r="A172" s="3" t="s">
        <v>453</v>
      </c>
      <c r="B172" s="7" t="s">
        <v>153</v>
      </c>
      <c r="C172" s="22" t="n">
        <v>1</v>
      </c>
      <c r="F172" s="12" t="s">
        <v>435</v>
      </c>
      <c r="G172" s="12" t="s">
        <v>436</v>
      </c>
      <c r="I172" s="12" t="s">
        <v>437</v>
      </c>
      <c r="J172" s="7"/>
    </row>
    <row r="173" customFormat="false" ht="15" hidden="false" customHeight="false" outlineLevel="1" collapsed="false">
      <c r="A173" s="3" t="s">
        <v>454</v>
      </c>
      <c r="B173" s="7" t="s">
        <v>153</v>
      </c>
      <c r="C173" s="22" t="n">
        <v>2</v>
      </c>
      <c r="F173" s="12" t="s">
        <v>435</v>
      </c>
      <c r="G173" s="12" t="s">
        <v>436</v>
      </c>
      <c r="I173" s="12" t="s">
        <v>437</v>
      </c>
      <c r="J173" s="7"/>
    </row>
    <row r="174" customFormat="false" ht="15" hidden="false" customHeight="false" outlineLevel="1" collapsed="false">
      <c r="A174" s="3" t="s">
        <v>455</v>
      </c>
      <c r="B174" s="7" t="s">
        <v>153</v>
      </c>
      <c r="C174" s="22" t="n">
        <v>40</v>
      </c>
      <c r="F174" s="12" t="s">
        <v>435</v>
      </c>
      <c r="G174" s="12" t="s">
        <v>436</v>
      </c>
      <c r="I174" s="12" t="s">
        <v>437</v>
      </c>
      <c r="J174" s="7"/>
    </row>
    <row r="175" customFormat="false" ht="15" hidden="false" customHeight="false" outlineLevel="1" collapsed="false">
      <c r="A175" s="15" t="s">
        <v>456</v>
      </c>
      <c r="B175" s="15" t="s">
        <v>86</v>
      </c>
      <c r="C175" s="15" t="s">
        <v>424</v>
      </c>
      <c r="D175" s="15"/>
      <c r="E175" s="15"/>
      <c r="F175" s="15" t="s">
        <v>425</v>
      </c>
      <c r="G175" s="15" t="s">
        <v>426</v>
      </c>
      <c r="H175" s="15"/>
      <c r="I175" s="15" t="s">
        <v>427</v>
      </c>
      <c r="J175" s="15" t="s">
        <v>428</v>
      </c>
    </row>
    <row r="176" customFormat="false" ht="15" hidden="false" customHeight="false" outlineLevel="1" collapsed="false">
      <c r="A176" s="3" t="s">
        <v>457</v>
      </c>
      <c r="B176" s="12" t="s">
        <v>91</v>
      </c>
      <c r="C176" s="44" t="n">
        <v>12.882</v>
      </c>
      <c r="D176" s="44" t="n">
        <v>26.376</v>
      </c>
      <c r="E176" s="44" t="n">
        <v>42.55</v>
      </c>
      <c r="F176" s="12" t="s">
        <v>435</v>
      </c>
      <c r="G176" s="12" t="s">
        <v>436</v>
      </c>
      <c r="I176" s="12" t="s">
        <v>458</v>
      </c>
      <c r="J176" s="7"/>
    </row>
    <row r="177" customFormat="false" ht="15" hidden="false" customHeight="false" outlineLevel="1" collapsed="false">
      <c r="A177" s="3" t="s">
        <v>459</v>
      </c>
      <c r="B177" s="12" t="s">
        <v>91</v>
      </c>
      <c r="C177" s="44" t="n">
        <v>7.574</v>
      </c>
      <c r="D177" s="44" t="n">
        <v>16.656</v>
      </c>
      <c r="E177" s="44" t="n">
        <v>28.857</v>
      </c>
      <c r="F177" s="12" t="s">
        <v>435</v>
      </c>
      <c r="G177" s="12" t="s">
        <v>436</v>
      </c>
      <c r="I177" s="12" t="s">
        <v>458</v>
      </c>
      <c r="J177" s="7"/>
    </row>
    <row r="178" customFormat="false" ht="15" hidden="false" customHeight="false" outlineLevel="1" collapsed="false">
      <c r="A178" s="3" t="s">
        <v>460</v>
      </c>
      <c r="B178" s="12" t="s">
        <v>77</v>
      </c>
      <c r="C178" s="23" t="n">
        <v>0.588</v>
      </c>
      <c r="D178" s="23" t="n">
        <v>0.632</v>
      </c>
      <c r="E178" s="23" t="n">
        <v>0.678</v>
      </c>
      <c r="F178" s="12" t="s">
        <v>435</v>
      </c>
      <c r="G178" s="12" t="s">
        <v>436</v>
      </c>
      <c r="I178" s="12" t="s">
        <v>458</v>
      </c>
      <c r="J178" s="7"/>
    </row>
    <row r="179" customFormat="false" ht="15" hidden="false" customHeight="false" outlineLevel="1" collapsed="false">
      <c r="A179" s="3" t="s">
        <v>461</v>
      </c>
      <c r="B179" s="12" t="s">
        <v>91</v>
      </c>
      <c r="C179" s="44" t="n">
        <v>1.063</v>
      </c>
      <c r="D179" s="44" t="n">
        <v>4.119</v>
      </c>
      <c r="E179" s="44" t="n">
        <v>8.418</v>
      </c>
      <c r="F179" s="12" t="s">
        <v>435</v>
      </c>
      <c r="G179" s="12" t="s">
        <v>436</v>
      </c>
      <c r="I179" s="12" t="s">
        <v>458</v>
      </c>
      <c r="J179" s="7"/>
    </row>
    <row r="180" customFormat="false" ht="15" hidden="false" customHeight="false" outlineLevel="1" collapsed="false">
      <c r="A180" s="3" t="s">
        <v>462</v>
      </c>
      <c r="B180" s="12" t="s">
        <v>91</v>
      </c>
      <c r="C180" s="44" t="n">
        <v>2.965</v>
      </c>
      <c r="D180" s="44" t="n">
        <v>5.22</v>
      </c>
      <c r="E180" s="44" t="n">
        <v>7.361</v>
      </c>
      <c r="F180" s="12" t="s">
        <v>435</v>
      </c>
      <c r="G180" s="12" t="s">
        <v>436</v>
      </c>
      <c r="I180" s="12" t="s">
        <v>458</v>
      </c>
      <c r="J180" s="7"/>
    </row>
    <row r="181" customFormat="false" ht="15" hidden="false" customHeight="false" outlineLevel="1" collapsed="false">
      <c r="A181" s="3" t="s">
        <v>463</v>
      </c>
      <c r="B181" s="12" t="s">
        <v>91</v>
      </c>
      <c r="C181" s="44" t="n">
        <v>-2.786</v>
      </c>
      <c r="D181" s="44" t="n">
        <v>-2.526</v>
      </c>
      <c r="E181" s="44" t="n">
        <v>-1.559</v>
      </c>
      <c r="F181" s="12" t="s">
        <v>435</v>
      </c>
      <c r="G181" s="12" t="s">
        <v>436</v>
      </c>
      <c r="I181" s="12" t="s">
        <v>458</v>
      </c>
      <c r="J181" s="7"/>
    </row>
    <row r="182" customFormat="false" ht="15" hidden="false" customHeight="false" outlineLevel="1" collapsed="false">
      <c r="A182" s="3" t="s">
        <v>464</v>
      </c>
      <c r="B182" s="12" t="s">
        <v>74</v>
      </c>
      <c r="C182" s="38" t="n">
        <v>-5.074</v>
      </c>
      <c r="D182" s="38" t="n">
        <v>-4.186</v>
      </c>
      <c r="E182" s="38" t="n">
        <v>-2.177</v>
      </c>
      <c r="F182" s="12" t="s">
        <v>435</v>
      </c>
      <c r="G182" s="12" t="s">
        <v>436</v>
      </c>
      <c r="I182" s="12" t="s">
        <v>458</v>
      </c>
      <c r="J182" s="7"/>
    </row>
    <row r="183" customFormat="false" ht="15" hidden="false" customHeight="false" outlineLevel="1" collapsed="false">
      <c r="A183" s="3" t="s">
        <v>465</v>
      </c>
      <c r="B183" s="12" t="s">
        <v>91</v>
      </c>
      <c r="C183" s="44" t="n">
        <v>35.953</v>
      </c>
      <c r="D183" s="44" t="n">
        <v>46.476</v>
      </c>
      <c r="E183" s="44" t="n">
        <v>50.129</v>
      </c>
      <c r="F183" s="12" t="s">
        <v>435</v>
      </c>
      <c r="G183" s="12" t="s">
        <v>436</v>
      </c>
      <c r="I183" s="12" t="s">
        <v>458</v>
      </c>
      <c r="J183" s="7"/>
    </row>
    <row r="184" customFormat="false" ht="15" hidden="false" customHeight="false" outlineLevel="1" collapsed="false">
      <c r="A184" s="3" t="s">
        <v>466</v>
      </c>
      <c r="B184" s="12" t="s">
        <v>91</v>
      </c>
      <c r="C184" s="44" t="n">
        <v>-28.831</v>
      </c>
      <c r="D184" s="44" t="n">
        <v>-33.741</v>
      </c>
      <c r="E184" s="44" t="n">
        <v>-25.222</v>
      </c>
      <c r="F184" s="12" t="s">
        <v>435</v>
      </c>
      <c r="G184" s="12" t="s">
        <v>436</v>
      </c>
      <c r="I184" s="12" t="s">
        <v>458</v>
      </c>
      <c r="J184" s="7"/>
    </row>
    <row r="185" customFormat="false" ht="15" hidden="false" customHeight="false" outlineLevel="1" collapsed="false">
      <c r="A185" s="3" t="s">
        <v>467</v>
      </c>
      <c r="B185" s="12" t="s">
        <v>91</v>
      </c>
      <c r="C185" s="44" t="n">
        <v>46.442</v>
      </c>
      <c r="D185" s="44" t="n">
        <v>74.707</v>
      </c>
      <c r="E185" s="44" t="n">
        <v>96.039</v>
      </c>
      <c r="F185" s="12" t="s">
        <v>435</v>
      </c>
      <c r="G185" s="12" t="s">
        <v>436</v>
      </c>
      <c r="I185" s="12" t="s">
        <v>458</v>
      </c>
      <c r="J185" s="7"/>
    </row>
    <row r="186" customFormat="false" ht="15" hidden="false" customHeight="false" outlineLevel="1" collapsed="false">
      <c r="A186" s="3" t="s">
        <v>468</v>
      </c>
      <c r="B186" s="7"/>
      <c r="C186" s="4" t="s">
        <v>469</v>
      </c>
      <c r="F186" s="12" t="s">
        <v>435</v>
      </c>
      <c r="G186" s="12" t="s">
        <v>436</v>
      </c>
      <c r="I186" s="12" t="s">
        <v>458</v>
      </c>
      <c r="J186" s="7"/>
    </row>
    <row r="187" customFormat="false" ht="15" hidden="false" customHeight="false" outlineLevel="1" collapsed="false">
      <c r="A187" s="16" t="s">
        <v>470</v>
      </c>
      <c r="B187" s="15" t="s">
        <v>86</v>
      </c>
      <c r="C187" s="15" t="s">
        <v>424</v>
      </c>
      <c r="D187" s="15"/>
      <c r="E187" s="15"/>
      <c r="F187" s="15" t="s">
        <v>425</v>
      </c>
      <c r="G187" s="15" t="s">
        <v>426</v>
      </c>
      <c r="H187" s="15"/>
      <c r="I187" s="15" t="s">
        <v>427</v>
      </c>
      <c r="J187" s="15" t="s">
        <v>428</v>
      </c>
    </row>
    <row r="188" customFormat="false" ht="15" hidden="false" customHeight="false" outlineLevel="1" collapsed="false">
      <c r="A188" s="3" t="s">
        <v>471</v>
      </c>
      <c r="B188" s="12" t="s">
        <v>91</v>
      </c>
      <c r="C188" s="44" t="n">
        <v>12.88</v>
      </c>
      <c r="D188" s="44" t="n">
        <v>26.39</v>
      </c>
      <c r="F188" s="12" t="s">
        <v>435</v>
      </c>
      <c r="G188" s="12" t="s">
        <v>436</v>
      </c>
      <c r="I188" s="12" t="s">
        <v>437</v>
      </c>
      <c r="J188" s="7"/>
    </row>
    <row r="189" customFormat="false" ht="15" hidden="false" customHeight="false" outlineLevel="1" collapsed="false">
      <c r="A189" s="3" t="s">
        <v>472</v>
      </c>
      <c r="B189" s="12" t="s">
        <v>91</v>
      </c>
      <c r="C189" s="44" t="n">
        <v>12.4</v>
      </c>
      <c r="D189" s="44" t="n">
        <v>13.2</v>
      </c>
      <c r="F189" s="12" t="s">
        <v>435</v>
      </c>
      <c r="G189" s="12" t="s">
        <v>436</v>
      </c>
      <c r="I189" s="12" t="s">
        <v>437</v>
      </c>
      <c r="J189" s="7"/>
    </row>
    <row r="190" customFormat="false" ht="15" hidden="false" customHeight="false" outlineLevel="1" collapsed="false">
      <c r="A190" s="3" t="s">
        <v>473</v>
      </c>
      <c r="B190" s="12" t="s">
        <v>74</v>
      </c>
      <c r="C190" s="38" t="n">
        <v>-3.95</v>
      </c>
      <c r="D190" s="38" t="n">
        <v>-1.82</v>
      </c>
      <c r="F190" s="12" t="s">
        <v>435</v>
      </c>
      <c r="G190" s="12" t="s">
        <v>436</v>
      </c>
      <c r="I190" s="12" t="s">
        <v>437</v>
      </c>
      <c r="J190" s="7"/>
    </row>
    <row r="191" customFormat="false" ht="15" hidden="false" customHeight="false" outlineLevel="1" collapsed="false">
      <c r="A191" s="3" t="s">
        <v>474</v>
      </c>
      <c r="B191" s="12" t="s">
        <v>74</v>
      </c>
      <c r="C191" s="38" t="n">
        <v>-4.81</v>
      </c>
      <c r="D191" s="38" t="n">
        <v>-1.33</v>
      </c>
      <c r="F191" s="12" t="s">
        <v>435</v>
      </c>
      <c r="G191" s="12" t="s">
        <v>436</v>
      </c>
      <c r="I191" s="12" t="s">
        <v>437</v>
      </c>
      <c r="J191" s="7"/>
    </row>
    <row r="192" customFormat="false" ht="15" hidden="false" customHeight="false" outlineLevel="1" collapsed="false">
      <c r="A192" s="3" t="s">
        <v>475</v>
      </c>
      <c r="B192" s="7" t="s">
        <v>153</v>
      </c>
      <c r="C192" s="22" t="n">
        <v>38</v>
      </c>
      <c r="F192" s="12" t="s">
        <v>435</v>
      </c>
      <c r="G192" s="12" t="s">
        <v>436</v>
      </c>
      <c r="I192" s="12" t="s">
        <v>437</v>
      </c>
      <c r="J192" s="12" t="s">
        <v>476</v>
      </c>
    </row>
    <row r="193" customFormat="false" ht="15" hidden="false" customHeight="false" outlineLevel="1" collapsed="false">
      <c r="A193" s="15" t="s">
        <v>477</v>
      </c>
      <c r="B193" s="15" t="s">
        <v>86</v>
      </c>
      <c r="C193" s="15" t="s">
        <v>424</v>
      </c>
      <c r="D193" s="15"/>
      <c r="E193" s="15"/>
      <c r="F193" s="15" t="s">
        <v>425</v>
      </c>
      <c r="G193" s="15" t="s">
        <v>426</v>
      </c>
      <c r="H193" s="15"/>
      <c r="I193" s="15" t="s">
        <v>427</v>
      </c>
      <c r="J193" s="15" t="s">
        <v>428</v>
      </c>
    </row>
    <row r="194" customFormat="false" ht="15" hidden="false" customHeight="false" outlineLevel="1" collapsed="false">
      <c r="A194" s="3" t="s">
        <v>478</v>
      </c>
      <c r="B194" s="12" t="s">
        <v>91</v>
      </c>
      <c r="C194" s="44" t="n">
        <v>3.541</v>
      </c>
      <c r="D194" s="44" t="n">
        <v>4.706</v>
      </c>
      <c r="F194" s="12" t="s">
        <v>435</v>
      </c>
      <c r="G194" s="12" t="s">
        <v>436</v>
      </c>
      <c r="I194" s="12" t="s">
        <v>458</v>
      </c>
      <c r="J194" s="7"/>
    </row>
    <row r="195" customFormat="false" ht="15" hidden="false" customHeight="false" outlineLevel="1" collapsed="false">
      <c r="A195" s="3" t="s">
        <v>479</v>
      </c>
      <c r="B195" s="12" t="s">
        <v>91</v>
      </c>
      <c r="C195" s="44" t="n">
        <v>2.047</v>
      </c>
      <c r="D195" s="44" t="n">
        <v>2.897</v>
      </c>
      <c r="F195" s="12" t="s">
        <v>435</v>
      </c>
      <c r="G195" s="12" t="s">
        <v>436</v>
      </c>
      <c r="I195" s="12" t="s">
        <v>458</v>
      </c>
      <c r="J195" s="7"/>
    </row>
    <row r="196" customFormat="false" ht="15" hidden="false" customHeight="false" outlineLevel="1" collapsed="false">
      <c r="A196" s="3" t="s">
        <v>480</v>
      </c>
      <c r="B196" s="12" t="s">
        <v>91</v>
      </c>
      <c r="C196" s="44" t="n">
        <v>0.2408</v>
      </c>
      <c r="D196" s="44" t="n">
        <v>0.6805</v>
      </c>
      <c r="F196" s="12" t="s">
        <v>435</v>
      </c>
      <c r="G196" s="12" t="s">
        <v>436</v>
      </c>
      <c r="I196" s="12" t="s">
        <v>458</v>
      </c>
      <c r="J196" s="7"/>
    </row>
    <row r="197" customFormat="false" ht="15" hidden="false" customHeight="false" outlineLevel="1" collapsed="false">
      <c r="A197" s="3" t="s">
        <v>481</v>
      </c>
      <c r="B197" s="12" t="s">
        <v>91</v>
      </c>
      <c r="C197" s="44" t="n">
        <v>-0.8388</v>
      </c>
      <c r="D197" s="44" t="n">
        <v>-0.5706</v>
      </c>
      <c r="F197" s="12" t="s">
        <v>435</v>
      </c>
      <c r="G197" s="12" t="s">
        <v>436</v>
      </c>
      <c r="I197" s="12" t="s">
        <v>458</v>
      </c>
      <c r="J197" s="7"/>
    </row>
    <row r="198" customFormat="false" ht="15" hidden="false" customHeight="false" outlineLevel="1" collapsed="false">
      <c r="A198" s="3" t="s">
        <v>482</v>
      </c>
      <c r="B198" s="7"/>
      <c r="C198" s="4" t="s">
        <v>483</v>
      </c>
      <c r="F198" s="12" t="s">
        <v>435</v>
      </c>
      <c r="G198" s="12" t="s">
        <v>436</v>
      </c>
      <c r="I198" s="12" t="s">
        <v>458</v>
      </c>
      <c r="J198" s="7"/>
    </row>
    <row r="199" customFormat="false" ht="15" hidden="false" customHeight="false" outlineLevel="1" collapsed="false">
      <c r="A199" s="15" t="s">
        <v>484</v>
      </c>
      <c r="B199" s="15" t="s">
        <v>86</v>
      </c>
      <c r="C199" s="15" t="s">
        <v>424</v>
      </c>
      <c r="D199" s="15"/>
      <c r="E199" s="15"/>
      <c r="F199" s="15" t="s">
        <v>425</v>
      </c>
      <c r="G199" s="15" t="s">
        <v>426</v>
      </c>
      <c r="H199" s="15"/>
      <c r="I199" s="15" t="s">
        <v>427</v>
      </c>
      <c r="J199" s="15" t="s">
        <v>428</v>
      </c>
    </row>
    <row r="200" customFormat="false" ht="15" hidden="false" customHeight="false" outlineLevel="1" collapsed="false">
      <c r="A200" s="3" t="s">
        <v>485</v>
      </c>
      <c r="B200" s="12" t="s">
        <v>91</v>
      </c>
      <c r="C200" s="44" t="n">
        <v>12.4</v>
      </c>
      <c r="D200" s="44" t="n">
        <v>13.2</v>
      </c>
      <c r="F200" s="7" t="s">
        <v>486</v>
      </c>
      <c r="G200" s="12" t="s">
        <v>436</v>
      </c>
      <c r="I200" s="12" t="s">
        <v>487</v>
      </c>
      <c r="J200" s="7"/>
    </row>
    <row r="201" customFormat="false" ht="15" hidden="false" customHeight="false" outlineLevel="1" collapsed="false">
      <c r="A201" s="3" t="s">
        <v>488</v>
      </c>
      <c r="B201" s="12" t="s">
        <v>91</v>
      </c>
      <c r="C201" s="44" t="n">
        <v>0.96</v>
      </c>
      <c r="D201" s="44" t="n">
        <v>1.15</v>
      </c>
      <c r="F201" s="7" t="s">
        <v>486</v>
      </c>
      <c r="G201" s="12" t="s">
        <v>436</v>
      </c>
      <c r="I201" s="12" t="s">
        <v>487</v>
      </c>
      <c r="J201" s="7"/>
    </row>
    <row r="202" customFormat="false" ht="15" hidden="false" customHeight="false" outlineLevel="1" collapsed="false">
      <c r="A202" s="3" t="s">
        <v>489</v>
      </c>
      <c r="B202" s="12" t="s">
        <v>91</v>
      </c>
      <c r="C202" s="44" t="n">
        <v>35</v>
      </c>
      <c r="D202" s="44" t="n">
        <v>39</v>
      </c>
      <c r="F202" s="7" t="s">
        <v>486</v>
      </c>
      <c r="G202" s="12" t="s">
        <v>436</v>
      </c>
      <c r="I202" s="12" t="s">
        <v>487</v>
      </c>
      <c r="J202" s="7"/>
    </row>
    <row r="203" customFormat="false" ht="15" hidden="false" customHeight="false" outlineLevel="1" collapsed="false">
      <c r="A203" s="3" t="s">
        <v>490</v>
      </c>
      <c r="B203" s="12" t="s">
        <v>91</v>
      </c>
      <c r="C203" s="44" t="n">
        <v>3.45</v>
      </c>
      <c r="D203" s="44" t="n">
        <v>3.6</v>
      </c>
      <c r="F203" s="7" t="s">
        <v>486</v>
      </c>
      <c r="G203" s="12" t="s">
        <v>436</v>
      </c>
      <c r="I203" s="12" t="s">
        <v>487</v>
      </c>
      <c r="J203" s="7" t="s">
        <v>491</v>
      </c>
    </row>
    <row r="204" customFormat="false" ht="15" hidden="false" customHeight="false" outlineLevel="1" collapsed="false">
      <c r="A204" s="15" t="s">
        <v>492</v>
      </c>
      <c r="B204" s="15" t="s">
        <v>86</v>
      </c>
      <c r="C204" s="15" t="s">
        <v>424</v>
      </c>
      <c r="D204" s="15"/>
      <c r="E204" s="15"/>
      <c r="F204" s="15" t="s">
        <v>425</v>
      </c>
      <c r="G204" s="15" t="s">
        <v>426</v>
      </c>
      <c r="H204" s="15"/>
      <c r="I204" s="15" t="s">
        <v>427</v>
      </c>
      <c r="J204" s="15" t="s">
        <v>428</v>
      </c>
    </row>
    <row r="205" customFormat="false" ht="15" hidden="false" customHeight="false" outlineLevel="1" collapsed="false">
      <c r="A205" s="3" t="s">
        <v>493</v>
      </c>
      <c r="B205" s="12" t="s">
        <v>91</v>
      </c>
      <c r="C205" s="44" t="n">
        <v>12.63</v>
      </c>
      <c r="F205" s="12" t="s">
        <v>494</v>
      </c>
      <c r="G205" s="12" t="s">
        <v>436</v>
      </c>
      <c r="I205" s="12" t="s">
        <v>495</v>
      </c>
      <c r="J205" s="7"/>
    </row>
    <row r="206" customFormat="false" ht="15" hidden="false" customHeight="false" outlineLevel="1" collapsed="false">
      <c r="A206" s="3" t="s">
        <v>496</v>
      </c>
      <c r="B206" s="12" t="s">
        <v>91</v>
      </c>
      <c r="C206" s="44" t="n">
        <v>3.43</v>
      </c>
      <c r="F206" s="12" t="s">
        <v>494</v>
      </c>
      <c r="G206" s="12" t="s">
        <v>436</v>
      </c>
      <c r="I206" s="12" t="s">
        <v>495</v>
      </c>
      <c r="J206" s="12" t="s">
        <v>497</v>
      </c>
    </row>
    <row r="207" customFormat="false" ht="15" hidden="false" customHeight="false" outlineLevel="1" collapsed="false">
      <c r="A207" s="15" t="s">
        <v>498</v>
      </c>
      <c r="B207" s="15" t="s">
        <v>86</v>
      </c>
      <c r="C207" s="15" t="s">
        <v>424</v>
      </c>
      <c r="D207" s="15"/>
      <c r="E207" s="15"/>
      <c r="F207" s="15" t="s">
        <v>425</v>
      </c>
      <c r="G207" s="15" t="s">
        <v>426</v>
      </c>
      <c r="H207" s="15"/>
      <c r="I207" s="15" t="s">
        <v>427</v>
      </c>
      <c r="J207" s="15" t="s">
        <v>428</v>
      </c>
    </row>
    <row r="208" customFormat="false" ht="15" hidden="false" customHeight="false" outlineLevel="1" collapsed="false">
      <c r="A208" s="3" t="s">
        <v>499</v>
      </c>
      <c r="B208" s="12" t="s">
        <v>74</v>
      </c>
      <c r="C208" s="3" t="s">
        <v>500</v>
      </c>
      <c r="F208" s="12" t="s">
        <v>435</v>
      </c>
      <c r="G208" s="12" t="s">
        <v>436</v>
      </c>
      <c r="I208" s="12" t="s">
        <v>501</v>
      </c>
      <c r="J208" s="12" t="s">
        <v>502</v>
      </c>
    </row>
    <row r="209" customFormat="false" ht="15" hidden="false" customHeight="false" outlineLevel="1" collapsed="false">
      <c r="A209" s="3" t="s">
        <v>503</v>
      </c>
      <c r="B209" s="12" t="s">
        <v>74</v>
      </c>
      <c r="C209" s="38" t="n">
        <v>125</v>
      </c>
      <c r="F209" s="12" t="s">
        <v>435</v>
      </c>
      <c r="G209" s="12" t="s">
        <v>436</v>
      </c>
      <c r="I209" s="12" t="s">
        <v>501</v>
      </c>
      <c r="J209" s="12" t="s">
        <v>504</v>
      </c>
    </row>
    <row r="210" customFormat="false" ht="15" hidden="false" customHeight="false" outlineLevel="1" collapsed="false">
      <c r="A210" s="3" t="s">
        <v>505</v>
      </c>
      <c r="B210" s="12" t="s">
        <v>74</v>
      </c>
      <c r="C210" s="38" t="n">
        <v>120</v>
      </c>
      <c r="F210" s="12" t="s">
        <v>435</v>
      </c>
      <c r="G210" s="12" t="s">
        <v>436</v>
      </c>
      <c r="I210" s="12" t="s">
        <v>501</v>
      </c>
      <c r="J210" s="12" t="s">
        <v>506</v>
      </c>
    </row>
    <row r="211" customFormat="false" ht="15" hidden="false" customHeight="false" outlineLevel="1" collapsed="false">
      <c r="A211" s="3" t="s">
        <v>507</v>
      </c>
      <c r="B211" s="12" t="s">
        <v>74</v>
      </c>
      <c r="C211" s="3" t="s">
        <v>500</v>
      </c>
      <c r="F211" s="12" t="s">
        <v>435</v>
      </c>
      <c r="G211" s="12" t="s">
        <v>436</v>
      </c>
      <c r="I211" s="12" t="s">
        <v>501</v>
      </c>
      <c r="J211" s="12" t="s">
        <v>508</v>
      </c>
    </row>
    <row r="212" customFormat="false" ht="15" hidden="false" customHeight="false" outlineLevel="1" collapsed="false">
      <c r="A212" s="3" t="s">
        <v>509</v>
      </c>
      <c r="B212" s="12" t="s">
        <v>74</v>
      </c>
      <c r="C212" s="38" t="n">
        <v>151</v>
      </c>
      <c r="F212" s="12" t="s">
        <v>435</v>
      </c>
      <c r="G212" s="12" t="s">
        <v>436</v>
      </c>
      <c r="I212" s="12" t="s">
        <v>501</v>
      </c>
      <c r="J212" s="12" t="s">
        <v>510</v>
      </c>
    </row>
    <row r="213" customFormat="false" ht="15" hidden="false" customHeight="false" outlineLevel="1" collapsed="false">
      <c r="A213" s="15" t="s">
        <v>511</v>
      </c>
      <c r="B213" s="15" t="s">
        <v>86</v>
      </c>
      <c r="C213" s="15" t="s">
        <v>424</v>
      </c>
      <c r="D213" s="15"/>
      <c r="E213" s="15"/>
      <c r="F213" s="15" t="s">
        <v>425</v>
      </c>
      <c r="G213" s="15" t="s">
        <v>426</v>
      </c>
      <c r="H213" s="15"/>
      <c r="I213" s="15" t="s">
        <v>427</v>
      </c>
      <c r="J213" s="15" t="s">
        <v>428</v>
      </c>
    </row>
    <row r="214" customFormat="false" ht="15" hidden="false" customHeight="false" outlineLevel="1" collapsed="false">
      <c r="A214" s="3" t="s">
        <v>512</v>
      </c>
      <c r="B214" s="7"/>
      <c r="C214" s="4" t="s">
        <v>513</v>
      </c>
      <c r="F214" s="12" t="s">
        <v>435</v>
      </c>
      <c r="G214" s="7"/>
      <c r="I214" s="7" t="s">
        <v>514</v>
      </c>
      <c r="J214" s="7"/>
    </row>
    <row r="215" customFormat="false" ht="15" hidden="false" customHeight="false" outlineLevel="1" collapsed="false">
      <c r="A215" s="3" t="s">
        <v>515</v>
      </c>
      <c r="B215" s="7"/>
      <c r="C215" s="4" t="s">
        <v>516</v>
      </c>
      <c r="F215" s="12" t="s">
        <v>435</v>
      </c>
      <c r="G215" s="7"/>
      <c r="I215" s="7" t="s">
        <v>514</v>
      </c>
      <c r="J215" s="7"/>
    </row>
    <row r="216" customFormat="false" ht="15" hidden="false" customHeight="false" outlineLevel="1" collapsed="false">
      <c r="A216" s="3" t="s">
        <v>517</v>
      </c>
      <c r="B216" s="7"/>
      <c r="C216" s="4" t="s">
        <v>518</v>
      </c>
      <c r="F216" s="12" t="s">
        <v>435</v>
      </c>
      <c r="G216" s="7"/>
      <c r="I216" s="7" t="s">
        <v>514</v>
      </c>
      <c r="J216" s="7"/>
    </row>
    <row r="217" customFormat="false" ht="15" hidden="false" customHeight="false" outlineLevel="1" collapsed="false">
      <c r="A217" s="3" t="s">
        <v>519</v>
      </c>
      <c r="B217" s="7"/>
      <c r="C217" s="3" t="s">
        <v>520</v>
      </c>
      <c r="F217" s="12" t="s">
        <v>435</v>
      </c>
      <c r="G217" s="7"/>
      <c r="I217" s="7" t="s">
        <v>514</v>
      </c>
      <c r="J217" s="7"/>
    </row>
    <row r="218" customFormat="false" ht="15" hidden="false" customHeight="false" outlineLevel="1" collapsed="false">
      <c r="A218" s="3" t="s">
        <v>521</v>
      </c>
      <c r="B218" s="12" t="s">
        <v>77</v>
      </c>
      <c r="C218" s="23" t="n">
        <v>0.05</v>
      </c>
      <c r="I218" s="7" t="s">
        <v>522</v>
      </c>
    </row>
    <row r="220" customFormat="false" ht="15" hidden="false" customHeight="false" outlineLevel="0" collapsed="false">
      <c r="A220" s="8" t="s">
        <v>523</v>
      </c>
      <c r="B220" s="9"/>
      <c r="C220" s="9"/>
      <c r="D220" s="9"/>
      <c r="E220" s="9"/>
      <c r="F220" s="9"/>
      <c r="G220" s="9"/>
      <c r="H220" s="9"/>
    </row>
    <row r="221" customFormat="false" ht="15" hidden="false" customHeight="false" outlineLevel="1" collapsed="false">
      <c r="A221" s="15" t="s">
        <v>524</v>
      </c>
      <c r="B221" s="15" t="s">
        <v>86</v>
      </c>
      <c r="C221" s="16" t="s">
        <v>525</v>
      </c>
      <c r="D221" s="16" t="s">
        <v>526</v>
      </c>
      <c r="E221" s="16" t="s">
        <v>527</v>
      </c>
      <c r="F221" s="16" t="s">
        <v>528</v>
      </c>
      <c r="G221" s="16" t="s">
        <v>529</v>
      </c>
      <c r="H221" s="16" t="s">
        <v>530</v>
      </c>
      <c r="J221" s="15" t="s">
        <v>531</v>
      </c>
    </row>
    <row r="222" customFormat="false" ht="15" hidden="false" customHeight="false" outlineLevel="1" collapsed="false">
      <c r="A222" s="3" t="s">
        <v>532</v>
      </c>
      <c r="C222" s="29" t="n">
        <v>1</v>
      </c>
      <c r="D222" s="29" t="n">
        <v>1</v>
      </c>
      <c r="E222" s="29" t="n">
        <v>2</v>
      </c>
      <c r="F222" s="29" t="n">
        <v>2</v>
      </c>
      <c r="G222" s="29" t="n">
        <v>2</v>
      </c>
      <c r="H222" s="29" t="n">
        <v>2</v>
      </c>
      <c r="J222" s="7" t="s">
        <v>533</v>
      </c>
    </row>
    <row r="223" customFormat="false" ht="15" hidden="false" customHeight="false" outlineLevel="1" collapsed="false">
      <c r="A223" s="3" t="s">
        <v>534</v>
      </c>
      <c r="C223" s="19" t="n">
        <v>1</v>
      </c>
      <c r="J223" s="7" t="s">
        <v>535</v>
      </c>
    </row>
    <row r="224" customFormat="false" ht="15" hidden="false" customHeight="false" outlineLevel="1" collapsed="false">
      <c r="A224" s="3" t="s">
        <v>536</v>
      </c>
      <c r="B224" s="12" t="s">
        <v>91</v>
      </c>
      <c r="C224" s="44" t="n">
        <v>2.575</v>
      </c>
      <c r="J224" s="7" t="s">
        <v>537</v>
      </c>
    </row>
    <row r="225" customFormat="false" ht="15" hidden="false" customHeight="false" outlineLevel="1" collapsed="false">
      <c r="A225" s="3" t="s">
        <v>538</v>
      </c>
      <c r="B225" s="12" t="s">
        <v>170</v>
      </c>
      <c r="C225" s="22" t="n">
        <v>1500</v>
      </c>
      <c r="J225" s="12" t="s">
        <v>539</v>
      </c>
    </row>
    <row r="226" customFormat="false" ht="15" hidden="false" customHeight="false" outlineLevel="1" collapsed="false">
      <c r="A226" s="3" t="s">
        <v>540</v>
      </c>
      <c r="B226" s="12" t="s">
        <v>91</v>
      </c>
      <c r="C226" s="44"/>
      <c r="D226" s="44"/>
      <c r="E226" s="44"/>
      <c r="F226" s="44"/>
      <c r="G226" s="44"/>
      <c r="H226" s="44"/>
      <c r="J226" s="7" t="s">
        <v>541</v>
      </c>
    </row>
    <row r="227" customFormat="false" ht="15" hidden="false" customHeight="false" outlineLevel="1" collapsed="false">
      <c r="A227" s="3" t="s">
        <v>542</v>
      </c>
      <c r="B227" s="12" t="s">
        <v>91</v>
      </c>
      <c r="C227" s="44"/>
      <c r="D227" s="44"/>
      <c r="E227" s="44"/>
      <c r="F227" s="44"/>
      <c r="G227" s="44"/>
      <c r="H227" s="44"/>
    </row>
    <row r="228" customFormat="false" ht="15" hidden="false" customHeight="false" outlineLevel="1" collapsed="false">
      <c r="A228" s="3" t="s">
        <v>543</v>
      </c>
      <c r="B228" s="12" t="s">
        <v>91</v>
      </c>
      <c r="C228" s="44"/>
      <c r="D228" s="44"/>
      <c r="E228" s="44"/>
      <c r="F228" s="44"/>
      <c r="G228" s="44"/>
      <c r="H228" s="44"/>
    </row>
    <row r="229" customFormat="false" ht="15" hidden="false" customHeight="false" outlineLevel="1" collapsed="false">
      <c r="A229" s="3" t="s">
        <v>544</v>
      </c>
      <c r="B229" s="12" t="s">
        <v>91</v>
      </c>
      <c r="C229" s="44"/>
      <c r="D229" s="44"/>
      <c r="E229" s="44"/>
      <c r="F229" s="44"/>
      <c r="G229" s="44"/>
      <c r="H229" s="44"/>
    </row>
    <row r="230" customFormat="false" ht="15" hidden="false" customHeight="false" outlineLevel="1" collapsed="false">
      <c r="A230" s="3" t="s">
        <v>545</v>
      </c>
      <c r="B230" s="12" t="s">
        <v>170</v>
      </c>
      <c r="C230" s="22"/>
      <c r="D230" s="22"/>
      <c r="E230" s="22"/>
      <c r="F230" s="22"/>
      <c r="G230" s="22"/>
      <c r="H230" s="22"/>
    </row>
    <row r="231" customFormat="false" ht="15" hidden="false" customHeight="false" outlineLevel="1" collapsed="false">
      <c r="A231" s="3" t="s">
        <v>546</v>
      </c>
      <c r="C231" s="45"/>
      <c r="D231" s="45"/>
      <c r="E231" s="45"/>
      <c r="F231" s="45"/>
      <c r="G231" s="45"/>
      <c r="H231" s="45"/>
    </row>
    <row r="232" customFormat="false" ht="15" hidden="false" customHeight="false" outlineLevel="1" collapsed="false">
      <c r="A232" s="3" t="s">
        <v>547</v>
      </c>
      <c r="C232" s="45"/>
      <c r="D232" s="45"/>
      <c r="E232" s="45"/>
      <c r="F232" s="45"/>
      <c r="G232" s="45"/>
      <c r="H232" s="45"/>
    </row>
    <row r="233" customFormat="false" ht="15" hidden="false" customHeight="false" outlineLevel="1" collapsed="false">
      <c r="A233" s="3" t="s">
        <v>548</v>
      </c>
      <c r="C233" s="45"/>
      <c r="D233" s="45"/>
      <c r="E233" s="45"/>
      <c r="F233" s="45"/>
      <c r="G233" s="45"/>
      <c r="H233" s="45"/>
    </row>
    <row r="234" customFormat="false" ht="15" hidden="false" customHeight="false" outlineLevel="1" collapsed="false">
      <c r="A234" s="3" t="s">
        <v>549</v>
      </c>
      <c r="B234" s="12" t="s">
        <v>91</v>
      </c>
      <c r="C234" s="44" t="n">
        <v>3.45</v>
      </c>
      <c r="D234" s="44"/>
      <c r="E234" s="44"/>
      <c r="F234" s="44"/>
      <c r="G234" s="44"/>
      <c r="H234" s="44"/>
      <c r="J234" s="12" t="s">
        <v>550</v>
      </c>
    </row>
    <row r="235" customFormat="false" ht="15" hidden="false" customHeight="false" outlineLevel="1" collapsed="false">
      <c r="A235" s="3" t="s">
        <v>551</v>
      </c>
      <c r="B235" s="12" t="s">
        <v>91</v>
      </c>
      <c r="C235" s="44" t="n">
        <v>3.6</v>
      </c>
      <c r="D235" s="44"/>
      <c r="E235" s="44"/>
      <c r="F235" s="44"/>
      <c r="G235" s="44"/>
      <c r="H235" s="44"/>
    </row>
    <row r="236" customFormat="false" ht="15" hidden="false" customHeight="false" outlineLevel="1" collapsed="false">
      <c r="A236" s="3" t="s">
        <v>552</v>
      </c>
      <c r="B236" s="12" t="s">
        <v>91</v>
      </c>
      <c r="C236" s="44" t="n">
        <v>0.2</v>
      </c>
      <c r="D236" s="44"/>
      <c r="E236" s="44"/>
      <c r="F236" s="44"/>
      <c r="G236" s="44"/>
      <c r="H236" s="44"/>
      <c r="J236" s="12" t="s">
        <v>550</v>
      </c>
    </row>
    <row r="237" customFormat="false" ht="15" hidden="false" customHeight="false" outlineLevel="1" collapsed="false">
      <c r="A237" s="3" t="s">
        <v>553</v>
      </c>
      <c r="B237" s="12" t="s">
        <v>91</v>
      </c>
      <c r="C237" s="44" t="n">
        <v>0.26</v>
      </c>
      <c r="D237" s="44"/>
      <c r="E237" s="44"/>
      <c r="F237" s="44"/>
      <c r="G237" s="44"/>
      <c r="H237" s="44"/>
    </row>
    <row r="238" customFormat="false" ht="15" hidden="false" customHeight="false" outlineLevel="1" collapsed="false">
      <c r="A238" s="3" t="s">
        <v>554</v>
      </c>
      <c r="B238" s="12" t="s">
        <v>91</v>
      </c>
      <c r="C238" s="44" t="n">
        <v>11.5</v>
      </c>
      <c r="D238" s="44"/>
      <c r="E238" s="44"/>
      <c r="F238" s="44"/>
      <c r="G238" s="44"/>
      <c r="H238" s="44"/>
      <c r="J238" s="12" t="s">
        <v>550</v>
      </c>
    </row>
    <row r="239" customFormat="false" ht="15" hidden="false" customHeight="false" outlineLevel="1" collapsed="false">
      <c r="A239" s="3" t="s">
        <v>555</v>
      </c>
      <c r="B239" s="12" t="s">
        <v>91</v>
      </c>
      <c r="C239" s="44" t="n">
        <v>13.5</v>
      </c>
      <c r="D239" s="44"/>
      <c r="E239" s="44"/>
      <c r="F239" s="44"/>
      <c r="G239" s="44"/>
      <c r="H239" s="44"/>
    </row>
    <row r="240" customFormat="false" ht="15" hidden="false" customHeight="false" outlineLevel="1" collapsed="false">
      <c r="A240" s="3" t="s">
        <v>556</v>
      </c>
      <c r="B240" s="12" t="s">
        <v>91</v>
      </c>
      <c r="C240" s="44" t="n">
        <v>12.4</v>
      </c>
      <c r="D240" s="44" t="n">
        <v>13.2</v>
      </c>
      <c r="E240" s="44" t="n">
        <v>4.653</v>
      </c>
      <c r="J240" s="7" t="s">
        <v>557</v>
      </c>
    </row>
    <row r="241" customFormat="false" ht="15" hidden="false" customHeight="false" outlineLevel="1" collapsed="false">
      <c r="A241" s="3" t="s">
        <v>558</v>
      </c>
      <c r="B241" s="12" t="s">
        <v>91</v>
      </c>
      <c r="C241" s="44" t="n">
        <v>35</v>
      </c>
      <c r="D241" s="44" t="n">
        <v>39</v>
      </c>
      <c r="E241" s="44" t="n">
        <v>16.139</v>
      </c>
      <c r="J241" s="7" t="s">
        <v>557</v>
      </c>
    </row>
  </sheetData>
  <dataValidations count="1">
    <dataValidation allowBlank="false" error="請輸入 1–4" errorStyle="stop" errorTitle="錨定年度" operator="between" showDropDown="false" showErrorMessage="true" showInputMessage="false" sqref="C107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559</v>
      </c>
    </row>
    <row r="2" customFormat="false" ht="15" hidden="false" customHeight="false" outlineLevel="0" collapsed="false">
      <c r="A2" s="12" t="s">
        <v>560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166</v>
      </c>
      <c r="G4" s="27" t="s">
        <v>167</v>
      </c>
      <c r="I4" s="15" t="s">
        <v>561</v>
      </c>
    </row>
    <row r="5" customFormat="false" ht="15" hidden="false" customHeight="false" outlineLevel="0" collapsed="false">
      <c r="A5" s="46" t="s">
        <v>562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563</v>
      </c>
      <c r="B6" s="12" t="s">
        <v>91</v>
      </c>
      <c r="C6" s="32" t="n">
        <f aca="false">輸入與假設!$C$132+輸入與假設!C$73</f>
        <v>36.975</v>
      </c>
      <c r="D6" s="32" t="n">
        <f aca="false">輸入與假設!D$73</f>
        <v>38.335</v>
      </c>
      <c r="E6" s="32" t="n">
        <f aca="false">輸入與假設!E$73</f>
        <v>29.41</v>
      </c>
      <c r="F6" s="32" t="n">
        <f aca="false">輸入與假設!F$73</f>
        <v>30.6</v>
      </c>
      <c r="G6" s="32" t="n">
        <f aca="false">輸入與假設!G$73</f>
        <v>32.47</v>
      </c>
      <c r="I6" s="12" t="s">
        <v>564</v>
      </c>
    </row>
    <row r="7" customFormat="false" ht="15" hidden="false" customHeight="false" outlineLevel="1" collapsed="false">
      <c r="A7" s="3" t="s">
        <v>565</v>
      </c>
      <c r="B7" s="12" t="s">
        <v>77</v>
      </c>
      <c r="C7" s="47" t="n">
        <f aca="false">輸入與假設!C$58</f>
        <v>0.08</v>
      </c>
      <c r="D7" s="47" t="n">
        <f aca="false">輸入與假設!D$58</f>
        <v>0.08</v>
      </c>
      <c r="E7" s="47" t="n">
        <f aca="false">輸入與假設!E$58</f>
        <v>0.08</v>
      </c>
      <c r="F7" s="47" t="n">
        <f aca="false">輸入與假設!F$58</f>
        <v>0.08</v>
      </c>
      <c r="G7" s="47" t="n">
        <f aca="false">輸入與假設!G$58</f>
        <v>0.08</v>
      </c>
    </row>
    <row r="8" customFormat="false" ht="15" hidden="false" customHeight="false" outlineLevel="1" collapsed="false">
      <c r="A8" s="3" t="s">
        <v>566</v>
      </c>
      <c r="B8" s="12" t="s">
        <v>91</v>
      </c>
      <c r="C8" s="32" t="n">
        <f aca="false">輸入與假設!C$73*C7</f>
        <v>1.66688</v>
      </c>
      <c r="D8" s="32" t="n">
        <f aca="false">輸入與假設!D$73*D7</f>
        <v>3.0668</v>
      </c>
      <c r="E8" s="32" t="n">
        <f aca="false">輸入與假設!E$73*E7</f>
        <v>2.3528</v>
      </c>
      <c r="F8" s="32" t="n">
        <f aca="false">輸入與假設!F$73*F7</f>
        <v>2.448</v>
      </c>
      <c r="G8" s="32" t="n">
        <f aca="false">輸入與假設!G$73*G7</f>
        <v>2.5976</v>
      </c>
      <c r="I8" s="12" t="s">
        <v>567</v>
      </c>
    </row>
    <row r="9" customFormat="false" ht="15" hidden="false" customHeight="false" outlineLevel="1" collapsed="false">
      <c r="A9" s="4" t="s">
        <v>568</v>
      </c>
      <c r="B9" s="12" t="s">
        <v>91</v>
      </c>
      <c r="C9" s="32" t="n">
        <f aca="false">輸入與假設!$C$131+輸入與假設!C$73</f>
        <v>34.953</v>
      </c>
      <c r="D9" s="32" t="n">
        <f aca="false">輸入與假設!D$73</f>
        <v>38.335</v>
      </c>
      <c r="E9" s="32" t="n">
        <f aca="false">輸入與假設!E$73</f>
        <v>29.41</v>
      </c>
      <c r="F9" s="32" t="n">
        <f aca="false">輸入與假設!F$73</f>
        <v>30.6</v>
      </c>
      <c r="G9" s="32" t="n">
        <f aca="false">輸入與假設!G$73</f>
        <v>32.47</v>
      </c>
      <c r="I9" s="12" t="s">
        <v>569</v>
      </c>
    </row>
    <row r="10" customFormat="false" ht="15" hidden="false" customHeight="false" outlineLevel="1" collapsed="false">
      <c r="A10" s="3" t="s">
        <v>570</v>
      </c>
      <c r="B10" s="12" t="s">
        <v>91</v>
      </c>
      <c r="C10" s="39" t="n">
        <f aca="false">輸入與假設!C$59</f>
        <v>1.04</v>
      </c>
      <c r="D10" s="39" t="n">
        <f aca="false">輸入與假設!D$59</f>
        <v>2.339</v>
      </c>
      <c r="E10" s="39" t="n">
        <f aca="false">輸入與假設!E$59</f>
        <v>2.306</v>
      </c>
      <c r="F10" s="39" t="n">
        <f aca="false">輸入與假設!F$59</f>
        <v>2.373</v>
      </c>
      <c r="G10" s="39" t="n">
        <f aca="false">輸入與假設!G$59</f>
        <v>2.289</v>
      </c>
      <c r="I10" s="7" t="s">
        <v>571</v>
      </c>
    </row>
    <row r="11" customFormat="false" ht="15" hidden="false" customHeight="false" outlineLevel="1" collapsed="false">
      <c r="A11" s="3" t="s">
        <v>572</v>
      </c>
      <c r="B11" s="12" t="s">
        <v>91</v>
      </c>
      <c r="C11" s="39" t="n">
        <f aca="false">輸入與假設!C$60</f>
        <v>0.3</v>
      </c>
      <c r="D11" s="39" t="n">
        <f aca="false">輸入與假設!D$60</f>
        <v>1.6</v>
      </c>
      <c r="E11" s="39" t="n">
        <f aca="false">輸入與假設!E$60</f>
        <v>2.41935483870968</v>
      </c>
      <c r="F11" s="39" t="n">
        <f aca="false">輸入與假設!F$60</f>
        <v>2.75</v>
      </c>
      <c r="G11" s="39" t="n">
        <f aca="false">輸入與假設!G$60</f>
        <v>2.90153846153846</v>
      </c>
      <c r="I11" s="7" t="s">
        <v>573</v>
      </c>
    </row>
    <row r="12" customFormat="false" ht="15" hidden="false" customHeight="false" outlineLevel="1" collapsed="false">
      <c r="A12" s="3" t="s">
        <v>574</v>
      </c>
      <c r="B12" s="12" t="s">
        <v>91</v>
      </c>
      <c r="C12" s="32" t="n">
        <f aca="false">C10+C11</f>
        <v>1.34</v>
      </c>
      <c r="D12" s="32" t="n">
        <f aca="false">D10+D11</f>
        <v>3.939</v>
      </c>
      <c r="E12" s="32" t="n">
        <f aca="false">E10+E11</f>
        <v>4.72535483870968</v>
      </c>
      <c r="F12" s="32" t="n">
        <f aca="false">F10+F11</f>
        <v>5.123</v>
      </c>
      <c r="G12" s="32" t="n">
        <f aca="false">G10+G11</f>
        <v>5.19053846153846</v>
      </c>
    </row>
    <row r="13" customFormat="false" ht="15" hidden="false" customHeight="false" outlineLevel="1" collapsed="false">
      <c r="A13" s="3" t="s">
        <v>575</v>
      </c>
      <c r="B13" s="12" t="s">
        <v>91</v>
      </c>
      <c r="C13" s="39" t="n">
        <f aca="false">輸入與假設!C$95</f>
        <v>1.80589628695395</v>
      </c>
      <c r="D13" s="39" t="n">
        <f aca="false">輸入與假設!D$95</f>
        <v>2.46600676169447</v>
      </c>
      <c r="E13" s="39" t="n">
        <f aca="false">輸入與假設!E$95</f>
        <v>2.02009474796771</v>
      </c>
      <c r="F13" s="39" t="n">
        <f aca="false">輸入與假設!F$95</f>
        <v>1.73248149911395</v>
      </c>
      <c r="G13" s="39" t="n">
        <f aca="false">輸入與假設!G$95</f>
        <v>1.49513851973222</v>
      </c>
      <c r="I13" s="12" t="s">
        <v>576</v>
      </c>
    </row>
    <row r="14" customFormat="false" ht="15" hidden="false" customHeight="false" outlineLevel="1" collapsed="false">
      <c r="A14" s="3" t="s">
        <v>577</v>
      </c>
      <c r="B14" s="12" t="s">
        <v>91</v>
      </c>
      <c r="C14" s="32" t="n">
        <f aca="false">輸入與假設!$C$129</f>
        <v>3.127</v>
      </c>
      <c r="D14" s="32" t="n">
        <f aca="false">C41</f>
        <v>2</v>
      </c>
      <c r="E14" s="32" t="n">
        <f aca="false">D41</f>
        <v>2</v>
      </c>
      <c r="F14" s="32" t="n">
        <f aca="false">E41</f>
        <v>2</v>
      </c>
      <c r="G14" s="32" t="n">
        <f aca="false">F41</f>
        <v>2</v>
      </c>
      <c r="I14" s="12" t="s">
        <v>578</v>
      </c>
    </row>
    <row r="15" customFormat="false" ht="15" hidden="false" customHeight="false" outlineLevel="1" collapsed="false">
      <c r="A15" s="3" t="s">
        <v>579</v>
      </c>
      <c r="B15" s="12" t="s">
        <v>77</v>
      </c>
      <c r="C15" s="31" t="n">
        <f aca="false">IF(輸入與假設!$C$91=1,輸入與假設!C$94+MAX(0,輸入與假設!$C$90-450)/100*0.004,輸入與假設!C$94)</f>
        <v>0.09</v>
      </c>
      <c r="D15" s="31" t="n">
        <f aca="false">IF(輸入與假設!$C$91=1,輸入與假設!D$94+MAX(0,輸入與假設!$C$90-450)/100*0.004,輸入與假設!D$94)</f>
        <v>0.09</v>
      </c>
      <c r="E15" s="31" t="n">
        <f aca="false">IF(輸入與假設!$C$91=1,輸入與假設!E$94+MAX(0,輸入與假設!$C$90-450)/100*0.004,輸入與假設!E$94)</f>
        <v>0.09</v>
      </c>
      <c r="F15" s="31" t="n">
        <f aca="false">IF(輸入與假設!$C$91=1,輸入與假設!F$94+MAX(0,輸入與假設!$C$90-450)/100*0.004,輸入與假設!F$94)</f>
        <v>0.09</v>
      </c>
      <c r="G15" s="31" t="n">
        <f aca="false">IF(輸入與假設!$C$91=1,輸入與假設!G$94+MAX(0,輸入與假設!$C$90-450)/100*0.004,輸入與假設!G$94)</f>
        <v>0.09</v>
      </c>
      <c r="I15" s="12" t="s">
        <v>580</v>
      </c>
    </row>
    <row r="16" customFormat="false" ht="15" hidden="false" customHeight="false" outlineLevel="1" collapsed="false">
      <c r="A16" s="3" t="s">
        <v>581</v>
      </c>
      <c r="B16" s="12" t="s">
        <v>91</v>
      </c>
      <c r="C16" s="32" t="n">
        <f aca="false">C63</f>
        <v>0.564952311705499</v>
      </c>
      <c r="D16" s="32" t="n">
        <f aca="false">D63</f>
        <v>4.07082035882062</v>
      </c>
      <c r="E16" s="32" t="n">
        <f aca="false">E63</f>
        <v>5.58647186461765</v>
      </c>
      <c r="F16" s="32" t="n">
        <f aca="false">F63</f>
        <v>5.869010565</v>
      </c>
      <c r="G16" s="32" t="n">
        <f aca="false">G63</f>
        <v>6.51509604</v>
      </c>
      <c r="I16" s="7" t="s">
        <v>582</v>
      </c>
    </row>
    <row r="17" customFormat="false" ht="15" hidden="false" customHeight="false" outlineLevel="1" collapsed="false">
      <c r="A17" s="3" t="s">
        <v>583</v>
      </c>
      <c r="B17" s="12" t="s">
        <v>91</v>
      </c>
      <c r="C17" s="32" t="n">
        <f aca="false">C13+C16</f>
        <v>2.37084859865945</v>
      </c>
      <c r="D17" s="32" t="n">
        <f aca="false">D13+D16</f>
        <v>6.53682712051508</v>
      </c>
      <c r="E17" s="32" t="n">
        <f aca="false">E13+E16</f>
        <v>7.60656661258536</v>
      </c>
      <c r="F17" s="32" t="n">
        <f aca="false">F13+F16</f>
        <v>7.60149206411395</v>
      </c>
      <c r="G17" s="32" t="n">
        <f aca="false">G13+G16</f>
        <v>8.01023455973222</v>
      </c>
    </row>
    <row r="18" customFormat="false" ht="15" hidden="false" customHeight="false" outlineLevel="1" collapsed="false">
      <c r="A18" s="4" t="s">
        <v>584</v>
      </c>
      <c r="B18" s="12" t="s">
        <v>91</v>
      </c>
      <c r="C18" s="32" t="n">
        <f aca="false">輸入與假設!$C$133+輸入與假設!C$63</f>
        <v>1.938</v>
      </c>
      <c r="D18" s="32" t="n">
        <f aca="false">輸入與假設!D$63</f>
        <v>0.4</v>
      </c>
      <c r="E18" s="32" t="n">
        <f aca="false">輸入與假設!E$63</f>
        <v>0.3</v>
      </c>
      <c r="F18" s="32" t="n">
        <f aca="false">輸入與假設!F$63</f>
        <v>0.2</v>
      </c>
      <c r="G18" s="32" t="n">
        <f aca="false">輸入與假設!G$63</f>
        <v>0.2</v>
      </c>
      <c r="I18" s="12" t="s">
        <v>585</v>
      </c>
    </row>
    <row r="19" customFormat="false" ht="15" hidden="false" customHeight="false" outlineLevel="1" collapsed="false">
      <c r="A19" s="3" t="s">
        <v>586</v>
      </c>
      <c r="B19" s="12" t="s">
        <v>91</v>
      </c>
      <c r="C19" s="32" t="n">
        <f aca="false">IF(輸入與假設!$C$42=1,運營_產能與收入!C9*8760*輸入與假設!C$44*輸入與假設!C$43/1000000000*運營_產能與收入!C7,0)</f>
        <v>0</v>
      </c>
      <c r="D19" s="32" t="n">
        <f aca="false">IF(輸入與假設!$C$42=1,運營_產能與收入!D9*8760*輸入與假設!D$44*輸入與假設!D$43/1000000000*運營_產能與收入!D7,0)</f>
        <v>0</v>
      </c>
      <c r="E19" s="32" t="n">
        <f aca="false">IF(輸入與假設!$C$42=1,運營_產能與收入!E9*8760*輸入與假設!E$44*輸入與假設!E$43/1000000000*運營_產能與收入!E7,0)</f>
        <v>0</v>
      </c>
      <c r="F19" s="32" t="n">
        <f aca="false">IF(輸入與假設!$C$42=1,運營_產能與收入!F9*8760*輸入與假設!F$44*輸入與假設!F$43/1000000000*運營_產能與收入!F7,0)</f>
        <v>0</v>
      </c>
      <c r="G19" s="32" t="n">
        <f aca="false">IF(輸入與假設!$C$42=1,運營_產能與收入!G9*8760*輸入與假設!G$44*輸入與假設!G$43/1000000000*運營_產能與收入!G7,0)</f>
        <v>0</v>
      </c>
      <c r="I19" s="7" t="s">
        <v>587</v>
      </c>
    </row>
    <row r="20" customFormat="false" ht="15" hidden="false" customHeight="false" outlineLevel="1" collapsed="false">
      <c r="A20" s="3" t="s">
        <v>588</v>
      </c>
      <c r="B20" s="12" t="s">
        <v>91</v>
      </c>
      <c r="C20" s="32" t="n">
        <f aca="false">IF(輸入與假設!$C$42=1,運營_產能與收入!C9*輸入與假設!C$45/1000*運營_產能與收入!C7,0)</f>
        <v>0</v>
      </c>
      <c r="D20" s="32" t="n">
        <f aca="false">IF(輸入與假設!$C$42=1,運營_產能與收入!D9*輸入與假設!D$45/1000*運營_產能與收入!D7,0)</f>
        <v>0</v>
      </c>
      <c r="E20" s="32" t="n">
        <f aca="false">IF(輸入與假設!$C$42=1,運營_產能與收入!E9*輸入與假設!E$45/1000*運營_產能與收入!E7,0)</f>
        <v>0</v>
      </c>
      <c r="F20" s="32" t="n">
        <f aca="false">IF(輸入與假設!$C$42=1,運營_產能與收入!F9*輸入與假設!F$45/1000*運營_產能與收入!F7,0)</f>
        <v>0</v>
      </c>
      <c r="G20" s="32" t="n">
        <f aca="false">IF(輸入與假設!$C$42=1,運營_產能與收入!G9*輸入與假設!G$45/1000*運營_產能與收入!G7,0)</f>
        <v>0</v>
      </c>
    </row>
    <row r="21" customFormat="false" ht="15" hidden="false" customHeight="false" outlineLevel="1" collapsed="false">
      <c r="A21" s="3" t="s">
        <v>589</v>
      </c>
      <c r="B21" s="12" t="s">
        <v>91</v>
      </c>
      <c r="C21" s="32" t="n">
        <f aca="false">輸入與假設!$C$135+IF(輸入與假設!$C$82=1,輸入與假設!C$93,0)</f>
        <v>9.632</v>
      </c>
      <c r="D21" s="32" t="n">
        <f aca="false">IF(輸入與假設!$C$82=1,輸入與假設!D$93,0)</f>
        <v>6.184</v>
      </c>
      <c r="E21" s="32" t="n">
        <f aca="false">IF(輸入與假設!$C$82=1,輸入與假設!E$93,0)</f>
        <v>4.416</v>
      </c>
      <c r="F21" s="32" t="n">
        <f aca="false">IF(輸入與假設!$C$82=1,輸入與假設!F$93,0)</f>
        <v>2.421</v>
      </c>
      <c r="G21" s="32" t="n">
        <f aca="false">IF(輸入與假設!$C$82=1,輸入與假設!G$93,0)</f>
        <v>3.221</v>
      </c>
      <c r="I21" s="12" t="s">
        <v>590</v>
      </c>
    </row>
    <row r="22" customFormat="false" ht="15" hidden="false" customHeight="false" outlineLevel="1" collapsed="false">
      <c r="A22" s="4" t="s">
        <v>591</v>
      </c>
      <c r="B22" s="12" t="s">
        <v>91</v>
      </c>
      <c r="C22" s="32" t="n">
        <f aca="false">輸入與假設!$C$136</f>
        <v>0.492</v>
      </c>
      <c r="D22" s="32" t="n">
        <f aca="false">0</f>
        <v>0</v>
      </c>
      <c r="E22" s="32" t="n">
        <f aca="false">0</f>
        <v>0</v>
      </c>
      <c r="F22" s="32" t="n">
        <f aca="false">0</f>
        <v>0</v>
      </c>
      <c r="G22" s="32" t="n">
        <f aca="false">0</f>
        <v>0</v>
      </c>
      <c r="I22" s="12" t="s">
        <v>592</v>
      </c>
    </row>
    <row r="23" customFormat="false" ht="15" hidden="false" customHeight="false" outlineLevel="1" collapsed="false">
      <c r="A23" s="2" t="s">
        <v>593</v>
      </c>
      <c r="B23" s="12" t="s">
        <v>91</v>
      </c>
      <c r="C23" s="36" t="n">
        <f aca="false">C9+C12+C17+C18+C19+C20+C21+C22</f>
        <v>50.7258485986595</v>
      </c>
      <c r="D23" s="36" t="n">
        <f aca="false">D9+D12+D17+D18+D19+D20+D21+D22</f>
        <v>55.3948271205151</v>
      </c>
      <c r="E23" s="36" t="n">
        <f aca="false">E9+E12+E17+E18+E19+E20+E21+E22</f>
        <v>46.457921451295</v>
      </c>
      <c r="F23" s="36" t="n">
        <f aca="false">F9+F12+F17+F18+F19+F20+F21+F22</f>
        <v>45.945492064114</v>
      </c>
      <c r="G23" s="36" t="n">
        <f aca="false">G9+G12+G17+G18+G19+G20+G21+G22</f>
        <v>49.0917730212707</v>
      </c>
      <c r="I23" s="12" t="s">
        <v>594</v>
      </c>
    </row>
    <row r="24" customFormat="false" ht="15" hidden="false" customHeight="false" outlineLevel="0" collapsed="false">
      <c r="A24" s="46" t="s">
        <v>595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596</v>
      </c>
      <c r="B25" s="12" t="s">
        <v>91</v>
      </c>
      <c r="C25" s="39" t="n">
        <f aca="false">輸入與假設!$C$130</f>
        <v>3.663</v>
      </c>
      <c r="D25" s="39" t="n">
        <f aca="false">0</f>
        <v>0</v>
      </c>
      <c r="E25" s="39" t="n">
        <f aca="false">0</f>
        <v>0</v>
      </c>
      <c r="F25" s="39" t="n">
        <f aca="false">0</f>
        <v>0</v>
      </c>
      <c r="G25" s="39" t="n">
        <f aca="false">0</f>
        <v>0</v>
      </c>
      <c r="I25" s="12" t="s">
        <v>597</v>
      </c>
    </row>
    <row r="26" customFormat="false" ht="15" hidden="false" customHeight="false" outlineLevel="1" collapsed="false">
      <c r="A26" s="4" t="s">
        <v>598</v>
      </c>
      <c r="B26" s="12" t="s">
        <v>91</v>
      </c>
      <c r="C26" s="39" t="n">
        <f aca="false">運營_產能與收入!C36</f>
        <v>6.0636895903037</v>
      </c>
      <c r="D26" s="39" t="n">
        <f aca="false">運營_產能與收入!D36</f>
        <v>18.8954249232071</v>
      </c>
      <c r="E26" s="39" t="n">
        <f aca="false">運營_產能與收入!E36</f>
        <v>19.1311823027985</v>
      </c>
      <c r="F26" s="39" t="n">
        <f aca="false">運營_產能與收入!F36</f>
        <v>18.781449967</v>
      </c>
      <c r="G26" s="39" t="n">
        <f aca="false">運營_產能與收入!G36</f>
        <v>13.374716905551</v>
      </c>
    </row>
    <row r="27" customFormat="false" ht="15" hidden="false" customHeight="false" outlineLevel="1" collapsed="false">
      <c r="A27" s="3" t="s">
        <v>599</v>
      </c>
      <c r="B27" s="12" t="s">
        <v>91</v>
      </c>
      <c r="C27" s="39" t="n">
        <f aca="false">運營_產能與收入!C37</f>
        <v>0</v>
      </c>
      <c r="D27" s="39" t="n">
        <f aca="false">運營_產能與收入!D37</f>
        <v>0</v>
      </c>
      <c r="E27" s="39" t="n">
        <f aca="false">運營_產能與收入!E37</f>
        <v>6.78541228626628</v>
      </c>
      <c r="F27" s="39" t="n">
        <f aca="false">運營_產能與收入!F37</f>
        <v>10.826919371542</v>
      </c>
      <c r="G27" s="39" t="n">
        <f aca="false">運營_產能與收入!G37</f>
        <v>17.7594020166549</v>
      </c>
    </row>
    <row r="28" customFormat="false" ht="15" hidden="false" customHeight="false" outlineLevel="1" collapsed="false">
      <c r="A28" s="3" t="s">
        <v>600</v>
      </c>
      <c r="B28" s="12" t="s">
        <v>91</v>
      </c>
      <c r="C28" s="39" t="n">
        <f aca="false">輸入與假設!C$40</f>
        <v>0.224783192677998</v>
      </c>
      <c r="D28" s="39" t="n">
        <f aca="false">輸入與假設!D$40</f>
        <v>0.755760692756674</v>
      </c>
      <c r="E28" s="39" t="n">
        <f aca="false">輸入與假設!E$40</f>
        <v>1.34795457559659</v>
      </c>
      <c r="F28" s="39" t="n">
        <f aca="false">輸入與假設!F$40</f>
        <v>2.11660002119496</v>
      </c>
      <c r="G28" s="39" t="n">
        <f aca="false">輸入與假設!G$40</f>
        <v>2.90837126816542</v>
      </c>
    </row>
    <row r="29" customFormat="false" ht="15" hidden="false" customHeight="false" outlineLevel="1" collapsed="false">
      <c r="A29" s="3" t="s">
        <v>601</v>
      </c>
      <c r="B29" s="12" t="s">
        <v>91</v>
      </c>
      <c r="C29" s="32" t="n">
        <f aca="false">C8</f>
        <v>1.66688</v>
      </c>
      <c r="D29" s="32" t="n">
        <f aca="false">D8</f>
        <v>3.0668</v>
      </c>
      <c r="E29" s="32" t="n">
        <f aca="false">E8</f>
        <v>2.3528</v>
      </c>
      <c r="F29" s="32" t="n">
        <f aca="false">F8</f>
        <v>2.448</v>
      </c>
      <c r="G29" s="32" t="n">
        <f aca="false">G8</f>
        <v>2.5976</v>
      </c>
    </row>
    <row r="30" customFormat="false" ht="15" hidden="false" customHeight="false" outlineLevel="1" collapsed="false">
      <c r="A30" s="2" t="s">
        <v>602</v>
      </c>
      <c r="B30" s="12" t="s">
        <v>91</v>
      </c>
      <c r="C30" s="36" t="n">
        <f aca="false">C25+C26+C27+C28+C29</f>
        <v>11.6183527829817</v>
      </c>
      <c r="D30" s="36" t="n">
        <f aca="false">D25+D26+D27+D28+D29</f>
        <v>22.7179856159638</v>
      </c>
      <c r="E30" s="36" t="n">
        <f aca="false">E25+E26+E27+E28+E29</f>
        <v>29.6173491646613</v>
      </c>
      <c r="F30" s="36" t="n">
        <f aca="false">F25+F26+F27+F28+F29</f>
        <v>34.1729693597369</v>
      </c>
      <c r="G30" s="36" t="n">
        <f aca="false">G25+G26+G27+G28+G29</f>
        <v>36.6400901903713</v>
      </c>
    </row>
    <row r="31" customFormat="false" ht="15" hidden="false" customHeight="false" outlineLevel="1" collapsed="false">
      <c r="A31" s="3" t="s">
        <v>603</v>
      </c>
      <c r="B31" s="12" t="s">
        <v>91</v>
      </c>
      <c r="C31" s="32" t="n">
        <f aca="false">輸入與假設!$C$137+IF(輸入與假設!$C$79=1,輸入與假設!$C$78,0)</f>
        <v>9.182</v>
      </c>
      <c r="D31" s="32" t="n">
        <f aca="false">0</f>
        <v>0</v>
      </c>
      <c r="E31" s="32" t="n">
        <f aca="false">0</f>
        <v>0</v>
      </c>
      <c r="F31" s="32" t="n">
        <f aca="false">0</f>
        <v>0</v>
      </c>
      <c r="G31" s="32" t="n">
        <f aca="false">0</f>
        <v>0</v>
      </c>
      <c r="I31" s="12" t="s">
        <v>604</v>
      </c>
    </row>
    <row r="32" customFormat="false" ht="15" hidden="false" customHeight="false" outlineLevel="1" collapsed="false">
      <c r="A32" s="4" t="s">
        <v>605</v>
      </c>
      <c r="B32" s="12" t="s">
        <v>91</v>
      </c>
      <c r="C32" s="39" t="n">
        <f aca="false">輸入與假設!$C$134</f>
        <v>16.747</v>
      </c>
      <c r="D32" s="39" t="n">
        <f aca="false">0</f>
        <v>0</v>
      </c>
      <c r="E32" s="39" t="n">
        <f aca="false">0</f>
        <v>0</v>
      </c>
      <c r="F32" s="39" t="n">
        <f aca="false">0</f>
        <v>0</v>
      </c>
      <c r="G32" s="39" t="n">
        <f aca="false">0</f>
        <v>0</v>
      </c>
      <c r="I32" s="12" t="s">
        <v>606</v>
      </c>
    </row>
    <row r="33" customFormat="false" ht="15" hidden="false" customHeight="false" outlineLevel="1" collapsed="false">
      <c r="A33" s="3" t="s">
        <v>607</v>
      </c>
      <c r="B33" s="12" t="s">
        <v>91</v>
      </c>
      <c r="C33" s="32" t="n">
        <f aca="false">C58</f>
        <v>12.5544958156778</v>
      </c>
      <c r="D33" s="32" t="n">
        <f aca="false">D58</f>
        <v>32.6768415045513</v>
      </c>
      <c r="E33" s="32" t="n">
        <f aca="false">E58</f>
        <v>16.8405722866337</v>
      </c>
      <c r="F33" s="32" t="n">
        <f aca="false">F58</f>
        <v>3.13931889313726</v>
      </c>
      <c r="G33" s="32" t="n">
        <f aca="false">G58</f>
        <v>7.17872749999999</v>
      </c>
      <c r="I33" s="7" t="s">
        <v>608</v>
      </c>
    </row>
    <row r="34" customFormat="false" ht="15" hidden="false" customHeight="false" outlineLevel="1" collapsed="false">
      <c r="A34" s="3" t="s">
        <v>609</v>
      </c>
      <c r="B34" s="12" t="s">
        <v>91</v>
      </c>
      <c r="C34" s="32" t="n">
        <f aca="false">C61</f>
        <v>0</v>
      </c>
      <c r="D34" s="32" t="n">
        <f aca="false">D61</f>
        <v>0</v>
      </c>
      <c r="E34" s="32" t="n">
        <f aca="false">E61</f>
        <v>0</v>
      </c>
      <c r="F34" s="32" t="n">
        <f aca="false">F61</f>
        <v>8.63320381123975</v>
      </c>
      <c r="G34" s="32" t="n">
        <f aca="false">G61</f>
        <v>5.27295533089938</v>
      </c>
      <c r="I34" s="7" t="s">
        <v>610</v>
      </c>
    </row>
    <row r="35" customFormat="false" ht="15" hidden="false" customHeight="false" outlineLevel="1" collapsed="false">
      <c r="A35" s="3" t="s">
        <v>611</v>
      </c>
      <c r="B35" s="12" t="s">
        <v>91</v>
      </c>
      <c r="C35" s="32" t="n">
        <f aca="false">C62</f>
        <v>0</v>
      </c>
      <c r="D35" s="32" t="n">
        <f aca="false">D62</f>
        <v>0</v>
      </c>
      <c r="E35" s="32" t="n">
        <f aca="false">E62</f>
        <v>0</v>
      </c>
      <c r="F35" s="32" t="n">
        <f aca="false">F62</f>
        <v>0</v>
      </c>
      <c r="G35" s="32" t="n">
        <f aca="false">G62</f>
        <v>0</v>
      </c>
      <c r="I35" s="7" t="s">
        <v>612</v>
      </c>
    </row>
    <row r="36" customFormat="false" ht="15" hidden="false" customHeight="false" outlineLevel="1" collapsed="false">
      <c r="A36" s="2" t="s">
        <v>613</v>
      </c>
      <c r="B36" s="12" t="s">
        <v>91</v>
      </c>
      <c r="C36" s="36" t="n">
        <f aca="false">C30+C31+C32+C33+C34+C35</f>
        <v>50.1018485986595</v>
      </c>
      <c r="D36" s="36" t="n">
        <f aca="false">D30+D31+D32+D33+D34+D35</f>
        <v>55.3948271205151</v>
      </c>
      <c r="E36" s="36" t="n">
        <f aca="false">E30+E31+E32+E33+E34+E35</f>
        <v>46.457921451295</v>
      </c>
      <c r="F36" s="36" t="n">
        <f aca="false">F30+F31+F32+F33+F34+F35</f>
        <v>45.945492064114</v>
      </c>
      <c r="G36" s="36" t="n">
        <f aca="false">G30+G31+G32+G33+G34+G35</f>
        <v>49.0917730212707</v>
      </c>
    </row>
    <row r="37" customFormat="false" ht="15" hidden="false" customHeight="false" outlineLevel="0" collapsed="false">
      <c r="A37" s="46" t="s">
        <v>614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615</v>
      </c>
      <c r="B38" s="12" t="s">
        <v>91</v>
      </c>
      <c r="C38" s="32" t="n">
        <f aca="false">輸入與假設!$C$77-(輸入與假設!$C$129+輸入與假設!$C$130+輸入與假設!$C$134+輸入與假設!$C$137-輸入與假設!$C$131-輸入與假設!$C$133-輸入與假設!$C$135-輸入與假設!$C$136)</f>
        <v>-0.502999999999997</v>
      </c>
      <c r="D38" s="32" t="n">
        <f aca="false">0</f>
        <v>0</v>
      </c>
      <c r="E38" s="32" t="n">
        <f aca="false">0</f>
        <v>0</v>
      </c>
      <c r="F38" s="32" t="n">
        <f aca="false">0</f>
        <v>0</v>
      </c>
      <c r="G38" s="32" t="n">
        <f aca="false">0</f>
        <v>0</v>
      </c>
      <c r="I38" s="7" t="s">
        <v>616</v>
      </c>
    </row>
    <row r="39" customFormat="false" ht="15" hidden="false" customHeight="false" outlineLevel="1" collapsed="false">
      <c r="A39" s="2" t="s">
        <v>617</v>
      </c>
      <c r="B39" s="12" t="s">
        <v>91</v>
      </c>
      <c r="C39" s="36" t="n">
        <f aca="false">C30-(C23-C21-C22)</f>
        <v>-28.9834958156778</v>
      </c>
      <c r="D39" s="36" t="n">
        <f aca="false">D30-(D23-D21-D22)</f>
        <v>-26.4928415045513</v>
      </c>
      <c r="E39" s="36" t="n">
        <f aca="false">E30-(E23-E21-E22)</f>
        <v>-12.4245722866337</v>
      </c>
      <c r="F39" s="36" t="n">
        <f aca="false">F30-(F23-F21-F22)</f>
        <v>-9.351522704377</v>
      </c>
      <c r="G39" s="36" t="n">
        <f aca="false">G30-(G23-G21-G22)</f>
        <v>-9.23068283089938</v>
      </c>
      <c r="I39" s="7" t="s">
        <v>618</v>
      </c>
    </row>
    <row r="40" customFormat="false" ht="15" hidden="false" customHeight="false" outlineLevel="1" collapsed="false">
      <c r="A40" s="3" t="s">
        <v>619</v>
      </c>
      <c r="B40" s="12" t="s">
        <v>91</v>
      </c>
      <c r="C40" s="32" t="n">
        <f aca="false">C36-C23+C38</f>
        <v>-1.127</v>
      </c>
      <c r="D40" s="32" t="n">
        <f aca="false">D36-D23+D38</f>
        <v>0</v>
      </c>
      <c r="E40" s="32" t="n">
        <f aca="false">E36-E23+E38</f>
        <v>0</v>
      </c>
      <c r="F40" s="32" t="n">
        <f aca="false">F36-F23+F38</f>
        <v>0</v>
      </c>
      <c r="G40" s="32" t="n">
        <f aca="false">G36-G23+G38</f>
        <v>0</v>
      </c>
    </row>
    <row r="41" customFormat="false" ht="15" hidden="false" customHeight="false" outlineLevel="1" collapsed="false">
      <c r="A41" s="2" t="s">
        <v>620</v>
      </c>
      <c r="B41" s="12" t="s">
        <v>91</v>
      </c>
      <c r="C41" s="36" t="n">
        <f aca="false">C14+C40</f>
        <v>2</v>
      </c>
      <c r="D41" s="36" t="n">
        <f aca="false">D14+D40</f>
        <v>2</v>
      </c>
      <c r="E41" s="36" t="n">
        <f aca="false">E14+E40</f>
        <v>2</v>
      </c>
      <c r="F41" s="36" t="n">
        <f aca="false">F14+F40</f>
        <v>2</v>
      </c>
      <c r="G41" s="36" t="n">
        <f aca="false">G14+G40</f>
        <v>2</v>
      </c>
      <c r="I41" s="7" t="s">
        <v>621</v>
      </c>
    </row>
    <row r="43" customFormat="false" ht="15" hidden="false" customHeight="false" outlineLevel="0" collapsed="false">
      <c r="A43" s="46" t="s">
        <v>622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623</v>
      </c>
      <c r="B44" s="12" t="s">
        <v>91</v>
      </c>
      <c r="C44" s="32" t="n">
        <f aca="false">C9+C12+C13+C18+C19+C20+C21+C22</f>
        <v>50.160896286954</v>
      </c>
      <c r="D44" s="32" t="n">
        <f aca="false">D9+D12+D13+D18+D19+D20+D21+D22</f>
        <v>51.3240067616945</v>
      </c>
      <c r="E44" s="32" t="n">
        <f aca="false">E9+E12+E13+E18+E19+E20+E21+E22</f>
        <v>40.8714495866774</v>
      </c>
      <c r="F44" s="32" t="n">
        <f aca="false">F9+F12+F13+F18+F19+F20+F21+F22</f>
        <v>40.076481499114</v>
      </c>
      <c r="G44" s="32" t="n">
        <f aca="false">G9+G12+G13+G18+G19+G20+G21+G22</f>
        <v>42.5766769812707</v>
      </c>
      <c r="I44" s="7" t="s">
        <v>624</v>
      </c>
    </row>
    <row r="45" customFormat="false" ht="15" hidden="false" customHeight="false" outlineLevel="1" collapsed="false">
      <c r="A45" s="3" t="s">
        <v>625</v>
      </c>
      <c r="B45" s="12" t="s">
        <v>91</v>
      </c>
      <c r="C45" s="32" t="n">
        <f aca="false">0</f>
        <v>0</v>
      </c>
      <c r="D45" s="32" t="n">
        <f aca="false">C67</f>
        <v>12.5544958156778</v>
      </c>
      <c r="E45" s="32" t="n">
        <f aca="false">D67</f>
        <v>45.2313373202291</v>
      </c>
      <c r="F45" s="32" t="n">
        <f aca="false">E67</f>
        <v>62.0719096068628</v>
      </c>
      <c r="G45" s="32" t="n">
        <f aca="false">F67</f>
        <v>65.2112285</v>
      </c>
    </row>
    <row r="46" customFormat="false" ht="15" hidden="false" customHeight="false" outlineLevel="1" collapsed="false">
      <c r="A46" s="3" t="s">
        <v>626</v>
      </c>
      <c r="B46" s="12" t="s">
        <v>77</v>
      </c>
      <c r="C46" s="48" t="n">
        <f aca="false">C15*運營_產能與收入!C7</f>
        <v>0.045</v>
      </c>
      <c r="D46" s="48" t="n">
        <f aca="false">D15*運營_產能與收入!D7</f>
        <v>0.09</v>
      </c>
      <c r="E46" s="48" t="n">
        <f aca="false">E15*運營_產能與收入!E7</f>
        <v>0.09</v>
      </c>
      <c r="F46" s="48" t="n">
        <f aca="false">F15*運營_產能與收入!F7</f>
        <v>0.09</v>
      </c>
      <c r="G46" s="48" t="n">
        <f aca="false">G15*運營_產能與收入!G7</f>
        <v>0.09</v>
      </c>
    </row>
    <row r="47" customFormat="false" ht="15" hidden="false" customHeight="false" outlineLevel="1" collapsed="false">
      <c r="A47" s="3" t="s">
        <v>627</v>
      </c>
      <c r="B47" s="12" t="s">
        <v>91</v>
      </c>
      <c r="C47" s="32" t="n">
        <f aca="false">0</f>
        <v>0</v>
      </c>
      <c r="D47" s="32" t="n">
        <f aca="false">C69</f>
        <v>0</v>
      </c>
      <c r="E47" s="32" t="n">
        <f aca="false">D69</f>
        <v>0</v>
      </c>
      <c r="F47" s="32" t="n">
        <f aca="false">E69</f>
        <v>0</v>
      </c>
      <c r="G47" s="32" t="n">
        <f aca="false">F69</f>
        <v>0</v>
      </c>
    </row>
    <row r="48" customFormat="false" ht="15" hidden="false" customHeight="false" outlineLevel="1" collapsed="false">
      <c r="A48" s="3" t="s">
        <v>628</v>
      </c>
      <c r="B48" s="12" t="s">
        <v>77</v>
      </c>
      <c r="C48" s="48" t="n">
        <f aca="false">(輸入與假設!$C$89+IF(輸入與假設!$C$91=1,MAX(0,輸入與假設!$C$90-450)/10000*0.4,0))*運營_產能與收入!C7</f>
        <v>0.06</v>
      </c>
      <c r="D48" s="48" t="n">
        <f aca="false">(輸入與假設!$C$89+IF(輸入與假設!$C$91=1,MAX(0,輸入與假設!$C$90-450)/10000*0.4,0))*運營_產能與收入!D7</f>
        <v>0.12</v>
      </c>
      <c r="E48" s="48" t="n">
        <f aca="false">(輸入與假設!$C$89+IF(輸入與假設!$C$91=1,MAX(0,輸入與假設!$C$90-450)/10000*0.4,0))*運營_產能與收入!E7</f>
        <v>0.12</v>
      </c>
      <c r="F48" s="48" t="n">
        <f aca="false">(輸入與假設!$C$89+IF(輸入與假設!$C$91=1,MAX(0,輸入與假設!$C$90-450)/10000*0.4,0))*運營_產能與收入!F7</f>
        <v>0.12</v>
      </c>
      <c r="G48" s="48" t="n">
        <f aca="false">(輸入與假設!$C$89+IF(輸入與假設!$C$91=1,MAX(0,輸入與假設!$C$90-450)/10000*0.4,0))*運營_產能與收入!G7</f>
        <v>0.12</v>
      </c>
    </row>
    <row r="49" customFormat="false" ht="15" hidden="false" customHeight="false" outlineLevel="1" collapsed="false">
      <c r="A49" s="3" t="s">
        <v>629</v>
      </c>
      <c r="B49" s="12" t="s">
        <v>91</v>
      </c>
      <c r="C49" s="32" t="n">
        <f aca="false">C14+C30+C31+C32+C38-C44-C46*C45-C48*C47</f>
        <v>-9.98954350397226</v>
      </c>
      <c r="D49" s="32" t="n">
        <f aca="false">D14+D30+D31+D32+D38-D44-D46*D45-D48*D47</f>
        <v>-27.7359257691417</v>
      </c>
      <c r="E49" s="32" t="n">
        <f aca="false">E14+E30+E31+E32+E38-E44-E46*E45-E48*E47</f>
        <v>-13.3249207808367</v>
      </c>
      <c r="F49" s="32" t="n">
        <f aca="false">F14+F30+F31+F32+F38-F44-F46*F45-F48*F47</f>
        <v>-9.48998400399466</v>
      </c>
      <c r="G49" s="32" t="n">
        <f aca="false">G14+G30+G31+G32+G38-G44-G46*G45-G48*G47</f>
        <v>-9.80559735589938</v>
      </c>
    </row>
    <row r="50" customFormat="false" ht="15" hidden="false" customHeight="false" outlineLevel="1" collapsed="false">
      <c r="A50" s="2" t="s">
        <v>630</v>
      </c>
      <c r="B50" s="12" t="s">
        <v>91</v>
      </c>
      <c r="C50" s="36" t="n">
        <f aca="false">MAX(0,輸入與假設!$C$85-C49)</f>
        <v>11.9895435039723</v>
      </c>
      <c r="D50" s="36" t="n">
        <f aca="false">MAX(0,輸入與假設!$C$85-D49)</f>
        <v>29.7359257691417</v>
      </c>
      <c r="E50" s="36" t="n">
        <f aca="false">MAX(0,輸入與假設!$C$85-E49)</f>
        <v>15.3249207808367</v>
      </c>
      <c r="F50" s="36" t="n">
        <f aca="false">MAX(0,輸入與假設!$C$85-F49)</f>
        <v>11.4899840039947</v>
      </c>
      <c r="G50" s="36" t="n">
        <f aca="false">MAX(0,輸入與假設!$C$85-G49)</f>
        <v>11.8055973558994</v>
      </c>
    </row>
    <row r="51" customFormat="false" ht="15" hidden="false" customHeight="false" outlineLevel="1" collapsed="false">
      <c r="A51" s="3" t="s">
        <v>631</v>
      </c>
      <c r="B51" s="12" t="s">
        <v>91</v>
      </c>
      <c r="C51" s="32" t="n">
        <f aca="false">輸入與假設!$C$15+輸入與假設!$C$16</f>
        <v>128.7</v>
      </c>
      <c r="D51" s="32" t="n">
        <f aca="false">C53</f>
        <v>115.50825</v>
      </c>
      <c r="E51" s="32" t="n">
        <f aca="false">D53</f>
        <v>89.12475</v>
      </c>
      <c r="F51" s="32" t="n">
        <f aca="false">E53</f>
        <v>99.902412</v>
      </c>
      <c r="G51" s="32" t="n">
        <f aca="false">F53</f>
        <v>87.0282285</v>
      </c>
      <c r="I51" s="12" t="s">
        <v>632</v>
      </c>
    </row>
    <row r="52" customFormat="false" ht="15" hidden="false" customHeight="false" outlineLevel="1" collapsed="false">
      <c r="A52" s="3" t="s">
        <v>633</v>
      </c>
      <c r="B52" s="12" t="s">
        <v>91</v>
      </c>
      <c r="C52" s="32" t="n">
        <f aca="false">MAX(0,運營_產能與收入!C23/運營_產能與收入!C7-0)*輸入與假設!$C$84</f>
        <v>0</v>
      </c>
      <c r="D52" s="32" t="n">
        <f aca="false">MAX(0,運營_產能與收入!D23/運營_產能與收入!D7-運營_產能與收入!C23/運營_產能與收入!C7)*輸入與假設!$C$84</f>
        <v>0</v>
      </c>
      <c r="E52" s="32" t="n">
        <f aca="false">MAX(0,運營_產能與收入!E23/運營_產能與收入!E7-運營_產能與收入!D23/運營_產能與收入!D7)*輸入與假設!$C$84</f>
        <v>45.6470775</v>
      </c>
      <c r="F52" s="32" t="n">
        <f aca="false">MAX(0,運營_產能與收入!F23/運營_產能與收入!F7-運營_產能與收入!E23/運營_產能與收入!E7)*輸入與假設!$C$84</f>
        <v>26.689665</v>
      </c>
      <c r="G52" s="32" t="n">
        <f aca="false">MAX(0,運營_產能與收入!G23/運營_產能與收入!G7-運營_產能與收入!F23/運營_產能與收入!F7)*輸入與假設!$C$84</f>
        <v>45.1516575</v>
      </c>
    </row>
    <row r="53" customFormat="false" ht="15" hidden="false" customHeight="false" outlineLevel="1" collapsed="false">
      <c r="A53" s="3" t="s">
        <v>634</v>
      </c>
      <c r="B53" s="12" t="s">
        <v>91</v>
      </c>
      <c r="C53" s="32" t="n">
        <f aca="false">C51-運營_產能與收入!C17-運營_產能與收入!C23+C52</f>
        <v>115.50825</v>
      </c>
      <c r="D53" s="32" t="n">
        <f aca="false">D51-運營_產能與收入!D17-運營_產能與收入!D23+D52</f>
        <v>89.12475</v>
      </c>
      <c r="E53" s="32" t="n">
        <f aca="false">E51-運營_產能與收入!E17-運營_產能與收入!E23+E52</f>
        <v>99.902412</v>
      </c>
      <c r="F53" s="32" t="n">
        <f aca="false">F51-運營_產能與收入!F17-運營_產能與收入!F23+F52</f>
        <v>87.0282285</v>
      </c>
      <c r="G53" s="32" t="n">
        <f aca="false">G51-運營_產能與收入!G17-運營_產能與收入!G23+G52</f>
        <v>90.985956</v>
      </c>
      <c r="I53" s="7" t="s">
        <v>635</v>
      </c>
    </row>
    <row r="54" customFormat="false" ht="15" hidden="false" customHeight="false" outlineLevel="1" collapsed="false">
      <c r="A54" s="3" t="s">
        <v>636</v>
      </c>
      <c r="B54" s="12" t="s">
        <v>91</v>
      </c>
      <c r="C54" s="32" t="n">
        <f aca="false">IF(輸入與假設!$C$82=1,資產負債_既有債務!C30,35.551)+3.7</f>
        <v>34.838</v>
      </c>
      <c r="D54" s="32" t="n">
        <f aca="false">IF(輸入與假設!$C$82=1,資產負債_既有債務!D30,35.551)+3.7</f>
        <v>28.654</v>
      </c>
      <c r="E54" s="32" t="n">
        <f aca="false">IF(輸入與假設!$C$82=1,資產負債_既有債務!E30,35.551)+3.7</f>
        <v>24.238</v>
      </c>
      <c r="F54" s="32" t="n">
        <f aca="false">IF(輸入與假設!$C$82=1,資產負債_既有債務!F30,35.551)+3.7</f>
        <v>21.817</v>
      </c>
      <c r="G54" s="32" t="n">
        <f aca="false">IF(輸入與假設!$C$82=1,資產負債_既有債務!G30,35.551)+3.7</f>
        <v>18.596</v>
      </c>
      <c r="I54" s="7" t="s">
        <v>637</v>
      </c>
    </row>
    <row r="55" customFormat="false" ht="15" hidden="false" customHeight="false" outlineLevel="1" collapsed="false">
      <c r="A55" s="3" t="s">
        <v>638</v>
      </c>
      <c r="B55" s="12" t="s">
        <v>91</v>
      </c>
      <c r="C55" s="32" t="n">
        <f aca="false">輸入與假設!$C$83*C53</f>
        <v>115.50825</v>
      </c>
      <c r="D55" s="32" t="n">
        <f aca="false">輸入與假設!$C$83*D53</f>
        <v>89.12475</v>
      </c>
      <c r="E55" s="32" t="n">
        <f aca="false">輸入與假設!$C$83*E53</f>
        <v>99.902412</v>
      </c>
      <c r="F55" s="32" t="n">
        <f aca="false">輸入與假設!$C$83*F53</f>
        <v>87.0282285</v>
      </c>
      <c r="G55" s="32" t="n">
        <f aca="false">輸入與假設!$C$83*G53</f>
        <v>90.985956</v>
      </c>
    </row>
    <row r="56" customFormat="false" ht="15" hidden="false" customHeight="false" outlineLevel="1" collapsed="false">
      <c r="A56" s="3" t="s">
        <v>639</v>
      </c>
      <c r="B56" s="12" t="s">
        <v>91</v>
      </c>
      <c r="C56" s="32" t="n">
        <f aca="false">IF(輸入與假設!$C$81=1,輸入與假設!$C$80,0)</f>
        <v>10</v>
      </c>
      <c r="D56" s="32" t="n">
        <f aca="false">C68</f>
        <v>0</v>
      </c>
      <c r="E56" s="32" t="n">
        <f aca="false">D68</f>
        <v>0</v>
      </c>
      <c r="F56" s="32" t="n">
        <f aca="false">E68</f>
        <v>0</v>
      </c>
      <c r="G56" s="32" t="n">
        <f aca="false">F68</f>
        <v>0</v>
      </c>
    </row>
    <row r="57" customFormat="false" ht="15" hidden="false" customHeight="false" outlineLevel="1" collapsed="false">
      <c r="A57" s="3" t="s">
        <v>640</v>
      </c>
      <c r="B57" s="12" t="s">
        <v>91</v>
      </c>
      <c r="C57" s="32" t="n">
        <f aca="false">MAX(0,C55-(C54+C45),C56)</f>
        <v>80.67025</v>
      </c>
      <c r="D57" s="32" t="n">
        <f aca="false">MAX(0,D55-(D54+D45),D56)</f>
        <v>47.9162541843222</v>
      </c>
      <c r="E57" s="32" t="n">
        <f aca="false">MAX(0,E55-(E54+E45),E56)</f>
        <v>30.4330746797709</v>
      </c>
      <c r="F57" s="32" t="n">
        <f aca="false">MAX(0,F55-(F54+F45),F56)</f>
        <v>3.13931889313726</v>
      </c>
      <c r="G57" s="32" t="n">
        <f aca="false">MAX(0,G55-(G54+G45),G56)</f>
        <v>7.17872749999999</v>
      </c>
      <c r="I57" s="7" t="s">
        <v>641</v>
      </c>
    </row>
    <row r="58" customFormat="false" ht="15" hidden="false" customHeight="false" outlineLevel="1" collapsed="false">
      <c r="A58" s="2" t="s">
        <v>642</v>
      </c>
      <c r="B58" s="12" t="s">
        <v>91</v>
      </c>
      <c r="C58" s="36" t="n">
        <f aca="false">MIN(C57,C50/(1-C46))</f>
        <v>12.5544958156778</v>
      </c>
      <c r="D58" s="36" t="n">
        <f aca="false">MIN(D57,D50/(1-D46))</f>
        <v>32.6768415045513</v>
      </c>
      <c r="E58" s="36" t="n">
        <f aca="false">MIN(E57,E50/(1-E46))</f>
        <v>16.8405722866337</v>
      </c>
      <c r="F58" s="36" t="n">
        <f aca="false">MIN(F57,F50/(1-F46))</f>
        <v>3.13931889313726</v>
      </c>
      <c r="G58" s="36" t="n">
        <f aca="false">MIN(G57,G50/(1-G46))</f>
        <v>7.17872749999999</v>
      </c>
      <c r="I58" s="7" t="s">
        <v>643</v>
      </c>
    </row>
    <row r="59" customFormat="false" ht="15" hidden="false" customHeight="false" outlineLevel="1" collapsed="false">
      <c r="A59" s="3" t="s">
        <v>644</v>
      </c>
      <c r="B59" s="12" t="s">
        <v>91</v>
      </c>
      <c r="C59" s="32" t="n">
        <f aca="false">MAX(0,C50+C46*C58-C58)</f>
        <v>0</v>
      </c>
      <c r="D59" s="32" t="n">
        <f aca="false">MAX(0,D50+D46*D58-D58)</f>
        <v>0</v>
      </c>
      <c r="E59" s="32" t="n">
        <f aca="false">MAX(0,E50+E46*E58-E58)</f>
        <v>0</v>
      </c>
      <c r="F59" s="32" t="n">
        <f aca="false">MAX(0,F50+F46*F58-F58)</f>
        <v>8.63320381123975</v>
      </c>
      <c r="G59" s="32" t="n">
        <f aca="false">MAX(0,G50+G46*G58-G58)</f>
        <v>5.27295533089938</v>
      </c>
    </row>
    <row r="60" customFormat="false" ht="15" hidden="false" customHeight="false" outlineLevel="1" collapsed="false">
      <c r="A60" s="3" t="s">
        <v>645</v>
      </c>
      <c r="B60" s="12" t="s">
        <v>91</v>
      </c>
      <c r="C60" s="32" t="n">
        <f aca="false">IF(輸入與假設!$C$88&gt;=9,1E+099,輸入與假設!$C$88*輸入與假設!$C$86*0.5865*運營_產能與收入!C7)</f>
        <v>5.2861245</v>
      </c>
      <c r="D60" s="32" t="n">
        <f aca="false">IF(輸入與假設!$C$88&gt;=9,1E+099,輸入與假設!$C$88*輸入與假設!$C$86*0.5865*運營_產能與收入!D7)</f>
        <v>10.572249</v>
      </c>
      <c r="E60" s="32" t="n">
        <f aca="false">IF(輸入與假設!$C$88&gt;=9,1E+099,輸入與假設!$C$88*輸入與假設!$C$86*0.5865*運營_產能與收入!E7)</f>
        <v>10.572249</v>
      </c>
      <c r="F60" s="32" t="n">
        <f aca="false">IF(輸入與假設!$C$88&gt;=9,1E+099,輸入與假設!$C$88*輸入與假設!$C$86*0.5865*運營_產能與收入!F7)</f>
        <v>10.572249</v>
      </c>
      <c r="G60" s="32" t="n">
        <f aca="false">IF(輸入與假設!$C$88&gt;=9,1E+099,輸入與假設!$C$88*輸入與假設!$C$86*0.5865*運營_產能與收入!G7)</f>
        <v>10.572249</v>
      </c>
      <c r="I60" s="7" t="s">
        <v>646</v>
      </c>
    </row>
    <row r="61" customFormat="false" ht="15" hidden="false" customHeight="false" outlineLevel="1" collapsed="false">
      <c r="A61" s="2" t="s">
        <v>647</v>
      </c>
      <c r="B61" s="12" t="s">
        <v>91</v>
      </c>
      <c r="C61" s="36" t="n">
        <f aca="false">MIN(C59,C60)</f>
        <v>0</v>
      </c>
      <c r="D61" s="36" t="n">
        <f aca="false">MIN(D59,D60)</f>
        <v>0</v>
      </c>
      <c r="E61" s="36" t="n">
        <f aca="false">MIN(E59,E60)</f>
        <v>0</v>
      </c>
      <c r="F61" s="36" t="n">
        <f aca="false">MIN(F59,F60)</f>
        <v>8.63320381123975</v>
      </c>
      <c r="G61" s="36" t="n">
        <f aca="false">MIN(G59,G60)</f>
        <v>5.27295533089938</v>
      </c>
    </row>
    <row r="62" customFormat="false" ht="15" hidden="false" customHeight="false" outlineLevel="1" collapsed="false">
      <c r="A62" s="2" t="s">
        <v>648</v>
      </c>
      <c r="B62" s="12" t="s">
        <v>91</v>
      </c>
      <c r="C62" s="36" t="n">
        <f aca="false">(C59-C61)/(1-C48)</f>
        <v>0</v>
      </c>
      <c r="D62" s="36" t="n">
        <f aca="false">(D59-D61)/(1-D48)</f>
        <v>0</v>
      </c>
      <c r="E62" s="36" t="n">
        <f aca="false">(E59-E61)/(1-E48)</f>
        <v>0</v>
      </c>
      <c r="F62" s="36" t="n">
        <f aca="false">(F59-F61)/(1-F48)</f>
        <v>0</v>
      </c>
      <c r="G62" s="36" t="n">
        <f aca="false">(G59-G61)/(1-G48)</f>
        <v>0</v>
      </c>
    </row>
    <row r="63" customFormat="false" ht="15" hidden="false" customHeight="false" outlineLevel="1" collapsed="false">
      <c r="A63" s="3" t="s">
        <v>649</v>
      </c>
      <c r="B63" s="12" t="s">
        <v>91</v>
      </c>
      <c r="C63" s="32" t="n">
        <f aca="false">C46*(C45+C58)+C48*(C47+C62)</f>
        <v>0.564952311705499</v>
      </c>
      <c r="D63" s="32" t="n">
        <f aca="false">D46*(D45+D58)+D48*(D47+D62)</f>
        <v>4.07082035882062</v>
      </c>
      <c r="E63" s="32" t="n">
        <f aca="false">E46*(E45+E58)+E48*(E47+E62)</f>
        <v>5.58647186461765</v>
      </c>
      <c r="F63" s="32" t="n">
        <f aca="false">F46*(F45+F58)+F48*(F47+F62)</f>
        <v>5.869010565</v>
      </c>
      <c r="G63" s="32" t="n">
        <f aca="false">G46*(G45+G58)+G48*(G47+G62)</f>
        <v>6.51509604</v>
      </c>
    </row>
    <row r="64" customFormat="false" ht="15" hidden="false" customHeight="false" outlineLevel="1" collapsed="false">
      <c r="A64" s="3" t="s">
        <v>650</v>
      </c>
      <c r="B64" s="12" t="s">
        <v>74</v>
      </c>
      <c r="C64" s="49" t="n">
        <f aca="false">輸入與假設!$C$86*(1-輸入與假設!$C$87)</f>
        <v>81.117</v>
      </c>
      <c r="D64" s="49" t="n">
        <f aca="false">輸入與假設!$C$86*(1-輸入與假設!$C$87)</f>
        <v>81.117</v>
      </c>
      <c r="E64" s="49" t="n">
        <f aca="false">輸入與假設!$C$86*(1-輸入與假設!$C$87)</f>
        <v>81.117</v>
      </c>
      <c r="F64" s="49" t="n">
        <f aca="false">輸入與假設!$C$86*(1-輸入與假設!$C$87)</f>
        <v>81.117</v>
      </c>
      <c r="G64" s="49" t="n">
        <f aca="false">輸入與假設!$C$86*(1-輸入與假設!$C$87)</f>
        <v>81.117</v>
      </c>
    </row>
    <row r="65" customFormat="false" ht="15" hidden="false" customHeight="false" outlineLevel="1" collapsed="false">
      <c r="A65" s="3" t="s">
        <v>651</v>
      </c>
      <c r="B65" s="12" t="s">
        <v>329</v>
      </c>
      <c r="C65" s="50" t="n">
        <f aca="false">C61/C64</f>
        <v>0</v>
      </c>
      <c r="D65" s="50" t="n">
        <f aca="false">D61/D64</f>
        <v>0</v>
      </c>
      <c r="E65" s="50" t="n">
        <f aca="false">E61/E64</f>
        <v>0</v>
      </c>
      <c r="F65" s="50" t="n">
        <f aca="false">F61/F64</f>
        <v>0.106429032277325</v>
      </c>
      <c r="G65" s="50" t="n">
        <f aca="false">G61/G64</f>
        <v>0.0650043188345154</v>
      </c>
    </row>
    <row r="66" customFormat="false" ht="15" hidden="false" customHeight="false" outlineLevel="1" collapsed="false">
      <c r="A66" s="2" t="s">
        <v>652</v>
      </c>
      <c r="B66" s="12" t="s">
        <v>329</v>
      </c>
      <c r="C66" s="51" t="n">
        <f aca="false">C65</f>
        <v>0</v>
      </c>
      <c r="D66" s="51" t="n">
        <f aca="false">C66+D65</f>
        <v>0</v>
      </c>
      <c r="E66" s="51" t="n">
        <f aca="false">D66+E65</f>
        <v>0</v>
      </c>
      <c r="F66" s="51" t="n">
        <f aca="false">E66+F65</f>
        <v>0.106429032277325</v>
      </c>
      <c r="G66" s="51" t="n">
        <f aca="false">F66+G65</f>
        <v>0.17143335111184</v>
      </c>
    </row>
    <row r="67" customFormat="false" ht="15" hidden="false" customHeight="false" outlineLevel="1" collapsed="false">
      <c r="A67" s="3" t="s">
        <v>653</v>
      </c>
      <c r="B67" s="12" t="s">
        <v>91</v>
      </c>
      <c r="C67" s="32" t="n">
        <f aca="false">C45+C58</f>
        <v>12.5544958156778</v>
      </c>
      <c r="D67" s="32" t="n">
        <f aca="false">D45+D58</f>
        <v>45.2313373202291</v>
      </c>
      <c r="E67" s="32" t="n">
        <f aca="false">E45+E58</f>
        <v>62.0719096068628</v>
      </c>
      <c r="F67" s="32" t="n">
        <f aca="false">F45+F58</f>
        <v>65.2112285</v>
      </c>
      <c r="G67" s="32" t="n">
        <f aca="false">G45+G58</f>
        <v>72.389956</v>
      </c>
    </row>
    <row r="68" customFormat="false" ht="15" hidden="false" customHeight="false" outlineLevel="1" collapsed="false">
      <c r="A68" s="3" t="s">
        <v>654</v>
      </c>
      <c r="B68" s="12" t="s">
        <v>91</v>
      </c>
      <c r="C68" s="32" t="n">
        <f aca="false">C56-MIN(C56,C58)</f>
        <v>0</v>
      </c>
      <c r="D68" s="32" t="n">
        <f aca="false">D56-MIN(D56,D58)</f>
        <v>0</v>
      </c>
      <c r="E68" s="32" t="n">
        <f aca="false">E56-MIN(E56,E58)</f>
        <v>0</v>
      </c>
      <c r="F68" s="32" t="n">
        <f aca="false">F56-MIN(F56,F58)</f>
        <v>0</v>
      </c>
      <c r="G68" s="32" t="n">
        <f aca="false">G56-MIN(G56,G58)</f>
        <v>0</v>
      </c>
    </row>
    <row r="69" customFormat="false" ht="15" hidden="false" customHeight="false" outlineLevel="1" collapsed="false">
      <c r="A69" s="3" t="s">
        <v>655</v>
      </c>
      <c r="B69" s="12" t="s">
        <v>91</v>
      </c>
      <c r="C69" s="32" t="n">
        <f aca="false">C47+C62</f>
        <v>0</v>
      </c>
      <c r="D69" s="32" t="n">
        <f aca="false">D47+D62</f>
        <v>0</v>
      </c>
      <c r="E69" s="32" t="n">
        <f aca="false">E47+E62</f>
        <v>0</v>
      </c>
      <c r="F69" s="32" t="n">
        <f aca="false">F47+F62</f>
        <v>0</v>
      </c>
      <c r="G69" s="32" t="n">
        <f aca="false">G47+G62</f>
        <v>0</v>
      </c>
    </row>
    <row r="70" customFormat="false" ht="15" hidden="false" customHeight="false" outlineLevel="1" collapsed="false">
      <c r="A70" s="2" t="s">
        <v>656</v>
      </c>
      <c r="B70" s="12" t="s">
        <v>91</v>
      </c>
      <c r="C70" s="36" t="n">
        <f aca="false">C54+C67+C69</f>
        <v>47.3924958156778</v>
      </c>
      <c r="D70" s="36" t="n">
        <f aca="false">D54+D67+D69</f>
        <v>73.8853373202291</v>
      </c>
      <c r="E70" s="36" t="n">
        <f aca="false">E54+E67+E69</f>
        <v>86.3099096068628</v>
      </c>
      <c r="F70" s="36" t="n">
        <f aca="false">F54+F67+F69</f>
        <v>87.0282285</v>
      </c>
      <c r="G70" s="36" t="n">
        <f aca="false">G54+G67+G69</f>
        <v>90.985956</v>
      </c>
    </row>
    <row r="71" customFormat="false" ht="15" hidden="false" customHeight="false" outlineLevel="1" collapsed="false">
      <c r="A71" s="2" t="s">
        <v>657</v>
      </c>
      <c r="B71" s="12" t="s">
        <v>91</v>
      </c>
      <c r="C71" s="36" t="n">
        <f aca="false">C14+C30+C31+C32+C38-C44</f>
        <v>-9.98954350397226</v>
      </c>
      <c r="D71" s="36" t="n">
        <f aca="false">C71+D30+D31-D44</f>
        <v>-38.5955646497029</v>
      </c>
      <c r="E71" s="36" t="n">
        <f aca="false">D71+E30+E31-E44</f>
        <v>-49.849665071719</v>
      </c>
      <c r="F71" s="36" t="n">
        <f aca="false">E71+F30+F31-F44</f>
        <v>-55.753177211096</v>
      </c>
      <c r="G71" s="36" t="n">
        <f aca="false">F71+G30+G31-G44</f>
        <v>-61.6897640019954</v>
      </c>
      <c r="I71" s="7" t="s">
        <v>658</v>
      </c>
    </row>
    <row r="73" customFormat="false" ht="15" hidden="false" customHeight="false" outlineLevel="0" collapsed="true">
      <c r="A73" s="46" t="s">
        <v>659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660</v>
      </c>
      <c r="C74" s="52" t="n">
        <f aca="false">輸入與假設!$C$129</f>
        <v>3.127</v>
      </c>
    </row>
    <row r="75" customFormat="false" ht="15" hidden="true" customHeight="false" outlineLevel="1" collapsed="false">
      <c r="A75" s="3" t="s">
        <v>661</v>
      </c>
      <c r="C75" s="52" t="n">
        <f aca="false">SUM(C39:G39)</f>
        <v>-86.4831151421392</v>
      </c>
    </row>
    <row r="76" customFormat="false" ht="15" hidden="true" customHeight="false" outlineLevel="1" collapsed="false">
      <c r="A76" s="3" t="s">
        <v>662</v>
      </c>
      <c r="C76" s="52" t="n">
        <f aca="false">SUM(C31:G31)</f>
        <v>9.182</v>
      </c>
    </row>
    <row r="77" customFormat="false" ht="15" hidden="true" customHeight="false" outlineLevel="1" collapsed="false">
      <c r="A77" s="3" t="s">
        <v>663</v>
      </c>
      <c r="C77" s="52" t="n">
        <f aca="false">SUM(C32:G32)</f>
        <v>16.747</v>
      </c>
    </row>
    <row r="78" customFormat="false" ht="15" hidden="true" customHeight="false" outlineLevel="1" collapsed="false">
      <c r="A78" s="4" t="s">
        <v>664</v>
      </c>
      <c r="C78" s="52" t="n">
        <f aca="false">-SUM(C22:G22)</f>
        <v>-0.492</v>
      </c>
    </row>
    <row r="79" customFormat="false" ht="15" hidden="true" customHeight="false" outlineLevel="1" collapsed="false">
      <c r="A79" s="3" t="s">
        <v>665</v>
      </c>
      <c r="C79" s="52" t="n">
        <f aca="false">SUM(C38:G38)</f>
        <v>-0.502999999999997</v>
      </c>
    </row>
    <row r="80" customFormat="false" ht="15" hidden="true" customHeight="false" outlineLevel="1" collapsed="false">
      <c r="A80" s="3" t="s">
        <v>666</v>
      </c>
      <c r="C80" s="52" t="n">
        <f aca="false">SUM(C33:G33)+SUM(C34:G34)+SUM(C35:G35)</f>
        <v>86.2961151421391</v>
      </c>
    </row>
    <row r="81" customFormat="false" ht="15" hidden="true" customHeight="false" outlineLevel="1" collapsed="false">
      <c r="A81" s="3" t="s">
        <v>667</v>
      </c>
      <c r="C81" s="52" t="n">
        <f aca="false">-SUM(C21:G21)</f>
        <v>-25.874</v>
      </c>
    </row>
    <row r="82" customFormat="false" ht="15" hidden="true" customHeight="false" outlineLevel="1" collapsed="false">
      <c r="A82" s="2" t="s">
        <v>668</v>
      </c>
      <c r="C82" s="53" t="n">
        <f aca="false">SUM(C74:C81)</f>
        <v>1.99999999999998</v>
      </c>
    </row>
    <row r="83" customFormat="false" ht="15" hidden="true" customHeight="false" outlineLevel="1" collapsed="false">
      <c r="A83" s="3" t="s">
        <v>669</v>
      </c>
      <c r="C83" s="52" t="n">
        <f aca="false">G41</f>
        <v>2</v>
      </c>
    </row>
    <row r="84" customFormat="false" ht="15" hidden="true" customHeight="false" outlineLevel="1" collapsed="false">
      <c r="A84" s="2" t="s">
        <v>670</v>
      </c>
      <c r="C84" s="52" t="n">
        <f aca="false">C82-C83</f>
        <v>-2.57571741713036E-014</v>
      </c>
      <c r="I84" s="7" t="s">
        <v>671</v>
      </c>
    </row>
    <row r="86" customFormat="false" ht="15" hidden="false" customHeight="false" outlineLevel="0" collapsed="true">
      <c r="A86" s="8" t="s">
        <v>672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673</v>
      </c>
      <c r="C87" s="11" t="n">
        <f aca="false">運營_產能與收入!C27</f>
        <v>13.066</v>
      </c>
      <c r="I87" s="7" t="s">
        <v>674</v>
      </c>
    </row>
    <row r="88" customFormat="false" ht="15" hidden="true" customHeight="false" outlineLevel="1" collapsed="false">
      <c r="A88" s="4" t="s">
        <v>675</v>
      </c>
      <c r="C88" s="11" t="n">
        <f aca="false">C6</f>
        <v>36.975</v>
      </c>
      <c r="I88" s="7" t="s">
        <v>676</v>
      </c>
    </row>
    <row r="89" customFormat="false" ht="15" hidden="true" customHeight="false" outlineLevel="1" collapsed="false">
      <c r="A89" s="4" t="s">
        <v>677</v>
      </c>
      <c r="C89" s="11" t="n">
        <f aca="false">輸入與假設!$C$138+輸入與假設!C$95+C16</f>
        <v>3.54684859865945</v>
      </c>
      <c r="I89" s="12" t="s">
        <v>678</v>
      </c>
    </row>
    <row r="90" customFormat="false" ht="15" hidden="true" customHeight="false" outlineLevel="1" collapsed="false">
      <c r="A90" s="4" t="s">
        <v>679</v>
      </c>
      <c r="C90" s="11" t="n">
        <f aca="false">輸入與假設!$C$139+C12</f>
        <v>2.088</v>
      </c>
      <c r="I90" s="12" t="s">
        <v>680</v>
      </c>
    </row>
    <row r="91" customFormat="false" ht="15" hidden="true" customHeight="false" outlineLevel="1" collapsed="false">
      <c r="A91" s="4" t="s">
        <v>681</v>
      </c>
      <c r="C91" s="11" t="n">
        <f aca="false">C21</f>
        <v>9.632</v>
      </c>
      <c r="I91" s="12" t="s">
        <v>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M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6" t="s">
        <v>683</v>
      </c>
    </row>
    <row r="2" customFormat="false" ht="15" hidden="false" customHeight="false" outlineLevel="0" collapsed="false">
      <c r="A2" s="7" t="s">
        <v>684</v>
      </c>
    </row>
    <row r="4" customFormat="false" ht="15" hidden="false" customHeight="false" outlineLevel="0" collapsed="false">
      <c r="A4" s="8" t="s">
        <v>685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false" outlineLevel="1" collapsed="false">
      <c r="A5" s="15" t="s">
        <v>686</v>
      </c>
      <c r="B5" s="15" t="s">
        <v>86</v>
      </c>
      <c r="C5" s="15" t="s">
        <v>687</v>
      </c>
      <c r="D5" s="15" t="s">
        <v>688</v>
      </c>
      <c r="E5" s="15" t="s">
        <v>689</v>
      </c>
      <c r="F5" s="15" t="s">
        <v>690</v>
      </c>
      <c r="G5" s="15" t="s">
        <v>691</v>
      </c>
      <c r="H5" s="15" t="s">
        <v>692</v>
      </c>
      <c r="I5" s="15" t="s">
        <v>693</v>
      </c>
      <c r="J5" s="15" t="s">
        <v>694</v>
      </c>
      <c r="K5" s="15" t="s">
        <v>695</v>
      </c>
      <c r="L5" s="15" t="s">
        <v>696</v>
      </c>
    </row>
    <row r="6" customFormat="false" ht="15" hidden="false" customHeight="false" outlineLevel="1" collapsed="false">
      <c r="A6" s="3" t="s">
        <v>697</v>
      </c>
      <c r="B6" s="12" t="s">
        <v>91</v>
      </c>
      <c r="C6" s="54" t="n">
        <f aca="false">INDEX($C$22:$H$22,輸入與假設!$C$223)</f>
        <v>3.66266666666667</v>
      </c>
      <c r="D6" s="54" t="n">
        <f aca="false">INDEX($C$32:$H$32,輸入與假設!$C$223)</f>
        <v>3.541</v>
      </c>
      <c r="E6" s="55" t="n">
        <f aca="false">INDEX($C$48:$H$48,輸入與假設!$C$223)</f>
        <v>0.0343594088298973</v>
      </c>
      <c r="F6" s="54" t="n">
        <f aca="false">INDEX($C$36:$H$36,輸入與假設!$C$223)</f>
        <v>3.45</v>
      </c>
      <c r="G6" s="54" t="n">
        <f aca="false">INDEX($C$37:$H$37,輸入與假設!$C$223)</f>
        <v>3.6</v>
      </c>
      <c r="H6" s="55" t="n">
        <f aca="false">INDEX($C$49:$H$49,輸入與假設!$C$223)</f>
        <v>0.0390543735224584</v>
      </c>
      <c r="I6" s="54" t="str">
        <f aca="false">IF(ISNUMBER(INDEX($C$42:$H$42,輸入與假設!$C$223)),INDEX($C$42:$H$42,輸入與假設!$C$223),"待公布")</f>
        <v>待公布</v>
      </c>
      <c r="J6" s="55" t="str">
        <f aca="false">INDEX($C$50:$H$50,輸入與假設!$C$223)</f>
        <v/>
      </c>
      <c r="K6" s="55" t="str">
        <f aca="false">INDEX($C$51:$H$51,輸入與假設!$C$223)</f>
        <v/>
      </c>
      <c r="L6" s="55" t="str">
        <f aca="false">INDEX($C$52:$H$52,輸入與假設!$C$223)</f>
        <v/>
      </c>
    </row>
    <row r="7" customFormat="false" ht="15" hidden="false" customHeight="false" outlineLevel="1" collapsed="false">
      <c r="A7" s="3" t="s">
        <v>698</v>
      </c>
      <c r="B7" s="12" t="s">
        <v>91</v>
      </c>
      <c r="C7" s="54" t="n">
        <f aca="false">INDEX($C$28:$H$28,輸入與假設!$C$223)</f>
        <v>2.15096125673708</v>
      </c>
      <c r="D7" s="54" t="n">
        <f aca="false">INDEX($C$33:$H$33,輸入與假設!$C$223)</f>
        <v>2.047</v>
      </c>
      <c r="E7" s="55" t="n">
        <f aca="false">INDEX($C$53:$H$53,輸入與假設!$C$223)</f>
        <v>0.0507871307948602</v>
      </c>
      <c r="F7" s="56" t="s">
        <v>699</v>
      </c>
      <c r="G7" s="56" t="s">
        <v>699</v>
      </c>
      <c r="H7" s="55" t="str">
        <f aca="false">INDEX($C$54:$H$54,輸入與假設!$C$223)</f>
        <v>不適用</v>
      </c>
      <c r="I7" s="54" t="str">
        <f aca="false">IF(ISNUMBER(INDEX($C$43:$H$43,輸入與假設!$C$223)),INDEX($C$43:$H$43,輸入與假設!$C$223),"待公布")</f>
        <v>待公布</v>
      </c>
      <c r="J7" s="55" t="str">
        <f aca="false">INDEX($C$55:$H$55,輸入與假設!$C$223)</f>
        <v/>
      </c>
      <c r="K7" s="55" t="str">
        <f aca="false">INDEX($C$56:$H$56,輸入與假設!$C$223)</f>
        <v/>
      </c>
      <c r="L7" s="55" t="str">
        <f aca="false">INDEX($C$57:$H$57,輸入與假設!$C$223)</f>
        <v/>
      </c>
    </row>
    <row r="8" customFormat="false" ht="15" hidden="false" customHeight="false" outlineLevel="1" collapsed="false">
      <c r="A8" s="3" t="s">
        <v>700</v>
      </c>
      <c r="B8" s="12" t="s">
        <v>77</v>
      </c>
      <c r="C8" s="55" t="n">
        <f aca="false">INDEX($C$27:$H$27,輸入與假設!$C$223)</f>
        <v>0.58726645160277</v>
      </c>
      <c r="D8" s="55" t="n">
        <f aca="false">INDEX($C$34:$H$34,輸入與假設!$C$223)</f>
        <v>0.578085286642192</v>
      </c>
      <c r="E8" s="55" t="n">
        <f aca="false">INDEX($C$58:$H$58,輸入與假設!$C$223)</f>
        <v>0.00918116496057853</v>
      </c>
      <c r="F8" s="57" t="s">
        <v>699</v>
      </c>
      <c r="G8" s="57" t="s">
        <v>699</v>
      </c>
      <c r="H8" s="55" t="str">
        <f aca="false">INDEX($C$59:$H$59,輸入與假設!$C$223)</f>
        <v>不適用</v>
      </c>
      <c r="I8" s="55" t="str">
        <f aca="false">IF(ISNUMBER(INDEX($C$44:$H$44,輸入與假設!$C$223)),INDEX($C$44:$H$44,輸入與假設!$C$223),"待公布")</f>
        <v>待公布</v>
      </c>
      <c r="J8" s="55" t="str">
        <f aca="false">INDEX($C$60:$H$60,輸入與假設!$C$223)</f>
        <v/>
      </c>
      <c r="K8" s="55" t="str">
        <f aca="false">INDEX($C$61:$H$61,輸入與假設!$C$223)</f>
        <v/>
      </c>
      <c r="L8" s="55" t="str">
        <f aca="false">INDEX($C$62:$H$62,輸入與假設!$C$223)</f>
        <v/>
      </c>
    </row>
    <row r="9" customFormat="false" ht="15" hidden="false" customHeight="false" outlineLevel="1" collapsed="false">
      <c r="A9" s="3" t="s">
        <v>701</v>
      </c>
      <c r="B9" s="12" t="s">
        <v>91</v>
      </c>
      <c r="C9" s="54" t="n">
        <f aca="false">INDEX($C$30:$H$30,輸入與假設!$C$223)</f>
        <v>-0.0134137432629213</v>
      </c>
      <c r="D9" s="56" t="s">
        <v>699</v>
      </c>
      <c r="E9" s="55" t="str">
        <f aca="false">INDEX($C$63:$H$63,輸入與假設!$C$223)</f>
        <v>不適用</v>
      </c>
      <c r="F9" s="54" t="n">
        <f aca="false">INDEX($C$38:$H$38,輸入與假設!$C$223)</f>
        <v>0.2</v>
      </c>
      <c r="G9" s="54" t="n">
        <f aca="false">INDEX($C$39:$H$39,輸入與假設!$C$223)</f>
        <v>0.26</v>
      </c>
      <c r="H9" s="55" t="n">
        <f aca="false">INDEX($C$64:$H$64,輸入與假設!$C$223)</f>
        <v>-1.05832062288227</v>
      </c>
      <c r="I9" s="54" t="str">
        <f aca="false">IF(ISNUMBER(INDEX($C$45:$H$45,輸入與假設!$C$223)),INDEX($C$45:$H$45,輸入與假設!$C$223),"待公布")</f>
        <v>待公布</v>
      </c>
      <c r="J9" s="55" t="str">
        <f aca="false">INDEX($C$65:$H$65,輸入與假設!$C$223)</f>
        <v/>
      </c>
      <c r="K9" s="55" t="str">
        <f aca="false">INDEX($C$66:$H$66,輸入與假設!$C$223)</f>
        <v/>
      </c>
      <c r="L9" s="55" t="str">
        <f aca="false">INDEX($C$67:$H$67,輸入與假設!$C$223)</f>
        <v/>
      </c>
    </row>
    <row r="10" customFormat="false" ht="15" hidden="false" customHeight="false" outlineLevel="1" collapsed="false">
      <c r="A10" s="3" t="s">
        <v>702</v>
      </c>
      <c r="B10" s="12" t="s">
        <v>91</v>
      </c>
      <c r="C10" s="54" t="n">
        <f aca="false">INDEX($C$31:$H$31,輸入與假設!$C$223)</f>
        <v>10.418</v>
      </c>
      <c r="D10" s="56" t="s">
        <v>699</v>
      </c>
      <c r="E10" s="55" t="str">
        <f aca="false">INDEX($C$68:$H$68,輸入與假設!$C$223)</f>
        <v>不適用</v>
      </c>
      <c r="F10" s="54" t="n">
        <f aca="false">INDEX($C$40:$H$40,輸入與假設!$C$223)</f>
        <v>11.5</v>
      </c>
      <c r="G10" s="54" t="n">
        <f aca="false">INDEX($C$41:$H$41,輸入與假設!$C$223)</f>
        <v>13.5</v>
      </c>
      <c r="H10" s="55" t="n">
        <f aca="false">INDEX($C$69:$H$69,輸入與假設!$C$223)</f>
        <v>-0.16656</v>
      </c>
      <c r="I10" s="54" t="str">
        <f aca="false">IF(ISNUMBER(INDEX($C$46:$H$46,輸入與假設!$C$223)),INDEX($C$46:$H$46,輸入與假設!$C$223),"待公布")</f>
        <v>待公布</v>
      </c>
      <c r="J10" s="55" t="str">
        <f aca="false">INDEX($C$70:$H$70,輸入與假設!$C$223)</f>
        <v/>
      </c>
      <c r="K10" s="55" t="str">
        <f aca="false">INDEX($C$71:$H$71,輸入與假設!$C$223)</f>
        <v/>
      </c>
      <c r="L10" s="55" t="str">
        <f aca="false">INDEX($C$72:$H$72,輸入與假設!$C$223)</f>
        <v/>
      </c>
    </row>
    <row r="11" customFormat="false" ht="15" hidden="false" customHeight="false" outlineLevel="1" collapsed="false">
      <c r="A11" s="3" t="s">
        <v>703</v>
      </c>
      <c r="B11" s="12" t="s">
        <v>170</v>
      </c>
      <c r="C11" s="58" t="n">
        <f aca="false">INDEX($C$19:$H$19,輸入與假設!$C$223)</f>
        <v>1675</v>
      </c>
      <c r="D11" s="59" t="s">
        <v>699</v>
      </c>
      <c r="E11" s="55" t="str">
        <f aca="false">INDEX($C$73:$H$73,輸入與假設!$C$223)</f>
        <v>不適用</v>
      </c>
      <c r="F11" s="59" t="s">
        <v>699</v>
      </c>
      <c r="G11" s="59" t="s">
        <v>699</v>
      </c>
      <c r="H11" s="55" t="str">
        <f aca="false">INDEX($C$74:$H$74,輸入與假設!$C$223)</f>
        <v>不適用</v>
      </c>
      <c r="I11" s="58" t="str">
        <f aca="false">IF(ISNUMBER(INDEX($C$47:$H$47,輸入與假設!$C$223)),INDEX($C$47:$H$47,輸入與假設!$C$223),"待公布")</f>
        <v>待公布</v>
      </c>
      <c r="J11" s="55" t="str">
        <f aca="false">INDEX($C$75:$H$75,輸入與假設!$C$223)</f>
        <v/>
      </c>
      <c r="K11" s="55" t="str">
        <f aca="false">INDEX($C$76:$H$76,輸入與假設!$C$223)</f>
        <v/>
      </c>
      <c r="L11" s="55" t="str">
        <f aca="false">INDEX($C$77:$H$77,輸入與假設!$C$223)</f>
        <v/>
      </c>
    </row>
    <row r="12" customFormat="false" ht="15" hidden="false" customHeight="false" outlineLevel="1" collapsed="false">
      <c r="A12" s="2" t="s">
        <v>704</v>
      </c>
      <c r="C12" s="2" t="str">
        <f aca="false">INDEX($C$16:$H$16,輸入與假設!$C$223)</f>
        <v>Q3'26</v>
      </c>
    </row>
    <row r="13" customFormat="false" ht="15" hidden="false" customHeight="false" outlineLevel="1" collapsed="false">
      <c r="A13" s="2" t="s">
        <v>705</v>
      </c>
      <c r="C13" s="0" t="str">
        <f aca="false">IF(INDEX($C$112:$H$112,輸入與假設!$C$223)="","無（差距皆在 "&amp;IF(ROUND(ABS(輸入與假設!$C$218)*100,4)=INT(ROUND(ABS(輸入與假設!$C$218)*100,4)),TEXT(ROUND(ABS(輸入與假設!$C$218)*100,4),"0"),TEXT(ROUND(ABS(輸入與假設!$C$218)*100,4),"0.0"))&amp;"%"&amp;" 以內）",INDEX($C$112:$H$112,輸入與假設!$C$223))</f>
        <v>調整後 EBITDA vs 共識 +5.1%：拆法（2H26 合計差距 +0.4%）；調整後營業利益 vs 指引中點 −105.8%：已知限制（模型車隊折舊 2.16 高於最新一季實際 1.39，營業利益因此偏低；待辦 6 修正）；CapEx（毛額） vs 指引中點 −16.7%：拆法（2H26 合計差距 −0.1%）</v>
      </c>
    </row>
    <row r="15" customFormat="false" ht="15" hidden="false" customHeight="false" outlineLevel="0" collapsed="true">
      <c r="A15" s="8" t="s">
        <v>706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true" customHeight="false" outlineLevel="1" collapsed="false">
      <c r="A16" s="15" t="s">
        <v>85</v>
      </c>
      <c r="B16" s="15" t="s">
        <v>86</v>
      </c>
      <c r="C16" s="16" t="s">
        <v>525</v>
      </c>
      <c r="D16" s="16" t="s">
        <v>526</v>
      </c>
      <c r="E16" s="16" t="s">
        <v>527</v>
      </c>
      <c r="F16" s="16" t="s">
        <v>528</v>
      </c>
      <c r="G16" s="16" t="s">
        <v>529</v>
      </c>
      <c r="H16" s="16" t="s">
        <v>530</v>
      </c>
    </row>
    <row r="17" customFormat="false" ht="15" hidden="true" customHeight="false" outlineLevel="1" collapsed="false">
      <c r="A17" s="3" t="s">
        <v>707</v>
      </c>
      <c r="C17" s="60" t="n">
        <f aca="false">輸入與假設!C$222</f>
        <v>1</v>
      </c>
      <c r="D17" s="60" t="n">
        <f aca="false">輸入與假設!D$222</f>
        <v>1</v>
      </c>
      <c r="E17" s="60" t="n">
        <f aca="false">輸入與假設!E$222</f>
        <v>2</v>
      </c>
      <c r="F17" s="60" t="n">
        <f aca="false">輸入與假設!F$222</f>
        <v>2</v>
      </c>
      <c r="G17" s="60" t="n">
        <f aca="false">輸入與假設!G$222</f>
        <v>2</v>
      </c>
      <c r="H17" s="60" t="n">
        <f aca="false">輸入與假設!H$222</f>
        <v>2</v>
      </c>
      <c r="J17" s="12" t="s">
        <v>708</v>
      </c>
    </row>
    <row r="18" customFormat="false" ht="15" hidden="true" customHeight="false" outlineLevel="1" collapsed="false">
      <c r="A18" s="3" t="s">
        <v>709</v>
      </c>
      <c r="C18" s="29" t="n">
        <v>1</v>
      </c>
      <c r="D18" s="29" t="n">
        <v>2</v>
      </c>
      <c r="E18" s="29" t="n">
        <v>3</v>
      </c>
      <c r="F18" s="29" t="n">
        <v>4</v>
      </c>
      <c r="G18" s="29" t="n">
        <v>5</v>
      </c>
      <c r="H18" s="29" t="n">
        <v>6</v>
      </c>
      <c r="J18" s="12" t="s">
        <v>710</v>
      </c>
    </row>
    <row r="19" customFormat="false" ht="15" hidden="true" customHeight="false" outlineLevel="1" collapsed="false">
      <c r="A19" s="3" t="s">
        <v>711</v>
      </c>
      <c r="B19" s="12" t="s">
        <v>170</v>
      </c>
      <c r="C19" s="29" t="n">
        <f aca="false">輸入與假設!$C$225+(輸入與假設!C$26-輸入與假設!$C$225)*1/2</f>
        <v>1675</v>
      </c>
      <c r="D19" s="29" t="n">
        <f aca="false">輸入與假設!$C$225+(輸入與假設!C$26-輸入與假設!$C$225)*2/2</f>
        <v>1850</v>
      </c>
      <c r="E19" s="29" t="n">
        <f aca="false">輸入與假設!C$26+(輸入與假設!D$26-輸入與假設!C$26)*1/4</f>
        <v>2162.5</v>
      </c>
      <c r="F19" s="29" t="n">
        <f aca="false">輸入與假設!C$26+(輸入與假設!D$26-輸入與假設!C$26)*2/4</f>
        <v>2475</v>
      </c>
      <c r="G19" s="29" t="n">
        <f aca="false">輸入與假設!C$26+(輸入與假設!D$26-輸入與假設!C$26)*3/4</f>
        <v>2787.5</v>
      </c>
      <c r="H19" s="29" t="n">
        <f aca="false">輸入與假設!C$26+(輸入與假設!D$26-輸入與假設!C$26)*4/4</f>
        <v>3100</v>
      </c>
      <c r="J19" s="7" t="s">
        <v>712</v>
      </c>
    </row>
    <row r="20" customFormat="false" ht="15" hidden="true" customHeight="false" outlineLevel="1" collapsed="false">
      <c r="A20" s="3" t="s">
        <v>713</v>
      </c>
      <c r="B20" s="12" t="s">
        <v>170</v>
      </c>
      <c r="C20" s="29" t="n">
        <f aca="false">輸入與假設!$C$20+(輸入與假設!C$27-輸入與假設!$C$20)*1/4</f>
        <v>1437.5</v>
      </c>
      <c r="D20" s="29" t="n">
        <f aca="false">輸入與假設!$C$20+(輸入與假設!C$27-輸入與假設!$C$20)*3/4</f>
        <v>1612.5</v>
      </c>
      <c r="E20" s="29" t="n">
        <f aca="false">輸入與假設!C$27+(輸入與假設!D$27-輸入與假設!C$27)*1/8</f>
        <v>1850</v>
      </c>
      <c r="F20" s="29" t="n">
        <f aca="false">輸入與假設!C$27+(輸入與假設!D$27-輸入與假設!C$27)*3/8</f>
        <v>2150</v>
      </c>
      <c r="G20" s="29" t="n">
        <f aca="false">輸入與假設!C$27+(輸入與假設!D$27-輸入與假設!C$27)*5/8</f>
        <v>2450</v>
      </c>
      <c r="H20" s="29" t="n">
        <f aca="false">輸入與假設!C$27+(輸入與假設!D$27-輸入與假設!C$27)*7/8</f>
        <v>2750</v>
      </c>
      <c r="J20" s="7" t="s">
        <v>714</v>
      </c>
    </row>
    <row r="21" customFormat="false" ht="15" hidden="true" customHeight="false" outlineLevel="1" collapsed="false">
      <c r="A21" s="3" t="s">
        <v>715</v>
      </c>
      <c r="B21" s="12" t="s">
        <v>170</v>
      </c>
      <c r="C21" s="29" t="n">
        <f aca="false">C19-輸入與假設!$C$225</f>
        <v>175</v>
      </c>
      <c r="D21" s="29" t="n">
        <f aca="false">D19-C19</f>
        <v>175</v>
      </c>
      <c r="E21" s="29" t="n">
        <f aca="false">E19-輸入與假設!C$26</f>
        <v>312.5</v>
      </c>
      <c r="F21" s="29" t="n">
        <f aca="false">F19-E19</f>
        <v>312.5</v>
      </c>
      <c r="G21" s="29" t="n">
        <f aca="false">G19-F19</f>
        <v>312.5</v>
      </c>
      <c r="H21" s="29" t="n">
        <f aca="false">H19-G19</f>
        <v>312.5</v>
      </c>
      <c r="J21" s="12" t="s">
        <v>716</v>
      </c>
    </row>
    <row r="22" customFormat="false" ht="15" hidden="true" customHeight="false" outlineLevel="1" collapsed="false">
      <c r="A22" s="3" t="s">
        <v>717</v>
      </c>
      <c r="B22" s="12" t="s">
        <v>91</v>
      </c>
      <c r="C22" s="32" t="n">
        <f aca="false">輸入與假設!$C$224+1*(損益!C8-2*輸入與假設!$C$224)/3</f>
        <v>3.66266666666667</v>
      </c>
      <c r="D22" s="32" t="n">
        <f aca="false">輸入與假設!$C$224+2*(損益!C8-2*輸入與假設!$C$224)/3</f>
        <v>4.75033333333333</v>
      </c>
      <c r="E22" s="32" t="n">
        <f aca="false">損益!D8*E20/(E20+F20+G20+H20)</f>
        <v>5.25389945652174</v>
      </c>
      <c r="F22" s="32" t="n">
        <f aca="false">損益!D8*F20/(E20+F20+G20+H20)</f>
        <v>6.10588315217391</v>
      </c>
      <c r="G22" s="32" t="n">
        <f aca="false">損益!D8*G20/(E20+F20+G20+H20)</f>
        <v>6.95786684782609</v>
      </c>
      <c r="H22" s="32" t="n">
        <f aca="false">損益!D8*H20/(E20+F20+G20+H20)</f>
        <v>7.80985054347826</v>
      </c>
      <c r="J22" s="7" t="s">
        <v>718</v>
      </c>
    </row>
    <row r="23" customFormat="false" ht="15" hidden="true" customHeight="false" outlineLevel="1" collapsed="false">
      <c r="A23" s="4" t="s">
        <v>719</v>
      </c>
      <c r="C23" s="54" t="n">
        <f aca="false">C22+D22</f>
        <v>8.413</v>
      </c>
      <c r="D23" s="54" t="n">
        <f aca="false">E22+F22+G22+H22</f>
        <v>26.1275</v>
      </c>
      <c r="J23" s="7" t="s">
        <v>720</v>
      </c>
    </row>
    <row r="24" customFormat="false" ht="15" hidden="true" customHeight="false" outlineLevel="1" collapsed="false">
      <c r="A24" s="4" t="s">
        <v>721</v>
      </c>
      <c r="C24" s="54" t="n">
        <f aca="false">C22*C18+D22*D18</f>
        <v>13.1633333333333</v>
      </c>
      <c r="D24" s="54" t="n">
        <f aca="false">E22*E18+F22*F18+G22*G18+H22*H18</f>
        <v>121.833668478261</v>
      </c>
      <c r="J24" s="7" t="s">
        <v>720</v>
      </c>
    </row>
    <row r="25" customFormat="false" ht="15" hidden="true" customHeight="false" outlineLevel="1" collapsed="false">
      <c r="A25" s="4" t="s">
        <v>722</v>
      </c>
      <c r="C25" s="54" t="n">
        <f aca="false">損益!C19</f>
        <v>4.96367</v>
      </c>
      <c r="D25" s="54" t="n">
        <f aca="false">損益!D19</f>
        <v>15.8071375</v>
      </c>
      <c r="J25" s="7" t="s">
        <v>720</v>
      </c>
    </row>
    <row r="26" customFormat="false" ht="15" hidden="true" customHeight="false" outlineLevel="1" collapsed="false">
      <c r="A26" s="4" t="s">
        <v>723</v>
      </c>
      <c r="C26" s="61" t="n">
        <f aca="false">(C25*D24-C24*D25)/(C23*D24-C24*D23)</f>
        <v>0.582425245512132</v>
      </c>
      <c r="D26" s="61" t="n">
        <f aca="false">(C23*D25-D23*C25)/(C23*D24-C24*D23)</f>
        <v>0.0048412060906385</v>
      </c>
      <c r="J26" s="7" t="s">
        <v>724</v>
      </c>
    </row>
    <row r="27" customFormat="false" ht="15" hidden="true" customHeight="false" outlineLevel="1" collapsed="false">
      <c r="A27" s="4" t="s">
        <v>725</v>
      </c>
      <c r="B27" s="12" t="s">
        <v>77</v>
      </c>
      <c r="C27" s="31" t="n">
        <f aca="false">$C$26+$D$26*C18</f>
        <v>0.58726645160277</v>
      </c>
      <c r="D27" s="31" t="n">
        <f aca="false">$C$26+$D$26*D18</f>
        <v>0.592107657693409</v>
      </c>
      <c r="E27" s="31" t="n">
        <f aca="false">$C$26+$D$26*E18</f>
        <v>0.596948863784047</v>
      </c>
      <c r="F27" s="31" t="n">
        <f aca="false">$C$26+$D$26*F18</f>
        <v>0.601790069874686</v>
      </c>
      <c r="G27" s="31" t="n">
        <f aca="false">$C$26+$D$26*G18</f>
        <v>0.606631275965324</v>
      </c>
      <c r="H27" s="31" t="n">
        <f aca="false">$C$26+$D$26*H18</f>
        <v>0.611472482055963</v>
      </c>
      <c r="J27" s="7" t="s">
        <v>726</v>
      </c>
    </row>
    <row r="28" customFormat="false" ht="15" hidden="true" customHeight="false" outlineLevel="1" collapsed="false">
      <c r="A28" s="3" t="s">
        <v>727</v>
      </c>
      <c r="B28" s="12" t="s">
        <v>91</v>
      </c>
      <c r="C28" s="32" t="n">
        <f aca="false">C22*C27</f>
        <v>2.15096125673708</v>
      </c>
      <c r="D28" s="32" t="n">
        <f aca="false">D22*D27</f>
        <v>2.81270874326292</v>
      </c>
      <c r="E28" s="32" t="n">
        <f aca="false">E22*E27</f>
        <v>3.13630931100627</v>
      </c>
      <c r="F28" s="32" t="n">
        <f aca="false">F22*F27</f>
        <v>3.6744598487934</v>
      </c>
      <c r="G28" s="32" t="n">
        <f aca="false">G22*G27</f>
        <v>4.22085964389357</v>
      </c>
      <c r="H28" s="32" t="n">
        <f aca="false">H22*H27</f>
        <v>4.77550869630676</v>
      </c>
    </row>
    <row r="29" customFormat="false" ht="15" hidden="true" customHeight="false" outlineLevel="1" collapsed="false">
      <c r="A29" s="3" t="s">
        <v>728</v>
      </c>
      <c r="B29" s="12" t="s">
        <v>91</v>
      </c>
      <c r="C29" s="32" t="n">
        <f aca="false">(輸入與假設!C$71+輸入與假設!C$69*1/4)/輸入與假設!$C$51*輸入與假設!C$24/2</f>
        <v>2.164375</v>
      </c>
      <c r="D29" s="32" t="n">
        <f aca="false">(輸入與假設!C$71+輸入與假設!C$69*3/4)/輸入與假設!$C$51*輸入與假設!C$24/2</f>
        <v>2.59845833333333</v>
      </c>
      <c r="E29" s="32" t="n">
        <f aca="false">(輸入與假設!D$71+輸入與假設!D$69*1/8)/輸入與假設!$C$51*輸入與假設!D$24/4</f>
        <v>3.01516145833333</v>
      </c>
      <c r="F29" s="32" t="n">
        <f aca="false">(輸入與假設!D$71+輸入與假設!D$69*3/8)/輸入與假設!$C$51*輸入與假設!D$24/4</f>
        <v>3.414484375</v>
      </c>
      <c r="G29" s="32" t="n">
        <f aca="false">(輸入與假設!D$71+輸入與假設!D$69*5/8)/輸入與假設!$C$51*輸入與假設!D$24/4</f>
        <v>3.81380729166667</v>
      </c>
      <c r="H29" s="32" t="n">
        <f aca="false">(輸入與假設!D$71+輸入與假設!D$69*7/8)/輸入與假設!$C$51*輸入與假設!D$24/4</f>
        <v>4.21313020833333</v>
      </c>
      <c r="J29" s="7" t="s">
        <v>729</v>
      </c>
    </row>
    <row r="30" customFormat="false" ht="15" hidden="true" customHeight="false" outlineLevel="1" collapsed="false">
      <c r="A30" s="3" t="s">
        <v>730</v>
      </c>
      <c r="B30" s="12" t="s">
        <v>91</v>
      </c>
      <c r="C30" s="32" t="n">
        <f aca="false">C28-C29</f>
        <v>-0.0134137432629213</v>
      </c>
      <c r="D30" s="32" t="n">
        <f aca="false">D28-D29</f>
        <v>0.214250409929588</v>
      </c>
      <c r="E30" s="32" t="n">
        <f aca="false">E28-E29</f>
        <v>0.12114785267294</v>
      </c>
      <c r="F30" s="32" t="n">
        <f aca="false">F28-F29</f>
        <v>0.259975473793403</v>
      </c>
      <c r="G30" s="32" t="n">
        <f aca="false">G28-G29</f>
        <v>0.407052352226899</v>
      </c>
      <c r="H30" s="32" t="n">
        <f aca="false">H28-H29</f>
        <v>0.562378487973426</v>
      </c>
      <c r="J30" s="7" t="s">
        <v>731</v>
      </c>
    </row>
    <row r="31" customFormat="false" ht="15" hidden="true" customHeight="false" outlineLevel="1" collapsed="false">
      <c r="A31" s="4" t="s">
        <v>732</v>
      </c>
      <c r="B31" s="12" t="s">
        <v>91</v>
      </c>
      <c r="C31" s="32" t="n">
        <f aca="false">IF((C21+D21)&gt;0,輸入與假設!C$73*C21/(C21+D21),輸入與假設!C$73/2)</f>
        <v>10.418</v>
      </c>
      <c r="D31" s="32" t="n">
        <f aca="false">IF((C21+D21)&gt;0,輸入與假設!C$73*D21/(C21+D21),輸入與假設!C$73/2)</f>
        <v>10.418</v>
      </c>
      <c r="E31" s="32" t="n">
        <f aca="false">IF((E21+F21+G21+H21)&gt;0,輸入與假設!D$73*E21/(E21+F21+G21+H21),輸入與假設!D$73/4)</f>
        <v>9.58375</v>
      </c>
      <c r="F31" s="32" t="n">
        <f aca="false">IF((E21+F21+G21+H21)&gt;0,輸入與假設!D$73*F21/(E21+F21+G21+H21),輸入與假設!D$73/4)</f>
        <v>9.58375</v>
      </c>
      <c r="G31" s="32" t="n">
        <f aca="false">IF((E21+F21+G21+H21)&gt;0,輸入與假設!D$73*G21/(E21+F21+G21+H21),輸入與假設!D$73/4)</f>
        <v>9.58375</v>
      </c>
      <c r="H31" s="32" t="n">
        <f aca="false">IF((E21+F21+G21+H21)&gt;0,輸入與假設!D$73*H21/(E21+F21+G21+H21),輸入與假設!D$73/4)</f>
        <v>9.58375</v>
      </c>
      <c r="J31" s="7" t="s">
        <v>733</v>
      </c>
    </row>
    <row r="32" customFormat="false" ht="15" hidden="true" customHeight="false" outlineLevel="1" collapsed="false">
      <c r="A32" s="3" t="s">
        <v>734</v>
      </c>
      <c r="B32" s="12" t="s">
        <v>91</v>
      </c>
      <c r="C32" s="32" t="n">
        <f aca="false">IF(ISNUMBER(輸入與假設!$C$194),輸入與假設!$C$194,"不適用")</f>
        <v>3.541</v>
      </c>
      <c r="D32" s="32" t="n">
        <f aca="false">IF(ISNUMBER(輸入與假設!$D$194),輸入與假設!$D$194,"不適用")</f>
        <v>4.706</v>
      </c>
      <c r="E32" s="62" t="s">
        <v>699</v>
      </c>
      <c r="F32" s="62" t="s">
        <v>699</v>
      </c>
      <c r="G32" s="62" t="s">
        <v>699</v>
      </c>
      <c r="H32" s="62" t="s">
        <v>699</v>
      </c>
      <c r="J32" s="12" t="s">
        <v>735</v>
      </c>
    </row>
    <row r="33" customFormat="false" ht="15" hidden="true" customHeight="false" outlineLevel="1" collapsed="false">
      <c r="A33" s="3" t="s">
        <v>736</v>
      </c>
      <c r="B33" s="12" t="s">
        <v>91</v>
      </c>
      <c r="C33" s="62" t="n">
        <f aca="false">IF(ISNUMBER(輸入與假設!$C$195),輸入與假設!$C$195,"不適用")</f>
        <v>2.047</v>
      </c>
      <c r="D33" s="62" t="n">
        <f aca="false">IF(ISNUMBER(輸入與假設!$D$195),輸入與假設!$D$195,"不適用")</f>
        <v>2.897</v>
      </c>
      <c r="E33" s="62" t="s">
        <v>699</v>
      </c>
      <c r="F33" s="62" t="s">
        <v>699</v>
      </c>
      <c r="G33" s="62" t="s">
        <v>699</v>
      </c>
      <c r="H33" s="62" t="s">
        <v>699</v>
      </c>
      <c r="J33" s="12" t="s">
        <v>735</v>
      </c>
    </row>
    <row r="34" customFormat="false" ht="15" hidden="true" customHeight="false" outlineLevel="1" collapsed="false">
      <c r="A34" s="3" t="s">
        <v>737</v>
      </c>
      <c r="B34" s="12" t="s">
        <v>77</v>
      </c>
      <c r="C34" s="31" t="n">
        <f aca="false">IF(AND(ISNUMBER(輸入與假設!$C$195),ISNUMBER(輸入與假設!$C$194)),輸入與假設!$C$195/輸入與假設!$C$194,"不適用")</f>
        <v>0.578085286642192</v>
      </c>
      <c r="D34" s="31" t="n">
        <f aca="false">IF(AND(ISNUMBER(輸入與假設!$D$195),ISNUMBER(輸入與假設!$D$194)),輸入與假設!$D$195/輸入與假設!$D$194,"不適用")</f>
        <v>0.615597110072248</v>
      </c>
      <c r="E34" s="63" t="s">
        <v>699</v>
      </c>
      <c r="F34" s="63" t="s">
        <v>699</v>
      </c>
      <c r="G34" s="63" t="s">
        <v>699</v>
      </c>
      <c r="H34" s="63" t="s">
        <v>699</v>
      </c>
      <c r="J34" s="7" t="s">
        <v>738</v>
      </c>
    </row>
    <row r="35" customFormat="false" ht="15" hidden="true" customHeight="false" outlineLevel="1" collapsed="false">
      <c r="A35" s="3" t="s">
        <v>739</v>
      </c>
      <c r="B35" s="12" t="s">
        <v>91</v>
      </c>
      <c r="C35" s="62" t="n">
        <f aca="false">IF(ISNUMBER(輸入與假設!$C$196),輸入與假設!$C$196,"不適用")</f>
        <v>0.2408</v>
      </c>
      <c r="D35" s="62" t="n">
        <f aca="false">IF(ISNUMBER(輸入與假設!$D$196),輸入與假設!$D$196,"不適用")</f>
        <v>0.6805</v>
      </c>
      <c r="E35" s="62" t="s">
        <v>699</v>
      </c>
      <c r="F35" s="62" t="s">
        <v>699</v>
      </c>
      <c r="G35" s="62" t="s">
        <v>699</v>
      </c>
      <c r="H35" s="62" t="s">
        <v>699</v>
      </c>
      <c r="J35" s="7" t="s">
        <v>740</v>
      </c>
    </row>
    <row r="36" customFormat="false" ht="15" hidden="true" customHeight="false" outlineLevel="1" collapsed="false">
      <c r="A36" s="3" t="s">
        <v>741</v>
      </c>
      <c r="B36" s="12" t="s">
        <v>91</v>
      </c>
      <c r="C36" s="62" t="n">
        <f aca="false">IF(ISNUMBER(輸入與假設!C$234),輸入與假設!C$234,"不適用")</f>
        <v>3.45</v>
      </c>
      <c r="D36" s="62" t="str">
        <f aca="false">IF(ISNUMBER(輸入與假設!D$234),輸入與假設!D$234,"不適用")</f>
        <v>不適用</v>
      </c>
      <c r="E36" s="62" t="str">
        <f aca="false">IF(ISNUMBER(輸入與假設!E$234),輸入與假設!E$234,"不適用")</f>
        <v>不適用</v>
      </c>
      <c r="F36" s="62" t="str">
        <f aca="false">IF(ISNUMBER(輸入與假設!F$234),輸入與假設!F$234,"不適用")</f>
        <v>不適用</v>
      </c>
      <c r="G36" s="62" t="str">
        <f aca="false">IF(ISNUMBER(輸入與假設!G$234),輸入與假設!G$234,"不適用")</f>
        <v>不適用</v>
      </c>
      <c r="H36" s="62" t="str">
        <f aca="false">IF(ISNUMBER(輸入與假設!H$234),輸入與假設!H$234,"不適用")</f>
        <v>不適用</v>
      </c>
    </row>
    <row r="37" customFormat="false" ht="15" hidden="true" customHeight="false" outlineLevel="1" collapsed="false">
      <c r="A37" s="3" t="s">
        <v>742</v>
      </c>
      <c r="B37" s="12" t="s">
        <v>91</v>
      </c>
      <c r="C37" s="62" t="n">
        <f aca="false">IF(ISNUMBER(輸入與假設!C$235),輸入與假設!C$235,"不適用")</f>
        <v>3.6</v>
      </c>
      <c r="D37" s="62" t="str">
        <f aca="false">IF(ISNUMBER(輸入與假設!D$235),輸入與假設!D$235,"不適用")</f>
        <v>不適用</v>
      </c>
      <c r="E37" s="62" t="str">
        <f aca="false">IF(ISNUMBER(輸入與假設!E$235),輸入與假設!E$235,"不適用")</f>
        <v>不適用</v>
      </c>
      <c r="F37" s="62" t="str">
        <f aca="false">IF(ISNUMBER(輸入與假設!F$235),輸入與假設!F$235,"不適用")</f>
        <v>不適用</v>
      </c>
      <c r="G37" s="62" t="str">
        <f aca="false">IF(ISNUMBER(輸入與假設!G$235),輸入與假設!G$235,"不適用")</f>
        <v>不適用</v>
      </c>
      <c r="H37" s="62" t="str">
        <f aca="false">IF(ISNUMBER(輸入與假設!H$235),輸入與假設!H$235,"不適用")</f>
        <v>不適用</v>
      </c>
    </row>
    <row r="38" customFormat="false" ht="15" hidden="true" customHeight="false" outlineLevel="1" collapsed="false">
      <c r="A38" s="3" t="s">
        <v>743</v>
      </c>
      <c r="B38" s="12" t="s">
        <v>91</v>
      </c>
      <c r="C38" s="62" t="n">
        <f aca="false">IF(ISNUMBER(輸入與假設!C$236),輸入與假設!C$236,"不適用")</f>
        <v>0.2</v>
      </c>
      <c r="D38" s="62" t="str">
        <f aca="false">IF(ISNUMBER(輸入與假設!D$236),輸入與假設!D$236,"不適用")</f>
        <v>不適用</v>
      </c>
      <c r="E38" s="62" t="str">
        <f aca="false">IF(ISNUMBER(輸入與假設!E$236),輸入與假設!E$236,"不適用")</f>
        <v>不適用</v>
      </c>
      <c r="F38" s="62" t="str">
        <f aca="false">IF(ISNUMBER(輸入與假設!F$236),輸入與假設!F$236,"不適用")</f>
        <v>不適用</v>
      </c>
      <c r="G38" s="62" t="str">
        <f aca="false">IF(ISNUMBER(輸入與假設!G$236),輸入與假設!G$236,"不適用")</f>
        <v>不適用</v>
      </c>
      <c r="H38" s="62" t="str">
        <f aca="false">IF(ISNUMBER(輸入與假設!H$236),輸入與假設!H$236,"不適用")</f>
        <v>不適用</v>
      </c>
    </row>
    <row r="39" customFormat="false" ht="15" hidden="true" customHeight="false" outlineLevel="1" collapsed="false">
      <c r="A39" s="3" t="s">
        <v>744</v>
      </c>
      <c r="B39" s="12" t="s">
        <v>91</v>
      </c>
      <c r="C39" s="62" t="n">
        <f aca="false">IF(ISNUMBER(輸入與假設!C$237),輸入與假設!C$237,"不適用")</f>
        <v>0.26</v>
      </c>
      <c r="D39" s="62" t="str">
        <f aca="false">IF(ISNUMBER(輸入與假設!D$237),輸入與假設!D$237,"不適用")</f>
        <v>不適用</v>
      </c>
      <c r="E39" s="62" t="str">
        <f aca="false">IF(ISNUMBER(輸入與假設!E$237),輸入與假設!E$237,"不適用")</f>
        <v>不適用</v>
      </c>
      <c r="F39" s="62" t="str">
        <f aca="false">IF(ISNUMBER(輸入與假設!F$237),輸入與假設!F$237,"不適用")</f>
        <v>不適用</v>
      </c>
      <c r="G39" s="62" t="str">
        <f aca="false">IF(ISNUMBER(輸入與假設!G$237),輸入與假設!G$237,"不適用")</f>
        <v>不適用</v>
      </c>
      <c r="H39" s="62" t="str">
        <f aca="false">IF(ISNUMBER(輸入與假設!H$237),輸入與假設!H$237,"不適用")</f>
        <v>不適用</v>
      </c>
    </row>
    <row r="40" customFormat="false" ht="15" hidden="true" customHeight="false" outlineLevel="1" collapsed="false">
      <c r="A40" s="3" t="s">
        <v>745</v>
      </c>
      <c r="B40" s="12" t="s">
        <v>91</v>
      </c>
      <c r="C40" s="62" t="n">
        <f aca="false">IF(ISNUMBER(輸入與假設!C$238),輸入與假設!C$238,"不適用")</f>
        <v>11.5</v>
      </c>
      <c r="D40" s="62" t="str">
        <f aca="false">IF(ISNUMBER(輸入與假設!D$238),輸入與假設!D$238,"不適用")</f>
        <v>不適用</v>
      </c>
      <c r="E40" s="62" t="str">
        <f aca="false">IF(ISNUMBER(輸入與假設!E$238),輸入與假設!E$238,"不適用")</f>
        <v>不適用</v>
      </c>
      <c r="F40" s="62" t="str">
        <f aca="false">IF(ISNUMBER(輸入與假設!F$238),輸入與假設!F$238,"不適用")</f>
        <v>不適用</v>
      </c>
      <c r="G40" s="62" t="str">
        <f aca="false">IF(ISNUMBER(輸入與假設!G$238),輸入與假設!G$238,"不適用")</f>
        <v>不適用</v>
      </c>
      <c r="H40" s="62" t="str">
        <f aca="false">IF(ISNUMBER(輸入與假設!H$238),輸入與假設!H$238,"不適用")</f>
        <v>不適用</v>
      </c>
    </row>
    <row r="41" customFormat="false" ht="15" hidden="true" customHeight="false" outlineLevel="1" collapsed="false">
      <c r="A41" s="3" t="s">
        <v>746</v>
      </c>
      <c r="B41" s="12" t="s">
        <v>91</v>
      </c>
      <c r="C41" s="62" t="n">
        <f aca="false">IF(ISNUMBER(輸入與假設!C$239),輸入與假設!C$239,"不適用")</f>
        <v>13.5</v>
      </c>
      <c r="D41" s="62" t="str">
        <f aca="false">IF(ISNUMBER(輸入與假設!D$239),輸入與假設!D$239,"不適用")</f>
        <v>不適用</v>
      </c>
      <c r="E41" s="62" t="str">
        <f aca="false">IF(ISNUMBER(輸入與假設!E$239),輸入與假設!E$239,"不適用")</f>
        <v>不適用</v>
      </c>
      <c r="F41" s="62" t="str">
        <f aca="false">IF(ISNUMBER(輸入與假設!F$239),輸入與假設!F$239,"不適用")</f>
        <v>不適用</v>
      </c>
      <c r="G41" s="62" t="str">
        <f aca="false">IF(ISNUMBER(輸入與假設!G$239),輸入與假設!G$239,"不適用")</f>
        <v>不適用</v>
      </c>
      <c r="H41" s="62" t="str">
        <f aca="false">IF(ISNUMBER(輸入與假設!H$239),輸入與假設!H$239,"不適用")</f>
        <v>不適用</v>
      </c>
    </row>
    <row r="42" customFormat="false" ht="15" hidden="true" customHeight="false" outlineLevel="1" collapsed="false">
      <c r="A42" s="3" t="s">
        <v>747</v>
      </c>
      <c r="B42" s="12" t="s">
        <v>91</v>
      </c>
      <c r="C42" s="39" t="str">
        <f aca="false">IF(ISNUMBER(輸入與假設!C$226),輸入與假設!C$226,"")</f>
        <v/>
      </c>
      <c r="D42" s="39" t="str">
        <f aca="false">IF(ISNUMBER(輸入與假設!D$226),輸入與假設!D$226,"")</f>
        <v/>
      </c>
      <c r="E42" s="39" t="str">
        <f aca="false">IF(ISNUMBER(輸入與假設!E$226),輸入與假設!E$226,"")</f>
        <v/>
      </c>
      <c r="F42" s="39" t="str">
        <f aca="false">IF(ISNUMBER(輸入與假設!F$226),輸入與假設!F$226,"")</f>
        <v/>
      </c>
      <c r="G42" s="39" t="str">
        <f aca="false">IF(ISNUMBER(輸入與假設!G$226),輸入與假設!G$226,"")</f>
        <v/>
      </c>
      <c r="H42" s="39" t="str">
        <f aca="false">IF(ISNUMBER(輸入與假設!H$226),輸入與假設!H$226,"")</f>
        <v/>
      </c>
    </row>
    <row r="43" customFormat="false" ht="15" hidden="true" customHeight="false" outlineLevel="1" collapsed="false">
      <c r="A43" s="3" t="s">
        <v>748</v>
      </c>
      <c r="B43" s="12" t="s">
        <v>91</v>
      </c>
      <c r="C43" s="39" t="str">
        <f aca="false">IF(ISNUMBER(輸入與假設!C$227),輸入與假設!C$227,"")</f>
        <v/>
      </c>
      <c r="D43" s="39" t="str">
        <f aca="false">IF(ISNUMBER(輸入與假設!D$227),輸入與假設!D$227,"")</f>
        <v/>
      </c>
      <c r="E43" s="39" t="str">
        <f aca="false">IF(ISNUMBER(輸入與假設!E$227),輸入與假設!E$227,"")</f>
        <v/>
      </c>
      <c r="F43" s="39" t="str">
        <f aca="false">IF(ISNUMBER(輸入與假設!F$227),輸入與假設!F$227,"")</f>
        <v/>
      </c>
      <c r="G43" s="39" t="str">
        <f aca="false">IF(ISNUMBER(輸入與假設!G$227),輸入與假設!G$227,"")</f>
        <v/>
      </c>
      <c r="H43" s="39" t="str">
        <f aca="false">IF(ISNUMBER(輸入與假設!H$227),輸入與假設!H$227,"")</f>
        <v/>
      </c>
    </row>
    <row r="44" customFormat="false" ht="15" hidden="true" customHeight="false" outlineLevel="1" collapsed="false">
      <c r="A44" s="3" t="s">
        <v>749</v>
      </c>
      <c r="B44" s="12" t="s">
        <v>77</v>
      </c>
      <c r="C44" s="63" t="str">
        <f aca="false">IF(AND(ISNUMBER(輸入與假設!C$227),ISNUMBER(輸入與假設!C$226)),輸入與假設!C$227/輸入與假設!C$226,"")</f>
        <v/>
      </c>
      <c r="D44" s="63" t="str">
        <f aca="false">IF(AND(ISNUMBER(輸入與假設!D$227),ISNUMBER(輸入與假設!D$226)),輸入與假設!D$227/輸入與假設!D$226,"")</f>
        <v/>
      </c>
      <c r="E44" s="63" t="str">
        <f aca="false">IF(AND(ISNUMBER(輸入與假設!E$227),ISNUMBER(輸入與假設!E$226)),輸入與假設!E$227/輸入與假設!E$226,"")</f>
        <v/>
      </c>
      <c r="F44" s="63" t="str">
        <f aca="false">IF(AND(ISNUMBER(輸入與假設!F$227),ISNUMBER(輸入與假設!F$226)),輸入與假設!F$227/輸入與假設!F$226,"")</f>
        <v/>
      </c>
      <c r="G44" s="63" t="str">
        <f aca="false">IF(AND(ISNUMBER(輸入與假設!G$227),ISNUMBER(輸入與假設!G$226)),輸入與假設!G$227/輸入與假設!G$226,"")</f>
        <v/>
      </c>
      <c r="H44" s="63" t="str">
        <f aca="false">IF(AND(ISNUMBER(輸入與假設!H$227),ISNUMBER(輸入與假設!H$226)),輸入與假設!H$227/輸入與假設!H$226,"")</f>
        <v/>
      </c>
      <c r="J44" s="7" t="s">
        <v>750</v>
      </c>
    </row>
    <row r="45" customFormat="false" ht="15" hidden="true" customHeight="false" outlineLevel="1" collapsed="false">
      <c r="A45" s="3" t="s">
        <v>751</v>
      </c>
      <c r="B45" s="12" t="s">
        <v>91</v>
      </c>
      <c r="C45" s="39" t="str">
        <f aca="false">IF(ISNUMBER(輸入與假設!C$228),輸入與假設!C$228,"")</f>
        <v/>
      </c>
      <c r="D45" s="39" t="str">
        <f aca="false">IF(ISNUMBER(輸入與假設!D$228),輸入與假設!D$228,"")</f>
        <v/>
      </c>
      <c r="E45" s="39" t="str">
        <f aca="false">IF(ISNUMBER(輸入與假設!E$228),輸入與假設!E$228,"")</f>
        <v/>
      </c>
      <c r="F45" s="39" t="str">
        <f aca="false">IF(ISNUMBER(輸入與假設!F$228),輸入與假設!F$228,"")</f>
        <v/>
      </c>
      <c r="G45" s="39" t="str">
        <f aca="false">IF(ISNUMBER(輸入與假設!G$228),輸入與假設!G$228,"")</f>
        <v/>
      </c>
      <c r="H45" s="39" t="str">
        <f aca="false">IF(ISNUMBER(輸入與假設!H$228),輸入與假設!H$228,"")</f>
        <v/>
      </c>
    </row>
    <row r="46" customFormat="false" ht="15" hidden="true" customHeight="false" outlineLevel="1" collapsed="false">
      <c r="A46" s="3" t="s">
        <v>752</v>
      </c>
      <c r="B46" s="12" t="s">
        <v>91</v>
      </c>
      <c r="C46" s="39" t="str">
        <f aca="false">IF(ISNUMBER(輸入與假設!C$229),輸入與假設!C$229,"")</f>
        <v/>
      </c>
      <c r="D46" s="39" t="str">
        <f aca="false">IF(ISNUMBER(輸入與假設!D$229),輸入與假設!D$229,"")</f>
        <v/>
      </c>
      <c r="E46" s="39" t="str">
        <f aca="false">IF(ISNUMBER(輸入與假設!E$229),輸入與假設!E$229,"")</f>
        <v/>
      </c>
      <c r="F46" s="39" t="str">
        <f aca="false">IF(ISNUMBER(輸入與假設!F$229),輸入與假設!F$229,"")</f>
        <v/>
      </c>
      <c r="G46" s="39" t="str">
        <f aca="false">IF(ISNUMBER(輸入與假設!G$229),輸入與假設!G$229,"")</f>
        <v/>
      </c>
      <c r="H46" s="39" t="str">
        <f aca="false">IF(ISNUMBER(輸入與假設!H$229),輸入與假設!H$229,"")</f>
        <v/>
      </c>
    </row>
    <row r="47" customFormat="false" ht="15" hidden="true" customHeight="false" outlineLevel="1" collapsed="false">
      <c r="A47" s="3" t="s">
        <v>753</v>
      </c>
      <c r="B47" s="12" t="s">
        <v>170</v>
      </c>
      <c r="C47" s="39" t="str">
        <f aca="false">IF(ISNUMBER(輸入與假設!C$230),輸入與假設!C$230,"")</f>
        <v/>
      </c>
      <c r="D47" s="39" t="str">
        <f aca="false">IF(ISNUMBER(輸入與假設!D$230),輸入與假設!D$230,"")</f>
        <v/>
      </c>
      <c r="E47" s="39" t="str">
        <f aca="false">IF(ISNUMBER(輸入與假設!E$230),輸入與假設!E$230,"")</f>
        <v/>
      </c>
      <c r="F47" s="39" t="str">
        <f aca="false">IF(ISNUMBER(輸入與假設!F$230),輸入與假設!F$230,"")</f>
        <v/>
      </c>
      <c r="G47" s="39" t="str">
        <f aca="false">IF(ISNUMBER(輸入與假設!G$230),輸入與假設!G$230,"")</f>
        <v/>
      </c>
      <c r="H47" s="39" t="str">
        <f aca="false">IF(ISNUMBER(輸入與假設!H$230),輸入與假設!H$230,"")</f>
        <v/>
      </c>
    </row>
    <row r="48" customFormat="false" ht="15" hidden="true" customHeight="false" outlineLevel="1" collapsed="false">
      <c r="A48" s="3" t="s">
        <v>754</v>
      </c>
      <c r="B48" s="12" t="s">
        <v>77</v>
      </c>
      <c r="C48" s="63" t="n">
        <f aca="false">IF(AND(ISNUMBER(C22),ISNUMBER(C32),C32&lt;&gt;0),C22/(C32)-1,"不適用")</f>
        <v>0.0343594088298973</v>
      </c>
      <c r="D48" s="63" t="n">
        <f aca="false">IF(AND(ISNUMBER(D22),ISNUMBER(D32),D32&lt;&gt;0),D22/(D32)-1,"不適用")</f>
        <v>0.00942059781838789</v>
      </c>
      <c r="E48" s="63" t="str">
        <f aca="false">IF(AND(ISNUMBER(E22),ISNUMBER(E32),E32&lt;&gt;0),E22/(E32)-1,"不適用")</f>
        <v>不適用</v>
      </c>
      <c r="F48" s="63" t="str">
        <f aca="false">IF(AND(ISNUMBER(F22),ISNUMBER(F32),F32&lt;&gt;0),F22/(F32)-1,"不適用")</f>
        <v>不適用</v>
      </c>
      <c r="G48" s="63" t="str">
        <f aca="false">IF(AND(ISNUMBER(G22),ISNUMBER(G32),G32&lt;&gt;0),G22/(G32)-1,"不適用")</f>
        <v>不適用</v>
      </c>
      <c r="H48" s="63" t="str">
        <f aca="false">IF(AND(ISNUMBER(H22),ISNUMBER(H32),H32&lt;&gt;0),H22/(H32)-1,"不適用")</f>
        <v>不適用</v>
      </c>
    </row>
    <row r="49" customFormat="false" ht="15" hidden="true" customHeight="false" outlineLevel="1" collapsed="false">
      <c r="A49" s="3" t="s">
        <v>755</v>
      </c>
      <c r="B49" s="12" t="s">
        <v>77</v>
      </c>
      <c r="C49" s="63" t="n">
        <f aca="false">IF(AND(ISNUMBER(C22),ISNUMBER(C36),ISNUMBER(C37)),C22/((C36+C37)/2)-1,"不適用")</f>
        <v>0.0390543735224584</v>
      </c>
      <c r="D49" s="63" t="str">
        <f aca="false">IF(AND(ISNUMBER(D22),ISNUMBER(D36),ISNUMBER(D37)),D22/((D36+D37)/2)-1,"不適用")</f>
        <v>不適用</v>
      </c>
      <c r="E49" s="63" t="str">
        <f aca="false">IF(AND(ISNUMBER(E22),ISNUMBER(E36),ISNUMBER(E37)),E22/((E36+E37)/2)-1,"不適用")</f>
        <v>不適用</v>
      </c>
      <c r="F49" s="63" t="str">
        <f aca="false">IF(AND(ISNUMBER(F22),ISNUMBER(F36),ISNUMBER(F37)),F22/((F36+F37)/2)-1,"不適用")</f>
        <v>不適用</v>
      </c>
      <c r="G49" s="63" t="str">
        <f aca="false">IF(AND(ISNUMBER(G22),ISNUMBER(G36),ISNUMBER(G37)),G22/((G36+G37)/2)-1,"不適用")</f>
        <v>不適用</v>
      </c>
      <c r="H49" s="63" t="str">
        <f aca="false">IF(AND(ISNUMBER(H22),ISNUMBER(H36),ISNUMBER(H37)),H22/((H36+H37)/2)-1,"不適用")</f>
        <v>不適用</v>
      </c>
    </row>
    <row r="50" customFormat="false" ht="15" hidden="true" customHeight="false" outlineLevel="1" collapsed="false">
      <c r="A50" s="3" t="s">
        <v>756</v>
      </c>
      <c r="B50" s="12" t="s">
        <v>77</v>
      </c>
      <c r="C50" s="63" t="str">
        <f aca="false">IF(ISNUMBER(C42),IF(ISNUMBER(C22),C42/(C22)-1,"不適用"),"")</f>
        <v/>
      </c>
      <c r="D50" s="63" t="str">
        <f aca="false">IF(ISNUMBER(D42),IF(ISNUMBER(D22),D42/(D22)-1,"不適用"),"")</f>
        <v/>
      </c>
      <c r="E50" s="63" t="str">
        <f aca="false">IF(ISNUMBER(E42),IF(ISNUMBER(E22),E42/(E22)-1,"不適用"),"")</f>
        <v/>
      </c>
      <c r="F50" s="63" t="str">
        <f aca="false">IF(ISNUMBER(F42),IF(ISNUMBER(F22),F42/(F22)-1,"不適用"),"")</f>
        <v/>
      </c>
      <c r="G50" s="63" t="str">
        <f aca="false">IF(ISNUMBER(G42),IF(ISNUMBER(G22),G42/(G22)-1,"不適用"),"")</f>
        <v/>
      </c>
      <c r="H50" s="63" t="str">
        <f aca="false">IF(ISNUMBER(H42),IF(ISNUMBER(H22),H42/(H22)-1,"不適用"),"")</f>
        <v/>
      </c>
    </row>
    <row r="51" customFormat="false" ht="15" hidden="true" customHeight="false" outlineLevel="1" collapsed="false">
      <c r="A51" s="3" t="s">
        <v>757</v>
      </c>
      <c r="B51" s="12" t="s">
        <v>77</v>
      </c>
      <c r="C51" s="63" t="str">
        <f aca="false">IF(ISNUMBER(C42),IF(AND(ISNUMBER(C32),C32&lt;&gt;0),C42/(C32)-1,"不適用"),"")</f>
        <v/>
      </c>
      <c r="D51" s="63" t="str">
        <f aca="false">IF(ISNUMBER(D42),IF(AND(ISNUMBER(D32),D32&lt;&gt;0),D42/(D32)-1,"不適用"),"")</f>
        <v/>
      </c>
      <c r="E51" s="63" t="str">
        <f aca="false">IF(ISNUMBER(E42),IF(AND(ISNUMBER(E32),E32&lt;&gt;0),E42/(E32)-1,"不適用"),"")</f>
        <v/>
      </c>
      <c r="F51" s="63" t="str">
        <f aca="false">IF(ISNUMBER(F42),IF(AND(ISNUMBER(F32),F32&lt;&gt;0),F42/(F32)-1,"不適用"),"")</f>
        <v/>
      </c>
      <c r="G51" s="63" t="str">
        <f aca="false">IF(ISNUMBER(G42),IF(AND(ISNUMBER(G32),G32&lt;&gt;0),G42/(G32)-1,"不適用"),"")</f>
        <v/>
      </c>
      <c r="H51" s="63" t="str">
        <f aca="false">IF(ISNUMBER(H42),IF(AND(ISNUMBER(H32),H32&lt;&gt;0),H42/(H32)-1,"不適用"),"")</f>
        <v/>
      </c>
    </row>
    <row r="52" customFormat="false" ht="15" hidden="true" customHeight="false" outlineLevel="1" collapsed="false">
      <c r="A52" s="3" t="s">
        <v>758</v>
      </c>
      <c r="B52" s="12" t="s">
        <v>77</v>
      </c>
      <c r="C52" s="63" t="str">
        <f aca="false">IF(ISNUMBER(C42),IF(AND(ISNUMBER(C36),ISNUMBER(C37)),C42/((C36+C37)/2)-1,"不適用"),"")</f>
        <v/>
      </c>
      <c r="D52" s="63" t="str">
        <f aca="false">IF(ISNUMBER(D42),IF(AND(ISNUMBER(D36),ISNUMBER(D37)),D42/((D36+D37)/2)-1,"不適用"),"")</f>
        <v/>
      </c>
      <c r="E52" s="63" t="str">
        <f aca="false">IF(ISNUMBER(E42),IF(AND(ISNUMBER(E36),ISNUMBER(E37)),E42/((E36+E37)/2)-1,"不適用"),"")</f>
        <v/>
      </c>
      <c r="F52" s="63" t="str">
        <f aca="false">IF(ISNUMBER(F42),IF(AND(ISNUMBER(F36),ISNUMBER(F37)),F42/((F36+F37)/2)-1,"不適用"),"")</f>
        <v/>
      </c>
      <c r="G52" s="63" t="str">
        <f aca="false">IF(ISNUMBER(G42),IF(AND(ISNUMBER(G36),ISNUMBER(G37)),G42/((G36+G37)/2)-1,"不適用"),"")</f>
        <v/>
      </c>
      <c r="H52" s="63" t="str">
        <f aca="false">IF(ISNUMBER(H42),IF(AND(ISNUMBER(H36),ISNUMBER(H37)),H42/((H36+H37)/2)-1,"不適用"),"")</f>
        <v/>
      </c>
    </row>
    <row r="53" customFormat="false" ht="15" hidden="true" customHeight="false" outlineLevel="1" collapsed="false">
      <c r="A53" s="3" t="s">
        <v>759</v>
      </c>
      <c r="B53" s="12" t="s">
        <v>77</v>
      </c>
      <c r="C53" s="63" t="n">
        <f aca="false">IF(AND(ISNUMBER(C28),ISNUMBER(C33),C33&lt;&gt;0),C28/(C33)-1,"不適用")</f>
        <v>0.0507871307948602</v>
      </c>
      <c r="D53" s="63" t="n">
        <f aca="false">IF(AND(ISNUMBER(D28),ISNUMBER(D33),D33&lt;&gt;0),D28/(D33)-1,"不適用")</f>
        <v>-0.0290960499610211</v>
      </c>
      <c r="E53" s="63" t="str">
        <f aca="false">IF(AND(ISNUMBER(E28),ISNUMBER(E33),E33&lt;&gt;0),E28/(E33)-1,"不適用")</f>
        <v>不適用</v>
      </c>
      <c r="F53" s="63" t="str">
        <f aca="false">IF(AND(ISNUMBER(F28),ISNUMBER(F33),F33&lt;&gt;0),F28/(F33)-1,"不適用")</f>
        <v>不適用</v>
      </c>
      <c r="G53" s="63" t="str">
        <f aca="false">IF(AND(ISNUMBER(G28),ISNUMBER(G33),G33&lt;&gt;0),G28/(G33)-1,"不適用")</f>
        <v>不適用</v>
      </c>
      <c r="H53" s="63" t="str">
        <f aca="false">IF(AND(ISNUMBER(H28),ISNUMBER(H33),H33&lt;&gt;0),H28/(H33)-1,"不適用")</f>
        <v>不適用</v>
      </c>
    </row>
    <row r="54" customFormat="false" ht="15" hidden="true" customHeight="false" outlineLevel="1" collapsed="false">
      <c r="A54" s="3" t="s">
        <v>760</v>
      </c>
      <c r="B54" s="12" t="s">
        <v>77</v>
      </c>
      <c r="C54" s="63" t="s">
        <v>699</v>
      </c>
      <c r="D54" s="63" t="s">
        <v>699</v>
      </c>
      <c r="E54" s="63" t="s">
        <v>699</v>
      </c>
      <c r="F54" s="63" t="s">
        <v>699</v>
      </c>
      <c r="G54" s="63" t="s">
        <v>699</v>
      </c>
      <c r="H54" s="63" t="s">
        <v>699</v>
      </c>
    </row>
    <row r="55" customFormat="false" ht="15" hidden="true" customHeight="false" outlineLevel="1" collapsed="false">
      <c r="A55" s="3" t="s">
        <v>761</v>
      </c>
      <c r="B55" s="12" t="s">
        <v>77</v>
      </c>
      <c r="C55" s="63" t="str">
        <f aca="false">IF(ISNUMBER(C43),IF(ISNUMBER(C28),C43/(C28)-1,"不適用"),"")</f>
        <v/>
      </c>
      <c r="D55" s="63" t="str">
        <f aca="false">IF(ISNUMBER(D43),IF(ISNUMBER(D28),D43/(D28)-1,"不適用"),"")</f>
        <v/>
      </c>
      <c r="E55" s="63" t="str">
        <f aca="false">IF(ISNUMBER(E43),IF(ISNUMBER(E28),E43/(E28)-1,"不適用"),"")</f>
        <v/>
      </c>
      <c r="F55" s="63" t="str">
        <f aca="false">IF(ISNUMBER(F43),IF(ISNUMBER(F28),F43/(F28)-1,"不適用"),"")</f>
        <v/>
      </c>
      <c r="G55" s="63" t="str">
        <f aca="false">IF(ISNUMBER(G43),IF(ISNUMBER(G28),G43/(G28)-1,"不適用"),"")</f>
        <v/>
      </c>
      <c r="H55" s="63" t="str">
        <f aca="false">IF(ISNUMBER(H43),IF(ISNUMBER(H28),H43/(H28)-1,"不適用"),"")</f>
        <v/>
      </c>
    </row>
    <row r="56" customFormat="false" ht="15" hidden="true" customHeight="false" outlineLevel="1" collapsed="false">
      <c r="A56" s="3" t="s">
        <v>762</v>
      </c>
      <c r="B56" s="12" t="s">
        <v>77</v>
      </c>
      <c r="C56" s="63" t="str">
        <f aca="false">IF(ISNUMBER(C43),IF(AND(ISNUMBER(C33),C33&lt;&gt;0),C43/(C33)-1,"不適用"),"")</f>
        <v/>
      </c>
      <c r="D56" s="63" t="str">
        <f aca="false">IF(ISNUMBER(D43),IF(AND(ISNUMBER(D33),D33&lt;&gt;0),D43/(D33)-1,"不適用"),"")</f>
        <v/>
      </c>
      <c r="E56" s="63" t="str">
        <f aca="false">IF(ISNUMBER(E43),IF(AND(ISNUMBER(E33),E33&lt;&gt;0),E43/(E33)-1,"不適用"),"")</f>
        <v/>
      </c>
      <c r="F56" s="63" t="str">
        <f aca="false">IF(ISNUMBER(F43),IF(AND(ISNUMBER(F33),F33&lt;&gt;0),F43/(F33)-1,"不適用"),"")</f>
        <v/>
      </c>
      <c r="G56" s="63" t="str">
        <f aca="false">IF(ISNUMBER(G43),IF(AND(ISNUMBER(G33),G33&lt;&gt;0),G43/(G33)-1,"不適用"),"")</f>
        <v/>
      </c>
      <c r="H56" s="63" t="str">
        <f aca="false">IF(ISNUMBER(H43),IF(AND(ISNUMBER(H33),H33&lt;&gt;0),H43/(H33)-1,"不適用"),"")</f>
        <v/>
      </c>
    </row>
    <row r="57" customFormat="false" ht="15" hidden="true" customHeight="false" outlineLevel="1" collapsed="false">
      <c r="A57" s="3" t="s">
        <v>763</v>
      </c>
      <c r="B57" s="12" t="s">
        <v>77</v>
      </c>
      <c r="C57" s="63" t="str">
        <f aca="false">IF(ISNUMBER(C43),"不適用","")</f>
        <v/>
      </c>
      <c r="D57" s="63" t="str">
        <f aca="false">IF(ISNUMBER(D43),"不適用","")</f>
        <v/>
      </c>
      <c r="E57" s="63" t="str">
        <f aca="false">IF(ISNUMBER(E43),"不適用","")</f>
        <v/>
      </c>
      <c r="F57" s="63" t="str">
        <f aca="false">IF(ISNUMBER(F43),"不適用","")</f>
        <v/>
      </c>
      <c r="G57" s="63" t="str">
        <f aca="false">IF(ISNUMBER(G43),"不適用","")</f>
        <v/>
      </c>
      <c r="H57" s="63" t="str">
        <f aca="false">IF(ISNUMBER(H43),"不適用","")</f>
        <v/>
      </c>
    </row>
    <row r="58" customFormat="false" ht="15" hidden="true" customHeight="false" outlineLevel="1" collapsed="false">
      <c r="A58" s="3" t="s">
        <v>764</v>
      </c>
      <c r="B58" s="12" t="s">
        <v>101</v>
      </c>
      <c r="C58" s="63" t="n">
        <f aca="false">IF(AND(ISNUMBER(C27),ISNUMBER(C34),C34&lt;&gt;0),C27-(C34),"不適用")</f>
        <v>0.00918116496057853</v>
      </c>
      <c r="D58" s="63" t="n">
        <f aca="false">IF(AND(ISNUMBER(D27),ISNUMBER(D34),D34&lt;&gt;0),D27-(D34),"不適用")</f>
        <v>-0.0234894523788396</v>
      </c>
      <c r="E58" s="63" t="str">
        <f aca="false">IF(AND(ISNUMBER(E27),ISNUMBER(E34),E34&lt;&gt;0),E27-(E34),"不適用")</f>
        <v>不適用</v>
      </c>
      <c r="F58" s="63" t="str">
        <f aca="false">IF(AND(ISNUMBER(F27),ISNUMBER(F34),F34&lt;&gt;0),F27-(F34),"不適用")</f>
        <v>不適用</v>
      </c>
      <c r="G58" s="63" t="str">
        <f aca="false">IF(AND(ISNUMBER(G27),ISNUMBER(G34),G34&lt;&gt;0),G27-(G34),"不適用")</f>
        <v>不適用</v>
      </c>
      <c r="H58" s="63" t="str">
        <f aca="false">IF(AND(ISNUMBER(H27),ISNUMBER(H34),H34&lt;&gt;0),H27-(H34),"不適用")</f>
        <v>不適用</v>
      </c>
    </row>
    <row r="59" customFormat="false" ht="15" hidden="true" customHeight="false" outlineLevel="1" collapsed="false">
      <c r="A59" s="3" t="s">
        <v>765</v>
      </c>
      <c r="B59" s="12" t="s">
        <v>101</v>
      </c>
      <c r="C59" s="63" t="s">
        <v>699</v>
      </c>
      <c r="D59" s="63" t="s">
        <v>699</v>
      </c>
      <c r="E59" s="63" t="s">
        <v>699</v>
      </c>
      <c r="F59" s="63" t="s">
        <v>699</v>
      </c>
      <c r="G59" s="63" t="s">
        <v>699</v>
      </c>
      <c r="H59" s="63" t="s">
        <v>699</v>
      </c>
    </row>
    <row r="60" customFormat="false" ht="15" hidden="true" customHeight="false" outlineLevel="1" collapsed="false">
      <c r="A60" s="3" t="s">
        <v>766</v>
      </c>
      <c r="B60" s="12" t="s">
        <v>101</v>
      </c>
      <c r="C60" s="63" t="str">
        <f aca="false">IF(ISNUMBER(C44),IF(ISNUMBER(C27),C44-(C27),"不適用"),"")</f>
        <v/>
      </c>
      <c r="D60" s="63" t="str">
        <f aca="false">IF(ISNUMBER(D44),IF(ISNUMBER(D27),D44-(D27),"不適用"),"")</f>
        <v/>
      </c>
      <c r="E60" s="63" t="str">
        <f aca="false">IF(ISNUMBER(E44),IF(ISNUMBER(E27),E44-(E27),"不適用"),"")</f>
        <v/>
      </c>
      <c r="F60" s="63" t="str">
        <f aca="false">IF(ISNUMBER(F44),IF(ISNUMBER(F27),F44-(F27),"不適用"),"")</f>
        <v/>
      </c>
      <c r="G60" s="63" t="str">
        <f aca="false">IF(ISNUMBER(G44),IF(ISNUMBER(G27),G44-(G27),"不適用"),"")</f>
        <v/>
      </c>
      <c r="H60" s="63" t="str">
        <f aca="false">IF(ISNUMBER(H44),IF(ISNUMBER(H27),H44-(H27),"不適用"),"")</f>
        <v/>
      </c>
    </row>
    <row r="61" customFormat="false" ht="15" hidden="true" customHeight="false" outlineLevel="1" collapsed="false">
      <c r="A61" s="3" t="s">
        <v>767</v>
      </c>
      <c r="B61" s="12" t="s">
        <v>101</v>
      </c>
      <c r="C61" s="63" t="str">
        <f aca="false">IF(ISNUMBER(C44),IF(AND(ISNUMBER(C34),C34&lt;&gt;0),C44-(C34),"不適用"),"")</f>
        <v/>
      </c>
      <c r="D61" s="63" t="str">
        <f aca="false">IF(ISNUMBER(D44),IF(AND(ISNUMBER(D34),D34&lt;&gt;0),D44-(D34),"不適用"),"")</f>
        <v/>
      </c>
      <c r="E61" s="63" t="str">
        <f aca="false">IF(ISNUMBER(E44),IF(AND(ISNUMBER(E34),E34&lt;&gt;0),E44-(E34),"不適用"),"")</f>
        <v/>
      </c>
      <c r="F61" s="63" t="str">
        <f aca="false">IF(ISNUMBER(F44),IF(AND(ISNUMBER(F34),F34&lt;&gt;0),F44-(F34),"不適用"),"")</f>
        <v/>
      </c>
      <c r="G61" s="63" t="str">
        <f aca="false">IF(ISNUMBER(G44),IF(AND(ISNUMBER(G34),G34&lt;&gt;0),G44-(G34),"不適用"),"")</f>
        <v/>
      </c>
      <c r="H61" s="63" t="str">
        <f aca="false">IF(ISNUMBER(H44),IF(AND(ISNUMBER(H34),H34&lt;&gt;0),H44-(H34),"不適用"),"")</f>
        <v/>
      </c>
    </row>
    <row r="62" customFormat="false" ht="15" hidden="true" customHeight="false" outlineLevel="1" collapsed="false">
      <c r="A62" s="3" t="s">
        <v>768</v>
      </c>
      <c r="B62" s="12" t="s">
        <v>101</v>
      </c>
      <c r="C62" s="63" t="str">
        <f aca="false">IF(ISNUMBER(C44),"不適用","")</f>
        <v/>
      </c>
      <c r="D62" s="63" t="str">
        <f aca="false">IF(ISNUMBER(D44),"不適用","")</f>
        <v/>
      </c>
      <c r="E62" s="63" t="str">
        <f aca="false">IF(ISNUMBER(E44),"不適用","")</f>
        <v/>
      </c>
      <c r="F62" s="63" t="str">
        <f aca="false">IF(ISNUMBER(F44),"不適用","")</f>
        <v/>
      </c>
      <c r="G62" s="63" t="str">
        <f aca="false">IF(ISNUMBER(G44),"不適用","")</f>
        <v/>
      </c>
      <c r="H62" s="63" t="str">
        <f aca="false">IF(ISNUMBER(H44),"不適用","")</f>
        <v/>
      </c>
    </row>
    <row r="63" customFormat="false" ht="15" hidden="true" customHeight="false" outlineLevel="1" collapsed="false">
      <c r="A63" s="3" t="s">
        <v>769</v>
      </c>
      <c r="B63" s="12" t="s">
        <v>77</v>
      </c>
      <c r="C63" s="63" t="s">
        <v>699</v>
      </c>
      <c r="D63" s="63" t="s">
        <v>699</v>
      </c>
      <c r="E63" s="63" t="s">
        <v>699</v>
      </c>
      <c r="F63" s="63" t="s">
        <v>699</v>
      </c>
      <c r="G63" s="63" t="s">
        <v>699</v>
      </c>
      <c r="H63" s="63" t="s">
        <v>699</v>
      </c>
    </row>
    <row r="64" customFormat="false" ht="15" hidden="true" customHeight="false" outlineLevel="1" collapsed="false">
      <c r="A64" s="3" t="s">
        <v>770</v>
      </c>
      <c r="B64" s="12" t="s">
        <v>77</v>
      </c>
      <c r="C64" s="63" t="n">
        <f aca="false">IF(AND(ISNUMBER(C30),ISNUMBER(C38),ISNUMBER(C39)),C30/((C38+C39)/2)-1,"不適用")</f>
        <v>-1.05832062288227</v>
      </c>
      <c r="D64" s="63" t="str">
        <f aca="false">IF(AND(ISNUMBER(D30),ISNUMBER(D38),ISNUMBER(D39)),D30/((D38+D39)/2)-1,"不適用")</f>
        <v>不適用</v>
      </c>
      <c r="E64" s="63" t="str">
        <f aca="false">IF(AND(ISNUMBER(E30),ISNUMBER(E38),ISNUMBER(E39)),E30/((E38+E39)/2)-1,"不適用")</f>
        <v>不適用</v>
      </c>
      <c r="F64" s="63" t="str">
        <f aca="false">IF(AND(ISNUMBER(F30),ISNUMBER(F38),ISNUMBER(F39)),F30/((F38+F39)/2)-1,"不適用")</f>
        <v>不適用</v>
      </c>
      <c r="G64" s="63" t="str">
        <f aca="false">IF(AND(ISNUMBER(G30),ISNUMBER(G38),ISNUMBER(G39)),G30/((G38+G39)/2)-1,"不適用")</f>
        <v>不適用</v>
      </c>
      <c r="H64" s="63" t="str">
        <f aca="false">IF(AND(ISNUMBER(H30),ISNUMBER(H38),ISNUMBER(H39)),H30/((H38+H39)/2)-1,"不適用")</f>
        <v>不適用</v>
      </c>
    </row>
    <row r="65" customFormat="false" ht="15" hidden="true" customHeight="false" outlineLevel="1" collapsed="false">
      <c r="A65" s="3" t="s">
        <v>771</v>
      </c>
      <c r="B65" s="12" t="s">
        <v>77</v>
      </c>
      <c r="C65" s="63" t="str">
        <f aca="false">IF(ISNUMBER(C45),IF(ISNUMBER(C30),C45/(C30)-1,"不適用"),"")</f>
        <v/>
      </c>
      <c r="D65" s="63" t="str">
        <f aca="false">IF(ISNUMBER(D45),IF(ISNUMBER(D30),D45/(D30)-1,"不適用"),"")</f>
        <v/>
      </c>
      <c r="E65" s="63" t="str">
        <f aca="false">IF(ISNUMBER(E45),IF(ISNUMBER(E30),E45/(E30)-1,"不適用"),"")</f>
        <v/>
      </c>
      <c r="F65" s="63" t="str">
        <f aca="false">IF(ISNUMBER(F45),IF(ISNUMBER(F30),F45/(F30)-1,"不適用"),"")</f>
        <v/>
      </c>
      <c r="G65" s="63" t="str">
        <f aca="false">IF(ISNUMBER(G45),IF(ISNUMBER(G30),G45/(G30)-1,"不適用"),"")</f>
        <v/>
      </c>
      <c r="H65" s="63" t="str">
        <f aca="false">IF(ISNUMBER(H45),IF(ISNUMBER(H30),H45/(H30)-1,"不適用"),"")</f>
        <v/>
      </c>
    </row>
    <row r="66" customFormat="false" ht="15" hidden="true" customHeight="false" outlineLevel="1" collapsed="false">
      <c r="A66" s="3" t="s">
        <v>772</v>
      </c>
      <c r="B66" s="12" t="s">
        <v>77</v>
      </c>
      <c r="C66" s="63" t="str">
        <f aca="false">IF(ISNUMBER(C45),"不適用","")</f>
        <v/>
      </c>
      <c r="D66" s="63" t="str">
        <f aca="false">IF(ISNUMBER(D45),"不適用","")</f>
        <v/>
      </c>
      <c r="E66" s="63" t="str">
        <f aca="false">IF(ISNUMBER(E45),"不適用","")</f>
        <v/>
      </c>
      <c r="F66" s="63" t="str">
        <f aca="false">IF(ISNUMBER(F45),"不適用","")</f>
        <v/>
      </c>
      <c r="G66" s="63" t="str">
        <f aca="false">IF(ISNUMBER(G45),"不適用","")</f>
        <v/>
      </c>
      <c r="H66" s="63" t="str">
        <f aca="false">IF(ISNUMBER(H45),"不適用","")</f>
        <v/>
      </c>
    </row>
    <row r="67" customFormat="false" ht="15" hidden="true" customHeight="false" outlineLevel="1" collapsed="false">
      <c r="A67" s="3" t="s">
        <v>773</v>
      </c>
      <c r="B67" s="12" t="s">
        <v>77</v>
      </c>
      <c r="C67" s="63" t="str">
        <f aca="false">IF(ISNUMBER(C45),IF(AND(ISNUMBER(C38),ISNUMBER(C39)),C45/((C38+C39)/2)-1,"不適用"),"")</f>
        <v/>
      </c>
      <c r="D67" s="63" t="str">
        <f aca="false">IF(ISNUMBER(D45),IF(AND(ISNUMBER(D38),ISNUMBER(D39)),D45/((D38+D39)/2)-1,"不適用"),"")</f>
        <v/>
      </c>
      <c r="E67" s="63" t="str">
        <f aca="false">IF(ISNUMBER(E45),IF(AND(ISNUMBER(E38),ISNUMBER(E39)),E45/((E38+E39)/2)-1,"不適用"),"")</f>
        <v/>
      </c>
      <c r="F67" s="63" t="str">
        <f aca="false">IF(ISNUMBER(F45),IF(AND(ISNUMBER(F38),ISNUMBER(F39)),F45/((F38+F39)/2)-1,"不適用"),"")</f>
        <v/>
      </c>
      <c r="G67" s="63" t="str">
        <f aca="false">IF(ISNUMBER(G45),IF(AND(ISNUMBER(G38),ISNUMBER(G39)),G45/((G38+G39)/2)-1,"不適用"),"")</f>
        <v/>
      </c>
      <c r="H67" s="63" t="str">
        <f aca="false">IF(ISNUMBER(H45),IF(AND(ISNUMBER(H38),ISNUMBER(H39)),H45/((H38+H39)/2)-1,"不適用"),"")</f>
        <v/>
      </c>
    </row>
    <row r="68" customFormat="false" ht="15" hidden="true" customHeight="false" outlineLevel="1" collapsed="false">
      <c r="A68" s="3" t="s">
        <v>774</v>
      </c>
      <c r="B68" s="12" t="s">
        <v>77</v>
      </c>
      <c r="C68" s="63" t="s">
        <v>699</v>
      </c>
      <c r="D68" s="63" t="s">
        <v>699</v>
      </c>
      <c r="E68" s="63" t="s">
        <v>699</v>
      </c>
      <c r="F68" s="63" t="s">
        <v>699</v>
      </c>
      <c r="G68" s="63" t="s">
        <v>699</v>
      </c>
      <c r="H68" s="63" t="s">
        <v>699</v>
      </c>
    </row>
    <row r="69" customFormat="false" ht="15" hidden="true" customHeight="false" outlineLevel="1" collapsed="false">
      <c r="A69" s="3" t="s">
        <v>775</v>
      </c>
      <c r="B69" s="12" t="s">
        <v>77</v>
      </c>
      <c r="C69" s="63" t="n">
        <f aca="false">IF(AND(ISNUMBER(C31),ISNUMBER(C40),ISNUMBER(C41)),C31/((C40+C41)/2)-1,"不適用")</f>
        <v>-0.16656</v>
      </c>
      <c r="D69" s="63" t="str">
        <f aca="false">IF(AND(ISNUMBER(D31),ISNUMBER(D40),ISNUMBER(D41)),D31/((D40+D41)/2)-1,"不適用")</f>
        <v>不適用</v>
      </c>
      <c r="E69" s="63" t="str">
        <f aca="false">IF(AND(ISNUMBER(E31),ISNUMBER(E40),ISNUMBER(E41)),E31/((E40+E41)/2)-1,"不適用")</f>
        <v>不適用</v>
      </c>
      <c r="F69" s="63" t="str">
        <f aca="false">IF(AND(ISNUMBER(F31),ISNUMBER(F40),ISNUMBER(F41)),F31/((F40+F41)/2)-1,"不適用")</f>
        <v>不適用</v>
      </c>
      <c r="G69" s="63" t="str">
        <f aca="false">IF(AND(ISNUMBER(G31),ISNUMBER(G40),ISNUMBER(G41)),G31/((G40+G41)/2)-1,"不適用")</f>
        <v>不適用</v>
      </c>
      <c r="H69" s="63" t="str">
        <f aca="false">IF(AND(ISNUMBER(H31),ISNUMBER(H40),ISNUMBER(H41)),H31/((H40+H41)/2)-1,"不適用")</f>
        <v>不適用</v>
      </c>
    </row>
    <row r="70" customFormat="false" ht="15" hidden="true" customHeight="false" outlineLevel="1" collapsed="false">
      <c r="A70" s="3" t="s">
        <v>776</v>
      </c>
      <c r="B70" s="12" t="s">
        <v>77</v>
      </c>
      <c r="C70" s="63" t="str">
        <f aca="false">IF(ISNUMBER(C46),IF(ISNUMBER(C31),C46/(C31)-1,"不適用"),"")</f>
        <v/>
      </c>
      <c r="D70" s="63" t="str">
        <f aca="false">IF(ISNUMBER(D46),IF(ISNUMBER(D31),D46/(D31)-1,"不適用"),"")</f>
        <v/>
      </c>
      <c r="E70" s="63" t="str">
        <f aca="false">IF(ISNUMBER(E46),IF(ISNUMBER(E31),E46/(E31)-1,"不適用"),"")</f>
        <v/>
      </c>
      <c r="F70" s="63" t="str">
        <f aca="false">IF(ISNUMBER(F46),IF(ISNUMBER(F31),F46/(F31)-1,"不適用"),"")</f>
        <v/>
      </c>
      <c r="G70" s="63" t="str">
        <f aca="false">IF(ISNUMBER(G46),IF(ISNUMBER(G31),G46/(G31)-1,"不適用"),"")</f>
        <v/>
      </c>
      <c r="H70" s="63" t="str">
        <f aca="false">IF(ISNUMBER(H46),IF(ISNUMBER(H31),H46/(H31)-1,"不適用"),"")</f>
        <v/>
      </c>
    </row>
    <row r="71" customFormat="false" ht="15" hidden="true" customHeight="false" outlineLevel="1" collapsed="false">
      <c r="A71" s="3" t="s">
        <v>777</v>
      </c>
      <c r="B71" s="12" t="s">
        <v>77</v>
      </c>
      <c r="C71" s="63" t="str">
        <f aca="false">IF(ISNUMBER(C46),"不適用","")</f>
        <v/>
      </c>
      <c r="D71" s="63" t="str">
        <f aca="false">IF(ISNUMBER(D46),"不適用","")</f>
        <v/>
      </c>
      <c r="E71" s="63" t="str">
        <f aca="false">IF(ISNUMBER(E46),"不適用","")</f>
        <v/>
      </c>
      <c r="F71" s="63" t="str">
        <f aca="false">IF(ISNUMBER(F46),"不適用","")</f>
        <v/>
      </c>
      <c r="G71" s="63" t="str">
        <f aca="false">IF(ISNUMBER(G46),"不適用","")</f>
        <v/>
      </c>
      <c r="H71" s="63" t="str">
        <f aca="false">IF(ISNUMBER(H46),"不適用","")</f>
        <v/>
      </c>
    </row>
    <row r="72" customFormat="false" ht="15" hidden="true" customHeight="false" outlineLevel="1" collapsed="false">
      <c r="A72" s="3" t="s">
        <v>778</v>
      </c>
      <c r="B72" s="12" t="s">
        <v>77</v>
      </c>
      <c r="C72" s="63" t="str">
        <f aca="false">IF(ISNUMBER(C46),IF(AND(ISNUMBER(C40),ISNUMBER(C41)),C46/((C40+C41)/2)-1,"不適用"),"")</f>
        <v/>
      </c>
      <c r="D72" s="63" t="str">
        <f aca="false">IF(ISNUMBER(D46),IF(AND(ISNUMBER(D40),ISNUMBER(D41)),D46/((D40+D41)/2)-1,"不適用"),"")</f>
        <v/>
      </c>
      <c r="E72" s="63" t="str">
        <f aca="false">IF(ISNUMBER(E46),IF(AND(ISNUMBER(E40),ISNUMBER(E41)),E46/((E40+E41)/2)-1,"不適用"),"")</f>
        <v/>
      </c>
      <c r="F72" s="63" t="str">
        <f aca="false">IF(ISNUMBER(F46),IF(AND(ISNUMBER(F40),ISNUMBER(F41)),F46/((F40+F41)/2)-1,"不適用"),"")</f>
        <v/>
      </c>
      <c r="G72" s="63" t="str">
        <f aca="false">IF(ISNUMBER(G46),IF(AND(ISNUMBER(G40),ISNUMBER(G41)),G46/((G40+G41)/2)-1,"不適用"),"")</f>
        <v/>
      </c>
      <c r="H72" s="63" t="str">
        <f aca="false">IF(ISNUMBER(H46),IF(AND(ISNUMBER(H40),ISNUMBER(H41)),H46/((H40+H41)/2)-1,"不適用"),"")</f>
        <v/>
      </c>
    </row>
    <row r="73" customFormat="false" ht="15" hidden="true" customHeight="false" outlineLevel="1" collapsed="false">
      <c r="A73" s="3" t="s">
        <v>779</v>
      </c>
      <c r="B73" s="12" t="s">
        <v>77</v>
      </c>
      <c r="C73" s="63" t="s">
        <v>699</v>
      </c>
      <c r="D73" s="63" t="s">
        <v>699</v>
      </c>
      <c r="E73" s="63" t="s">
        <v>699</v>
      </c>
      <c r="F73" s="63" t="s">
        <v>699</v>
      </c>
      <c r="G73" s="63" t="s">
        <v>699</v>
      </c>
      <c r="H73" s="63" t="s">
        <v>699</v>
      </c>
    </row>
    <row r="74" customFormat="false" ht="15" hidden="true" customHeight="false" outlineLevel="1" collapsed="false">
      <c r="A74" s="3" t="s">
        <v>780</v>
      </c>
      <c r="B74" s="12" t="s">
        <v>77</v>
      </c>
      <c r="C74" s="63" t="s">
        <v>699</v>
      </c>
      <c r="D74" s="63" t="s">
        <v>699</v>
      </c>
      <c r="E74" s="63" t="s">
        <v>699</v>
      </c>
      <c r="F74" s="63" t="s">
        <v>699</v>
      </c>
      <c r="G74" s="63" t="s">
        <v>699</v>
      </c>
      <c r="H74" s="63" t="s">
        <v>699</v>
      </c>
    </row>
    <row r="75" customFormat="false" ht="15" hidden="true" customHeight="false" outlineLevel="1" collapsed="false">
      <c r="A75" s="3" t="s">
        <v>781</v>
      </c>
      <c r="B75" s="12" t="s">
        <v>77</v>
      </c>
      <c r="C75" s="63" t="str">
        <f aca="false">IF(ISNUMBER(C47),IF(ISNUMBER(C19),C47/(C19)-1,"不適用"),"")</f>
        <v/>
      </c>
      <c r="D75" s="63" t="str">
        <f aca="false">IF(ISNUMBER(D47),IF(ISNUMBER(D19),D47/(D19)-1,"不適用"),"")</f>
        <v/>
      </c>
      <c r="E75" s="63" t="str">
        <f aca="false">IF(ISNUMBER(E47),IF(ISNUMBER(E19),E47/(E19)-1,"不適用"),"")</f>
        <v/>
      </c>
      <c r="F75" s="63" t="str">
        <f aca="false">IF(ISNUMBER(F47),IF(ISNUMBER(F19),F47/(F19)-1,"不適用"),"")</f>
        <v/>
      </c>
      <c r="G75" s="63" t="str">
        <f aca="false">IF(ISNUMBER(G47),IF(ISNUMBER(G19),G47/(G19)-1,"不適用"),"")</f>
        <v/>
      </c>
      <c r="H75" s="63" t="str">
        <f aca="false">IF(ISNUMBER(H47),IF(ISNUMBER(H19),H47/(H19)-1,"不適用"),"")</f>
        <v/>
      </c>
    </row>
    <row r="76" customFormat="false" ht="15" hidden="true" customHeight="false" outlineLevel="1" collapsed="false">
      <c r="A76" s="3" t="s">
        <v>782</v>
      </c>
      <c r="B76" s="12" t="s">
        <v>77</v>
      </c>
      <c r="C76" s="63" t="str">
        <f aca="false">IF(ISNUMBER(C47),"不適用","")</f>
        <v/>
      </c>
      <c r="D76" s="63" t="str">
        <f aca="false">IF(ISNUMBER(D47),"不適用","")</f>
        <v/>
      </c>
      <c r="E76" s="63" t="str">
        <f aca="false">IF(ISNUMBER(E47),"不適用","")</f>
        <v/>
      </c>
      <c r="F76" s="63" t="str">
        <f aca="false">IF(ISNUMBER(F47),"不適用","")</f>
        <v/>
      </c>
      <c r="G76" s="63" t="str">
        <f aca="false">IF(ISNUMBER(G47),"不適用","")</f>
        <v/>
      </c>
      <c r="H76" s="63" t="str">
        <f aca="false">IF(ISNUMBER(H47),"不適用","")</f>
        <v/>
      </c>
    </row>
    <row r="77" customFormat="false" ht="15" hidden="true" customHeight="false" outlineLevel="1" collapsed="false">
      <c r="A77" s="3" t="s">
        <v>783</v>
      </c>
      <c r="B77" s="12" t="s">
        <v>77</v>
      </c>
      <c r="C77" s="63" t="str">
        <f aca="false">IF(ISNUMBER(C47),"不適用","")</f>
        <v/>
      </c>
      <c r="D77" s="63" t="str">
        <f aca="false">IF(ISNUMBER(D47),"不適用","")</f>
        <v/>
      </c>
      <c r="E77" s="63" t="str">
        <f aca="false">IF(ISNUMBER(E47),"不適用","")</f>
        <v/>
      </c>
      <c r="F77" s="63" t="str">
        <f aca="false">IF(ISNUMBER(F47),"不適用","")</f>
        <v/>
      </c>
      <c r="G77" s="63" t="str">
        <f aca="false">IF(ISNUMBER(G47),"不適用","")</f>
        <v/>
      </c>
      <c r="H77" s="63" t="str">
        <f aca="false">IF(ISNUMBER(H47),"不適用","")</f>
        <v/>
      </c>
    </row>
    <row r="78" customFormat="false" ht="15" hidden="true" customHeight="false" outlineLevel="1" collapsed="false">
      <c r="A78" s="3" t="s">
        <v>784</v>
      </c>
      <c r="B78" s="12" t="s">
        <v>77</v>
      </c>
      <c r="C78" s="63" t="n">
        <f aca="false">IF(COUNT(C32,D32)=2,損益!C8/(C32+D32)-1,"不適用")</f>
        <v>0.0201285315872439</v>
      </c>
      <c r="D78" s="63" t="n">
        <f aca="false">IF(COUNT(C32,D32)=2,損益!C8/(C32+D32)-1,"不適用")</f>
        <v>0.0201285315872439</v>
      </c>
      <c r="E78" s="63" t="str">
        <f aca="false">IF(COUNT(E32,F32,G32,H32)=4,損益!D8/(E32+F32+G32+H32)-1,"不適用")</f>
        <v>不適用</v>
      </c>
      <c r="F78" s="63" t="str">
        <f aca="false">IF(COUNT(E32,F32,G32,H32)=4,損益!D8/(E32+F32+G32+H32)-1,"不適用")</f>
        <v>不適用</v>
      </c>
      <c r="G78" s="63" t="str">
        <f aca="false">IF(COUNT(E32,F32,G32,H32)=4,損益!D8/(E32+F32+G32+H32)-1,"不適用")</f>
        <v>不適用</v>
      </c>
      <c r="H78" s="63" t="str">
        <f aca="false">IF(COUNT(E32,F32,G32,H32)=4,損益!D8/(E32+F32+G32+H32)-1,"不適用")</f>
        <v>不適用</v>
      </c>
      <c r="J78" s="7" t="s">
        <v>785</v>
      </c>
    </row>
    <row r="79" customFormat="false" ht="15" hidden="true" customHeight="false" outlineLevel="1" collapsed="false">
      <c r="A79" s="3" t="s">
        <v>786</v>
      </c>
      <c r="B79" s="12" t="s">
        <v>77</v>
      </c>
      <c r="C79" s="63" t="n">
        <f aca="false">損益!C8/((輸入與假設!$C$240+輸入與假設!$D$240)/2-輸入與假設!$E$240)-1</f>
        <v>0.0326500552350557</v>
      </c>
      <c r="D79" s="63" t="n">
        <f aca="false">損益!C8/((輸入與假設!$C$240+輸入與假設!$D$240)/2-輸入與假設!$E$240)-1</f>
        <v>0.0326500552350557</v>
      </c>
      <c r="E79" s="63" t="s">
        <v>699</v>
      </c>
      <c r="F79" s="63" t="s">
        <v>699</v>
      </c>
      <c r="G79" s="63" t="s">
        <v>699</v>
      </c>
      <c r="H79" s="63" t="s">
        <v>699</v>
      </c>
      <c r="J79" s="7" t="s">
        <v>787</v>
      </c>
    </row>
    <row r="80" customFormat="false" ht="15" hidden="true" customHeight="false" outlineLevel="1" collapsed="false">
      <c r="A80" s="3" t="s">
        <v>788</v>
      </c>
      <c r="C80" s="64" t="str">
        <f aca="false">IF(ISNUMBER(C48),IF(ABS(C48)&gt;輸入與假設!$C$218,IF(ISNUMBER(C78),IF(ABS(C78)&lt;=輸入與假設!$C$218,"營收 vs 共識 "&amp;IF(C48&lt;0,"−","+")&amp;TEXT(ABS(C48)*100,"#,##0.0")&amp;"%"&amp;"：拆法（2H26 合計差距 "&amp;IF(C78&lt;0,"−","+")&amp;TEXT(ABS(C78)*100,"#,##0.0")&amp;"%"&amp;"）","營收 vs 共識 "&amp;IF(C48&lt;0,"−","+")&amp;TEXT(ABS(C48)*100,"#,##0.0")&amp;"%"&amp;"：未歸類（差異原因待補）"),"營收 vs 共識 "&amp;IF(C48&lt;0,"−","+")&amp;TEXT(ABS(C48)*100,"#,##0.0")&amp;"%"&amp;"：未歸類（差異原因待補）"),""),"")</f>
        <v/>
      </c>
      <c r="D80" s="64" t="str">
        <f aca="false">IF(ISNUMBER(D48),IF(ABS(D48)&gt;輸入與假設!$C$218,IF(ISNUMBER(D78),IF(ABS(D78)&lt;=輸入與假設!$C$218,"營收 vs 共識 "&amp;IF(D48&lt;0,"−","+")&amp;TEXT(ABS(D48)*100,"#,##0.0")&amp;"%"&amp;"：拆法（2H26 合計差距 "&amp;IF(D78&lt;0,"−","+")&amp;TEXT(ABS(D78)*100,"#,##0.0")&amp;"%"&amp;"）","營收 vs 共識 "&amp;IF(D48&lt;0,"−","+")&amp;TEXT(ABS(D48)*100,"#,##0.0")&amp;"%"&amp;"：未歸類（差異原因待補）"),"營收 vs 共識 "&amp;IF(D48&lt;0,"−","+")&amp;TEXT(ABS(D48)*100,"#,##0.0")&amp;"%"&amp;"：未歸類（差異原因待補）"),""),"")</f>
        <v/>
      </c>
      <c r="E80" s="64" t="str">
        <f aca="false">IF(ISNUMBER(E48),IF(ABS(E48)&gt;輸入與假設!$C$218,IF(ISNUMBER(E78),IF(ABS(E78)&lt;=輸入與假設!$C$218,"營收 vs 共識 "&amp;IF(E48&lt;0,"−","+")&amp;TEXT(ABS(E48)*100,"#,##0.0")&amp;"%"&amp;"：拆法（FY27 合計差距 "&amp;IF(E78&lt;0,"−","+")&amp;TEXT(ABS(E78)*100,"#,##0.0")&amp;"%"&amp;"）","營收 vs 共識 "&amp;IF(E48&lt;0,"−","+")&amp;TEXT(ABS(E48)*100,"#,##0.0")&amp;"%"&amp;"：未歸類（差異原因待補）"),"營收 vs 共識 "&amp;IF(E48&lt;0,"−","+")&amp;TEXT(ABS(E48)*100,"#,##0.0")&amp;"%"&amp;"：未歸類（差異原因待補）"),""),"")</f>
        <v/>
      </c>
      <c r="F80" s="64" t="str">
        <f aca="false">IF(ISNUMBER(F48),IF(ABS(F48)&gt;輸入與假設!$C$218,IF(ISNUMBER(F78),IF(ABS(F78)&lt;=輸入與假設!$C$218,"營收 vs 共識 "&amp;IF(F48&lt;0,"−","+")&amp;TEXT(ABS(F48)*100,"#,##0.0")&amp;"%"&amp;"：拆法（FY27 合計差距 "&amp;IF(F78&lt;0,"−","+")&amp;TEXT(ABS(F78)*100,"#,##0.0")&amp;"%"&amp;"）","營收 vs 共識 "&amp;IF(F48&lt;0,"−","+")&amp;TEXT(ABS(F48)*100,"#,##0.0")&amp;"%"&amp;"：未歸類（差異原因待補）"),"營收 vs 共識 "&amp;IF(F48&lt;0,"−","+")&amp;TEXT(ABS(F48)*100,"#,##0.0")&amp;"%"&amp;"：未歸類（差異原因待補）"),""),"")</f>
        <v/>
      </c>
      <c r="G80" s="64" t="str">
        <f aca="false">IF(ISNUMBER(G48),IF(ABS(G48)&gt;輸入與假設!$C$218,IF(ISNUMBER(G78),IF(ABS(G78)&lt;=輸入與假設!$C$218,"營收 vs 共識 "&amp;IF(G48&lt;0,"−","+")&amp;TEXT(ABS(G48)*100,"#,##0.0")&amp;"%"&amp;"：拆法（FY27 合計差距 "&amp;IF(G78&lt;0,"−","+")&amp;TEXT(ABS(G78)*100,"#,##0.0")&amp;"%"&amp;"）","營收 vs 共識 "&amp;IF(G48&lt;0,"−","+")&amp;TEXT(ABS(G48)*100,"#,##0.0")&amp;"%"&amp;"：未歸類（差異原因待補）"),"營收 vs 共識 "&amp;IF(G48&lt;0,"−","+")&amp;TEXT(ABS(G48)*100,"#,##0.0")&amp;"%"&amp;"：未歸類（差異原因待補）"),""),"")</f>
        <v/>
      </c>
      <c r="H80" s="64" t="str">
        <f aca="false">IF(ISNUMBER(H48),IF(ABS(H48)&gt;輸入與假設!$C$218,IF(ISNUMBER(H78),IF(ABS(H78)&lt;=輸入與假設!$C$218,"營收 vs 共識 "&amp;IF(H48&lt;0,"−","+")&amp;TEXT(ABS(H48)*100,"#,##0.0")&amp;"%"&amp;"：拆法（FY27 合計差距 "&amp;IF(H78&lt;0,"−","+")&amp;TEXT(ABS(H78)*100,"#,##0.0")&amp;"%"&amp;"）","營收 vs 共識 "&amp;IF(H48&lt;0,"−","+")&amp;TEXT(ABS(H48)*100,"#,##0.0")&amp;"%"&amp;"：未歸類（差異原因待補）"),"營收 vs 共識 "&amp;IF(H48&lt;0,"−","+")&amp;TEXT(ABS(H48)*100,"#,##0.0")&amp;"%"&amp;"：未歸類（差異原因待補）"),""),"")</f>
        <v/>
      </c>
    </row>
    <row r="81" customFormat="false" ht="15" hidden="true" customHeight="false" outlineLevel="1" collapsed="false">
      <c r="A81" s="3" t="s">
        <v>789</v>
      </c>
      <c r="C81" s="64" t="str">
        <f aca="false">IF(ISNUMBER(C48),IF(ABS(C48)&gt;輸入與假設!$C$218,IF(ISNUMBER(C78),IF(ABS(C78)&lt;=輸入與假設!$C$218,"拆法","未歸類"),"未歸類"),""),"")</f>
        <v/>
      </c>
      <c r="D81" s="64" t="str">
        <f aca="false">IF(ISNUMBER(D48),IF(ABS(D48)&gt;輸入與假設!$C$218,IF(ISNUMBER(D78),IF(ABS(D78)&lt;=輸入與假設!$C$218,"拆法","未歸類"),"未歸類"),""),"")</f>
        <v/>
      </c>
      <c r="E81" s="64" t="str">
        <f aca="false">IF(ISNUMBER(E48),IF(ABS(E48)&gt;輸入與假設!$C$218,IF(ISNUMBER(E78),IF(ABS(E78)&lt;=輸入與假設!$C$218,"拆法","未歸類"),"未歸類"),""),"")</f>
        <v/>
      </c>
      <c r="F81" s="64" t="str">
        <f aca="false">IF(ISNUMBER(F48),IF(ABS(F48)&gt;輸入與假設!$C$218,IF(ISNUMBER(F78),IF(ABS(F78)&lt;=輸入與假設!$C$218,"拆法","未歸類"),"未歸類"),""),"")</f>
        <v/>
      </c>
      <c r="G81" s="64" t="str">
        <f aca="false">IF(ISNUMBER(G48),IF(ABS(G48)&gt;輸入與假設!$C$218,IF(ISNUMBER(G78),IF(ABS(G78)&lt;=輸入與假設!$C$218,"拆法","未歸類"),"未歸類"),""),"")</f>
        <v/>
      </c>
      <c r="H81" s="64" t="str">
        <f aca="false">IF(ISNUMBER(H48),IF(ABS(H48)&gt;輸入與假設!$C$218,IF(ISNUMBER(H78),IF(ABS(H78)&lt;=輸入與假設!$C$218,"拆法","未歸類"),"未歸類"),""),"")</f>
        <v/>
      </c>
    </row>
    <row r="82" customFormat="false" ht="15" hidden="true" customHeight="false" outlineLevel="1" collapsed="false">
      <c r="A82" s="3" t="s">
        <v>790</v>
      </c>
      <c r="C82" s="64" t="str">
        <f aca="false">IF(ISNUMBER(C49),IF(ABS(C49)&gt;輸入與假設!$C$218,IF(ISNUMBER(C79),IF(ABS(C79)&lt;=輸入與假設!$C$218,"營收 vs 指引中點 "&amp;IF(C49&lt;0,"−","+")&amp;TEXT(ABS(C49)*100,"#,##0.0")&amp;"%"&amp;"：拆法（2H26 合計差距 "&amp;IF(C79&lt;0,"−","+")&amp;TEXT(ABS(C79)*100,"#,##0.0")&amp;"%"&amp;"）","營收 vs 指引中點 "&amp;IF(C49&lt;0,"−","+")&amp;TEXT(ABS(C49)*100,"#,##0.0")&amp;"%"&amp;"：未歸類（差異原因待補）"),"營收 vs 指引中點 "&amp;IF(C49&lt;0,"−","+")&amp;TEXT(ABS(C49)*100,"#,##0.0")&amp;"%"&amp;"：未歸類（差異原因待補）"),""),"")</f>
        <v/>
      </c>
      <c r="D82" s="64" t="str">
        <f aca="false">IF(ISNUMBER(D49),IF(ABS(D49)&gt;輸入與假設!$C$218,IF(ISNUMBER(D79),IF(ABS(D79)&lt;=輸入與假設!$C$218,"營收 vs 指引中點 "&amp;IF(D49&lt;0,"−","+")&amp;TEXT(ABS(D49)*100,"#,##0.0")&amp;"%"&amp;"：拆法（2H26 合計差距 "&amp;IF(D79&lt;0,"−","+")&amp;TEXT(ABS(D79)*100,"#,##0.0")&amp;"%"&amp;"）","營收 vs 指引中點 "&amp;IF(D49&lt;0,"−","+")&amp;TEXT(ABS(D49)*100,"#,##0.0")&amp;"%"&amp;"：未歸類（差異原因待補）"),"營收 vs 指引中點 "&amp;IF(D49&lt;0,"−","+")&amp;TEXT(ABS(D49)*100,"#,##0.0")&amp;"%"&amp;"：未歸類（差異原因待補）"),""),"")</f>
        <v/>
      </c>
      <c r="E82" s="64" t="str">
        <f aca="false">IF(ISNUMBER(E49),IF(ABS(E49)&gt;輸入與假設!$C$218,IF(ISNUMBER(E79),IF(ABS(E79)&lt;=輸入與假設!$C$218,"營收 vs 指引中點 "&amp;IF(E49&lt;0,"−","+")&amp;TEXT(ABS(E49)*100,"#,##0.0")&amp;"%"&amp;"：拆法（FY27 合計差距 "&amp;IF(E79&lt;0,"−","+")&amp;TEXT(ABS(E79)*100,"#,##0.0")&amp;"%"&amp;"）","營收 vs 指引中點 "&amp;IF(E49&lt;0,"−","+")&amp;TEXT(ABS(E49)*100,"#,##0.0")&amp;"%"&amp;"：未歸類（差異原因待補）"),"營收 vs 指引中點 "&amp;IF(E49&lt;0,"−","+")&amp;TEXT(ABS(E49)*100,"#,##0.0")&amp;"%"&amp;"：未歸類（差異原因待補）"),""),"")</f>
        <v/>
      </c>
      <c r="F82" s="64" t="str">
        <f aca="false">IF(ISNUMBER(F49),IF(ABS(F49)&gt;輸入與假設!$C$218,IF(ISNUMBER(F79),IF(ABS(F79)&lt;=輸入與假設!$C$218,"營收 vs 指引中點 "&amp;IF(F49&lt;0,"−","+")&amp;TEXT(ABS(F49)*100,"#,##0.0")&amp;"%"&amp;"：拆法（FY27 合計差距 "&amp;IF(F79&lt;0,"−","+")&amp;TEXT(ABS(F79)*100,"#,##0.0")&amp;"%"&amp;"）","營收 vs 指引中點 "&amp;IF(F49&lt;0,"−","+")&amp;TEXT(ABS(F49)*100,"#,##0.0")&amp;"%"&amp;"：未歸類（差異原因待補）"),"營收 vs 指引中點 "&amp;IF(F49&lt;0,"−","+")&amp;TEXT(ABS(F49)*100,"#,##0.0")&amp;"%"&amp;"：未歸類（差異原因待補）"),""),"")</f>
        <v/>
      </c>
      <c r="G82" s="64" t="str">
        <f aca="false">IF(ISNUMBER(G49),IF(ABS(G49)&gt;輸入與假設!$C$218,IF(ISNUMBER(G79),IF(ABS(G79)&lt;=輸入與假設!$C$218,"營收 vs 指引中點 "&amp;IF(G49&lt;0,"−","+")&amp;TEXT(ABS(G49)*100,"#,##0.0")&amp;"%"&amp;"：拆法（FY27 合計差距 "&amp;IF(G79&lt;0,"−","+")&amp;TEXT(ABS(G79)*100,"#,##0.0")&amp;"%"&amp;"）","營收 vs 指引中點 "&amp;IF(G49&lt;0,"−","+")&amp;TEXT(ABS(G49)*100,"#,##0.0")&amp;"%"&amp;"：未歸類（差異原因待補）"),"營收 vs 指引中點 "&amp;IF(G49&lt;0,"−","+")&amp;TEXT(ABS(G49)*100,"#,##0.0")&amp;"%"&amp;"：未歸類（差異原因待補）"),""),"")</f>
        <v/>
      </c>
      <c r="H82" s="64" t="str">
        <f aca="false">IF(ISNUMBER(H49),IF(ABS(H49)&gt;輸入與假設!$C$218,IF(ISNUMBER(H79),IF(ABS(H79)&lt;=輸入與假設!$C$218,"營收 vs 指引中點 "&amp;IF(H49&lt;0,"−","+")&amp;TEXT(ABS(H49)*100,"#,##0.0")&amp;"%"&amp;"：拆法（FY27 合計差距 "&amp;IF(H79&lt;0,"−","+")&amp;TEXT(ABS(H79)*100,"#,##0.0")&amp;"%"&amp;"）","營收 vs 指引中點 "&amp;IF(H49&lt;0,"−","+")&amp;TEXT(ABS(H49)*100,"#,##0.0")&amp;"%"&amp;"：未歸類（差異原因待補）"),"營收 vs 指引中點 "&amp;IF(H49&lt;0,"−","+")&amp;TEXT(ABS(H49)*100,"#,##0.0")&amp;"%"&amp;"：未歸類（差異原因待補）"),""),"")</f>
        <v/>
      </c>
    </row>
    <row r="83" customFormat="false" ht="15" hidden="true" customHeight="false" outlineLevel="1" collapsed="false">
      <c r="A83" s="3" t="s">
        <v>791</v>
      </c>
      <c r="C83" s="64" t="str">
        <f aca="false">IF(ISNUMBER(C49),IF(ABS(C49)&gt;輸入與假設!$C$218,IF(ISNUMBER(C79),IF(ABS(C79)&lt;=輸入與假設!$C$218,"拆法","未歸類"),"未歸類"),""),"")</f>
        <v/>
      </c>
      <c r="D83" s="64" t="str">
        <f aca="false">IF(ISNUMBER(D49),IF(ABS(D49)&gt;輸入與假設!$C$218,IF(ISNUMBER(D79),IF(ABS(D79)&lt;=輸入與假設!$C$218,"拆法","未歸類"),"未歸類"),""),"")</f>
        <v/>
      </c>
      <c r="E83" s="64" t="str">
        <f aca="false">IF(ISNUMBER(E49),IF(ABS(E49)&gt;輸入與假設!$C$218,IF(ISNUMBER(E79),IF(ABS(E79)&lt;=輸入與假設!$C$218,"拆法","未歸類"),"未歸類"),""),"")</f>
        <v/>
      </c>
      <c r="F83" s="64" t="str">
        <f aca="false">IF(ISNUMBER(F49),IF(ABS(F49)&gt;輸入與假設!$C$218,IF(ISNUMBER(F79),IF(ABS(F79)&lt;=輸入與假設!$C$218,"拆法","未歸類"),"未歸類"),""),"")</f>
        <v/>
      </c>
      <c r="G83" s="64" t="str">
        <f aca="false">IF(ISNUMBER(G49),IF(ABS(G49)&gt;輸入與假設!$C$218,IF(ISNUMBER(G79),IF(ABS(G79)&lt;=輸入與假設!$C$218,"拆法","未歸類"),"未歸類"),""),"")</f>
        <v/>
      </c>
      <c r="H83" s="64" t="str">
        <f aca="false">IF(ISNUMBER(H49),IF(ABS(H49)&gt;輸入與假設!$C$218,IF(ISNUMBER(H79),IF(ABS(H79)&lt;=輸入與假設!$C$218,"拆法","未歸類"),"未歸類"),""),"")</f>
        <v/>
      </c>
    </row>
    <row r="84" customFormat="false" ht="15" hidden="true" customHeight="false" outlineLevel="1" collapsed="false">
      <c r="A84" s="3" t="s">
        <v>792</v>
      </c>
      <c r="C84" s="64"/>
      <c r="D84" s="64"/>
      <c r="E84" s="64"/>
      <c r="F84" s="64"/>
      <c r="G84" s="64"/>
      <c r="H84" s="64"/>
    </row>
    <row r="85" customFormat="false" ht="15" hidden="true" customHeight="false" outlineLevel="1" collapsed="false">
      <c r="A85" s="3" t="s">
        <v>793</v>
      </c>
      <c r="C85" s="64"/>
      <c r="D85" s="64"/>
      <c r="E85" s="64"/>
      <c r="F85" s="64"/>
      <c r="G85" s="64"/>
      <c r="H85" s="64"/>
    </row>
    <row r="86" customFormat="false" ht="15" hidden="true" customHeight="false" outlineLevel="1" collapsed="false">
      <c r="A86" s="3" t="s">
        <v>794</v>
      </c>
      <c r="B86" s="12" t="s">
        <v>77</v>
      </c>
      <c r="C86" s="63" t="n">
        <f aca="false">IF(COUNT(C33,D33)=2,損益!C19/(C33+D33)-1,"不適用")</f>
        <v>0.00397855987055018</v>
      </c>
      <c r="D86" s="63" t="n">
        <f aca="false">IF(COUNT(C33,D33)=2,損益!C19/(C33+D33)-1,"不適用")</f>
        <v>0.00397855987055018</v>
      </c>
      <c r="E86" s="63" t="str">
        <f aca="false">IF(COUNT(E33,F33,G33,H33)=4,損益!D19/(E33+F33+G33+H33)-1,"不適用")</f>
        <v>不適用</v>
      </c>
      <c r="F86" s="63" t="str">
        <f aca="false">IF(COUNT(E33,F33,G33,H33)=4,損益!D19/(E33+F33+G33+H33)-1,"不適用")</f>
        <v>不適用</v>
      </c>
      <c r="G86" s="63" t="str">
        <f aca="false">IF(COUNT(E33,F33,G33,H33)=4,損益!D19/(E33+F33+G33+H33)-1,"不適用")</f>
        <v>不適用</v>
      </c>
      <c r="H86" s="63" t="str">
        <f aca="false">IF(COUNT(E33,F33,G33,H33)=4,損益!D19/(E33+F33+G33+H33)-1,"不適用")</f>
        <v>不適用</v>
      </c>
      <c r="J86" s="7" t="s">
        <v>785</v>
      </c>
    </row>
    <row r="87" customFormat="false" ht="15" hidden="true" customHeight="false" outlineLevel="1" collapsed="false">
      <c r="A87" s="3" t="s">
        <v>795</v>
      </c>
      <c r="C87" s="64" t="str">
        <f aca="false">IF(ISNUMBER(C53),IF(ABS(C53)&gt;輸入與假設!$C$218,IF(ISNUMBER(C86),IF(ABS(C86)&lt;=輸入與假設!$C$218,"調整後 EBITDA vs 共識 "&amp;IF(C53&lt;0,"−","+")&amp;TEXT(ABS(C53)*100,"#,##0.0")&amp;"%"&amp;"：拆法（2H26 合計差距 "&amp;IF(C86&lt;0,"−","+")&amp;TEXT(ABS(C86)*100,"#,##0.0")&amp;"%"&amp;"）","調整後 EBITDA vs 共識 "&amp;IF(C53&lt;0,"−","+")&amp;TEXT(ABS(C53)*100,"#,##0.0")&amp;"%"&amp;"：未歸類（差異原因待補）"),"調整後 EBITDA vs 共識 "&amp;IF(C53&lt;0,"−","+")&amp;TEXT(ABS(C53)*100,"#,##0.0")&amp;"%"&amp;"：未歸類（差異原因待補）"),""),"")</f>
        <v>調整後 EBITDA vs 共識 +5.1%：拆法（2H26 合計差距 +0.4%）</v>
      </c>
      <c r="D87" s="64" t="str">
        <f aca="false">IF(ISNUMBER(D53),IF(ABS(D53)&gt;輸入與假設!$C$218,IF(ISNUMBER(D86),IF(ABS(D86)&lt;=輸入與假設!$C$218,"調整後 EBITDA vs 共識 "&amp;IF(D53&lt;0,"−","+")&amp;TEXT(ABS(D53)*100,"#,##0.0")&amp;"%"&amp;"：拆法（2H26 合計差距 "&amp;IF(D86&lt;0,"−","+")&amp;TEXT(ABS(D86)*100,"#,##0.0")&amp;"%"&amp;"）","調整後 EBITDA vs 共識 "&amp;IF(D53&lt;0,"−","+")&amp;TEXT(ABS(D53)*100,"#,##0.0")&amp;"%"&amp;"：未歸類（差異原因待補）"),"調整後 EBITDA vs 共識 "&amp;IF(D53&lt;0,"−","+")&amp;TEXT(ABS(D53)*100,"#,##0.0")&amp;"%"&amp;"：未歸類（差異原因待補）"),""),"")</f>
        <v/>
      </c>
      <c r="E87" s="64" t="str">
        <f aca="false">IF(ISNUMBER(E53),IF(ABS(E53)&gt;輸入與假設!$C$218,IF(ISNUMBER(E86),IF(ABS(E86)&lt;=輸入與假設!$C$218,"調整後 EBITDA vs 共識 "&amp;IF(E53&lt;0,"−","+")&amp;TEXT(ABS(E53)*100,"#,##0.0")&amp;"%"&amp;"：拆法（FY27 合計差距 "&amp;IF(E86&lt;0,"−","+")&amp;TEXT(ABS(E86)*100,"#,##0.0")&amp;"%"&amp;"）","調整後 EBITDA vs 共識 "&amp;IF(E53&lt;0,"−","+")&amp;TEXT(ABS(E53)*100,"#,##0.0")&amp;"%"&amp;"：未歸類（差異原因待補）"),"調整後 EBITDA vs 共識 "&amp;IF(E53&lt;0,"−","+")&amp;TEXT(ABS(E53)*100,"#,##0.0")&amp;"%"&amp;"：未歸類（差異原因待補）"),""),"")</f>
        <v/>
      </c>
      <c r="F87" s="64" t="str">
        <f aca="false">IF(ISNUMBER(F53),IF(ABS(F53)&gt;輸入與假設!$C$218,IF(ISNUMBER(F86),IF(ABS(F86)&lt;=輸入與假設!$C$218,"調整後 EBITDA vs 共識 "&amp;IF(F53&lt;0,"−","+")&amp;TEXT(ABS(F53)*100,"#,##0.0")&amp;"%"&amp;"：拆法（FY27 合計差距 "&amp;IF(F86&lt;0,"−","+")&amp;TEXT(ABS(F86)*100,"#,##0.0")&amp;"%"&amp;"）","調整後 EBITDA vs 共識 "&amp;IF(F53&lt;0,"−","+")&amp;TEXT(ABS(F53)*100,"#,##0.0")&amp;"%"&amp;"：未歸類（差異原因待補）"),"調整後 EBITDA vs 共識 "&amp;IF(F53&lt;0,"−","+")&amp;TEXT(ABS(F53)*100,"#,##0.0")&amp;"%"&amp;"：未歸類（差異原因待補）"),""),"")</f>
        <v/>
      </c>
      <c r="G87" s="64" t="str">
        <f aca="false">IF(ISNUMBER(G53),IF(ABS(G53)&gt;輸入與假設!$C$218,IF(ISNUMBER(G86),IF(ABS(G86)&lt;=輸入與假設!$C$218,"調整後 EBITDA vs 共識 "&amp;IF(G53&lt;0,"−","+")&amp;TEXT(ABS(G53)*100,"#,##0.0")&amp;"%"&amp;"：拆法（FY27 合計差距 "&amp;IF(G86&lt;0,"−","+")&amp;TEXT(ABS(G86)*100,"#,##0.0")&amp;"%"&amp;"）","調整後 EBITDA vs 共識 "&amp;IF(G53&lt;0,"−","+")&amp;TEXT(ABS(G53)*100,"#,##0.0")&amp;"%"&amp;"：未歸類（差異原因待補）"),"調整後 EBITDA vs 共識 "&amp;IF(G53&lt;0,"−","+")&amp;TEXT(ABS(G53)*100,"#,##0.0")&amp;"%"&amp;"：未歸類（差異原因待補）"),""),"")</f>
        <v/>
      </c>
      <c r="H87" s="64" t="str">
        <f aca="false">IF(ISNUMBER(H53),IF(ABS(H53)&gt;輸入與假設!$C$218,IF(ISNUMBER(H86),IF(ABS(H86)&lt;=輸入與假設!$C$218,"調整後 EBITDA vs 共識 "&amp;IF(H53&lt;0,"−","+")&amp;TEXT(ABS(H53)*100,"#,##0.0")&amp;"%"&amp;"：拆法（FY27 合計差距 "&amp;IF(H86&lt;0,"−","+")&amp;TEXT(ABS(H86)*100,"#,##0.0")&amp;"%"&amp;"）","調整後 EBITDA vs 共識 "&amp;IF(H53&lt;0,"−","+")&amp;TEXT(ABS(H53)*100,"#,##0.0")&amp;"%"&amp;"：未歸類（差異原因待補）"),"調整後 EBITDA vs 共識 "&amp;IF(H53&lt;0,"−","+")&amp;TEXT(ABS(H53)*100,"#,##0.0")&amp;"%"&amp;"：未歸類（差異原因待補）"),""),"")</f>
        <v/>
      </c>
    </row>
    <row r="88" customFormat="false" ht="15" hidden="true" customHeight="false" outlineLevel="1" collapsed="false">
      <c r="A88" s="3" t="s">
        <v>796</v>
      </c>
      <c r="C88" s="64" t="str">
        <f aca="false">IF(ISNUMBER(C53),IF(ABS(C53)&gt;輸入與假設!$C$218,IF(ISNUMBER(C86),IF(ABS(C86)&lt;=輸入與假設!$C$218,"拆法","未歸類"),"未歸類"),""),"")</f>
        <v>拆法</v>
      </c>
      <c r="D88" s="64" t="str">
        <f aca="false">IF(ISNUMBER(D53),IF(ABS(D53)&gt;輸入與假設!$C$218,IF(ISNUMBER(D86),IF(ABS(D86)&lt;=輸入與假設!$C$218,"拆法","未歸類"),"未歸類"),""),"")</f>
        <v/>
      </c>
      <c r="E88" s="64" t="str">
        <f aca="false">IF(ISNUMBER(E53),IF(ABS(E53)&gt;輸入與假設!$C$218,IF(ISNUMBER(E86),IF(ABS(E86)&lt;=輸入與假設!$C$218,"拆法","未歸類"),"未歸類"),""),"")</f>
        <v/>
      </c>
      <c r="F88" s="64" t="str">
        <f aca="false">IF(ISNUMBER(F53),IF(ABS(F53)&gt;輸入與假設!$C$218,IF(ISNUMBER(F86),IF(ABS(F86)&lt;=輸入與假設!$C$218,"拆法","未歸類"),"未歸類"),""),"")</f>
        <v/>
      </c>
      <c r="G88" s="64" t="str">
        <f aca="false">IF(ISNUMBER(G53),IF(ABS(G53)&gt;輸入與假設!$C$218,IF(ISNUMBER(G86),IF(ABS(G86)&lt;=輸入與假設!$C$218,"拆法","未歸類"),"未歸類"),""),"")</f>
        <v/>
      </c>
      <c r="H88" s="64" t="str">
        <f aca="false">IF(ISNUMBER(H53),IF(ABS(H53)&gt;輸入與假設!$C$218,IF(ISNUMBER(H86),IF(ABS(H86)&lt;=輸入與假設!$C$218,"拆法","未歸類"),"未歸類"),""),"")</f>
        <v/>
      </c>
    </row>
    <row r="89" customFormat="false" ht="15" hidden="true" customHeight="false" outlineLevel="1" collapsed="false">
      <c r="A89" s="3" t="s">
        <v>797</v>
      </c>
      <c r="C89" s="64" t="str">
        <f aca="false">IF(ISNUMBER(C54),IF(ABS(C54)&gt;輸入與假設!$C$218,"調整後 EBITDA vs 指引中點 "&amp;IF(C54&lt;0,"−","+")&amp;TEXT(ABS(C54)*100,"#,##0.0")&amp;"%"&amp;"：未歸類（差異原因待補）",""),"")</f>
        <v/>
      </c>
      <c r="D89" s="64" t="str">
        <f aca="false">IF(ISNUMBER(D54),IF(ABS(D54)&gt;輸入與假設!$C$218,"調整後 EBITDA vs 指引中點 "&amp;IF(D54&lt;0,"−","+")&amp;TEXT(ABS(D54)*100,"#,##0.0")&amp;"%"&amp;"：未歸類（差異原因待補）",""),"")</f>
        <v/>
      </c>
      <c r="E89" s="64" t="str">
        <f aca="false">IF(ISNUMBER(E54),IF(ABS(E54)&gt;輸入與假設!$C$218,"調整後 EBITDA vs 指引中點 "&amp;IF(E54&lt;0,"−","+")&amp;TEXT(ABS(E54)*100,"#,##0.0")&amp;"%"&amp;"：未歸類（差異原因待補）",""),"")</f>
        <v/>
      </c>
      <c r="F89" s="64" t="str">
        <f aca="false">IF(ISNUMBER(F54),IF(ABS(F54)&gt;輸入與假設!$C$218,"調整後 EBITDA vs 指引中點 "&amp;IF(F54&lt;0,"−","+")&amp;TEXT(ABS(F54)*100,"#,##0.0")&amp;"%"&amp;"：未歸類（差異原因待補）",""),"")</f>
        <v/>
      </c>
      <c r="G89" s="64" t="str">
        <f aca="false">IF(ISNUMBER(G54),IF(ABS(G54)&gt;輸入與假設!$C$218,"調整後 EBITDA vs 指引中點 "&amp;IF(G54&lt;0,"−","+")&amp;TEXT(ABS(G54)*100,"#,##0.0")&amp;"%"&amp;"：未歸類（差異原因待補）",""),"")</f>
        <v/>
      </c>
      <c r="H89" s="64" t="str">
        <f aca="false">IF(ISNUMBER(H54),IF(ABS(H54)&gt;輸入與假設!$C$218,"調整後 EBITDA vs 指引中點 "&amp;IF(H54&lt;0,"−","+")&amp;TEXT(ABS(H54)*100,"#,##0.0")&amp;"%"&amp;"：未歸類（差異原因待補）",""),"")</f>
        <v/>
      </c>
    </row>
    <row r="90" customFormat="false" ht="15" hidden="true" customHeight="false" outlineLevel="1" collapsed="false">
      <c r="A90" s="3" t="s">
        <v>798</v>
      </c>
      <c r="C90" s="64" t="str">
        <f aca="false">IF(ISNUMBER(C54),IF(ABS(C54)&gt;輸入與假設!$C$218,"未歸類",""),"")</f>
        <v/>
      </c>
      <c r="D90" s="64" t="str">
        <f aca="false">IF(ISNUMBER(D54),IF(ABS(D54)&gt;輸入與假設!$C$218,"未歸類",""),"")</f>
        <v/>
      </c>
      <c r="E90" s="64" t="str">
        <f aca="false">IF(ISNUMBER(E54),IF(ABS(E54)&gt;輸入與假設!$C$218,"未歸類",""),"")</f>
        <v/>
      </c>
      <c r="F90" s="64" t="str">
        <f aca="false">IF(ISNUMBER(F54),IF(ABS(F54)&gt;輸入與假設!$C$218,"未歸類",""),"")</f>
        <v/>
      </c>
      <c r="G90" s="64" t="str">
        <f aca="false">IF(ISNUMBER(G54),IF(ABS(G54)&gt;輸入與假設!$C$218,"未歸類",""),"")</f>
        <v/>
      </c>
      <c r="H90" s="64" t="str">
        <f aca="false">IF(ISNUMBER(H54),IF(ABS(H54)&gt;輸入與假設!$C$218,"未歸類",""),"")</f>
        <v/>
      </c>
    </row>
    <row r="91" customFormat="false" ht="15" hidden="true" customHeight="false" outlineLevel="1" collapsed="false">
      <c r="A91" s="3" t="s">
        <v>799</v>
      </c>
      <c r="C91" s="64"/>
      <c r="D91" s="64"/>
      <c r="E91" s="64"/>
      <c r="F91" s="64"/>
      <c r="G91" s="64"/>
      <c r="H91" s="64"/>
    </row>
    <row r="92" customFormat="false" ht="15" hidden="true" customHeight="false" outlineLevel="1" collapsed="false">
      <c r="A92" s="3" t="s">
        <v>800</v>
      </c>
      <c r="C92" s="64"/>
      <c r="D92" s="64"/>
      <c r="E92" s="64"/>
      <c r="F92" s="64"/>
      <c r="G92" s="64"/>
      <c r="H92" s="64"/>
    </row>
    <row r="93" customFormat="false" ht="15" hidden="true" customHeight="false" outlineLevel="1" collapsed="false">
      <c r="A93" s="3" t="s">
        <v>801</v>
      </c>
      <c r="C93" s="64" t="str">
        <f aca="false">IF(ISNUMBER(C63),IF(ABS(C63)&gt;輸入與假設!$C$218,"調整後營業利益 vs 共識 "&amp;IF(C63&lt;0,"−","+")&amp;TEXT(ABS(C63)*100,"#,##0.0")&amp;"%"&amp;"：未歸類（差異原因待補）",""),"")</f>
        <v/>
      </c>
      <c r="D93" s="64" t="str">
        <f aca="false">IF(ISNUMBER(D63),IF(ABS(D63)&gt;輸入與假設!$C$218,"調整後營業利益 vs 共識 "&amp;IF(D63&lt;0,"−","+")&amp;TEXT(ABS(D63)*100,"#,##0.0")&amp;"%"&amp;"：未歸類（差異原因待補）",""),"")</f>
        <v/>
      </c>
      <c r="E93" s="64" t="str">
        <f aca="false">IF(ISNUMBER(E63),IF(ABS(E63)&gt;輸入與假設!$C$218,"調整後營業利益 vs 共識 "&amp;IF(E63&lt;0,"−","+")&amp;TEXT(ABS(E63)*100,"#,##0.0")&amp;"%"&amp;"：未歸類（差異原因待補）",""),"")</f>
        <v/>
      </c>
      <c r="F93" s="64" t="str">
        <f aca="false">IF(ISNUMBER(F63),IF(ABS(F63)&gt;輸入與假設!$C$218,"調整後營業利益 vs 共識 "&amp;IF(F63&lt;0,"−","+")&amp;TEXT(ABS(F63)*100,"#,##0.0")&amp;"%"&amp;"：未歸類（差異原因待補）",""),"")</f>
        <v/>
      </c>
      <c r="G93" s="64" t="str">
        <f aca="false">IF(ISNUMBER(G63),IF(ABS(G63)&gt;輸入與假設!$C$218,"調整後營業利益 vs 共識 "&amp;IF(G63&lt;0,"−","+")&amp;TEXT(ABS(G63)*100,"#,##0.0")&amp;"%"&amp;"：未歸類（差異原因待補）",""),"")</f>
        <v/>
      </c>
      <c r="H93" s="64" t="str">
        <f aca="false">IF(ISNUMBER(H63),IF(ABS(H63)&gt;輸入與假設!$C$218,"調整後營業利益 vs 共識 "&amp;IF(H63&lt;0,"−","+")&amp;TEXT(ABS(H63)*100,"#,##0.0")&amp;"%"&amp;"：未歸類（差異原因待補）",""),"")</f>
        <v/>
      </c>
    </row>
    <row r="94" customFormat="false" ht="15" hidden="true" customHeight="false" outlineLevel="1" collapsed="false">
      <c r="A94" s="3" t="s">
        <v>802</v>
      </c>
      <c r="C94" s="64" t="str">
        <f aca="false">IF(ISNUMBER(C63),IF(ABS(C63)&gt;輸入與假設!$C$218,"未歸類",""),"")</f>
        <v/>
      </c>
      <c r="D94" s="64" t="str">
        <f aca="false">IF(ISNUMBER(D63),IF(ABS(D63)&gt;輸入與假設!$C$218,"未歸類",""),"")</f>
        <v/>
      </c>
      <c r="E94" s="64" t="str">
        <f aca="false">IF(ISNUMBER(E63),IF(ABS(E63)&gt;輸入與假設!$C$218,"未歸類",""),"")</f>
        <v/>
      </c>
      <c r="F94" s="64" t="str">
        <f aca="false">IF(ISNUMBER(F63),IF(ABS(F63)&gt;輸入與假設!$C$218,"未歸類",""),"")</f>
        <v/>
      </c>
      <c r="G94" s="64" t="str">
        <f aca="false">IF(ISNUMBER(G63),IF(ABS(G63)&gt;輸入與假設!$C$218,"未歸類",""),"")</f>
        <v/>
      </c>
      <c r="H94" s="64" t="str">
        <f aca="false">IF(ISNUMBER(H63),IF(ABS(H63)&gt;輸入與假設!$C$218,"未歸類",""),"")</f>
        <v/>
      </c>
    </row>
    <row r="95" customFormat="false" ht="15" hidden="true" customHeight="false" outlineLevel="1" collapsed="false">
      <c r="A95" s="3" t="s">
        <v>803</v>
      </c>
      <c r="C95" s="64" t="str">
        <f aca="false">IF(ISNUMBER(C64),IF(ABS(C64)&gt;輸入與假設!$C$218,"調整後營業利益 vs 指引中點 "&amp;IF(C64&lt;0,"−","+")&amp;TEXT(ABS(C64)*100,"#,##0.0")&amp;"%"&amp;"：已知限制（"&amp;"模型車隊折舊 "&amp;IF(C29&lt;0,"−","")&amp;TEXT(ABS(C29),"#,##0.00")&amp;" 高於最新一季實際 "&amp;IF(1.393&lt;0,"−","")&amp;TEXT(ABS(1.393),"#,##0.00")&amp;"，營業利益因此偏低；待辦 6 修正"&amp;"）",""),"")</f>
        <v>調整後營業利益 vs 指引中點 −105.8%：已知限制（模型車隊折舊 2.16 高於最新一季實際 1.39，營業利益因此偏低；待辦 6 修正）</v>
      </c>
      <c r="D95" s="64" t="str">
        <f aca="false">IF(ISNUMBER(D64),IF(ABS(D64)&gt;輸入與假設!$C$218,"調整後營業利益 vs 指引中點 "&amp;IF(D64&lt;0,"−","+")&amp;TEXT(ABS(D64)*100,"#,##0.0")&amp;"%"&amp;"：已知限制（"&amp;"模型車隊折舊 "&amp;IF(D29&lt;0,"−","")&amp;TEXT(ABS(D29),"#,##0.00")&amp;" 高於最新一季實際 "&amp;IF(1.393&lt;0,"−","")&amp;TEXT(ABS(1.393),"#,##0.00")&amp;"，營業利益因此偏低；待辦 6 修正"&amp;"）",""),"")</f>
        <v/>
      </c>
      <c r="E95" s="64" t="str">
        <f aca="false">IF(ISNUMBER(E64),IF(ABS(E64)&gt;輸入與假設!$C$218,"調整後營業利益 vs 指引中點 "&amp;IF(E64&lt;0,"−","+")&amp;TEXT(ABS(E64)*100,"#,##0.0")&amp;"%"&amp;"：已知限制（"&amp;"模型車隊折舊 "&amp;IF(E29&lt;0,"−","")&amp;TEXT(ABS(E29),"#,##0.00")&amp;" 高於最新一季實際 "&amp;IF(1.393&lt;0,"−","")&amp;TEXT(ABS(1.393),"#,##0.00")&amp;"，營業利益因此偏低；待辦 6 修正"&amp;"）",""),"")</f>
        <v/>
      </c>
      <c r="F95" s="64" t="str">
        <f aca="false">IF(ISNUMBER(F64),IF(ABS(F64)&gt;輸入與假設!$C$218,"調整後營業利益 vs 指引中點 "&amp;IF(F64&lt;0,"−","+")&amp;TEXT(ABS(F64)*100,"#,##0.0")&amp;"%"&amp;"：已知限制（"&amp;"模型車隊折舊 "&amp;IF(F29&lt;0,"−","")&amp;TEXT(ABS(F29),"#,##0.00")&amp;" 高於最新一季實際 "&amp;IF(1.393&lt;0,"−","")&amp;TEXT(ABS(1.393),"#,##0.00")&amp;"，營業利益因此偏低；待辦 6 修正"&amp;"）",""),"")</f>
        <v/>
      </c>
      <c r="G95" s="64" t="str">
        <f aca="false">IF(ISNUMBER(G64),IF(ABS(G64)&gt;輸入與假設!$C$218,"調整後營業利益 vs 指引中點 "&amp;IF(G64&lt;0,"−","+")&amp;TEXT(ABS(G64)*100,"#,##0.0")&amp;"%"&amp;"：已知限制（"&amp;"模型車隊折舊 "&amp;IF(G29&lt;0,"−","")&amp;TEXT(ABS(G29),"#,##0.00")&amp;" 高於最新一季實際 "&amp;IF(1.393&lt;0,"−","")&amp;TEXT(ABS(1.393),"#,##0.00")&amp;"，營業利益因此偏低；待辦 6 修正"&amp;"）",""),"")</f>
        <v/>
      </c>
      <c r="H95" s="64" t="str">
        <f aca="false">IF(ISNUMBER(H64),IF(ABS(H64)&gt;輸入與假設!$C$218,"調整後營業利益 vs 指引中點 "&amp;IF(H64&lt;0,"−","+")&amp;TEXT(ABS(H64)*100,"#,##0.0")&amp;"%"&amp;"：已知限制（"&amp;"模型車隊折舊 "&amp;IF(H29&lt;0,"−","")&amp;TEXT(ABS(H29),"#,##0.00")&amp;" 高於最新一季實際 "&amp;IF(1.393&lt;0,"−","")&amp;TEXT(ABS(1.393),"#,##0.00")&amp;"，營業利益因此偏低；待辦 6 修正"&amp;"）",""),"")</f>
        <v/>
      </c>
    </row>
    <row r="96" customFormat="false" ht="15" hidden="true" customHeight="false" outlineLevel="1" collapsed="false">
      <c r="A96" s="3" t="s">
        <v>804</v>
      </c>
      <c r="C96" s="64" t="str">
        <f aca="false">IF(ISNUMBER(C64),IF(ABS(C64)&gt;輸入與假設!$C$218,"已知限制",""),"")</f>
        <v>已知限制</v>
      </c>
      <c r="D96" s="64" t="str">
        <f aca="false">IF(ISNUMBER(D64),IF(ABS(D64)&gt;輸入與假設!$C$218,"已知限制",""),"")</f>
        <v/>
      </c>
      <c r="E96" s="64" t="str">
        <f aca="false">IF(ISNUMBER(E64),IF(ABS(E64)&gt;輸入與假設!$C$218,"已知限制",""),"")</f>
        <v/>
      </c>
      <c r="F96" s="64" t="str">
        <f aca="false">IF(ISNUMBER(F64),IF(ABS(F64)&gt;輸入與假設!$C$218,"已知限制",""),"")</f>
        <v/>
      </c>
      <c r="G96" s="64" t="str">
        <f aca="false">IF(ISNUMBER(G64),IF(ABS(G64)&gt;輸入與假設!$C$218,"已知限制",""),"")</f>
        <v/>
      </c>
      <c r="H96" s="64" t="str">
        <f aca="false">IF(ISNUMBER(H64),IF(ABS(H64)&gt;輸入與假設!$C$218,"已知限制",""),"")</f>
        <v/>
      </c>
    </row>
    <row r="97" customFormat="false" ht="15" hidden="true" customHeight="false" outlineLevel="1" collapsed="false">
      <c r="A97" s="3" t="s">
        <v>805</v>
      </c>
      <c r="C97" s="64"/>
      <c r="D97" s="64"/>
      <c r="E97" s="64"/>
      <c r="F97" s="64"/>
      <c r="G97" s="64"/>
      <c r="H97" s="64"/>
    </row>
    <row r="98" customFormat="false" ht="15" hidden="true" customHeight="false" outlineLevel="1" collapsed="false">
      <c r="A98" s="3" t="s">
        <v>806</v>
      </c>
      <c r="C98" s="64"/>
      <c r="D98" s="64"/>
      <c r="E98" s="64"/>
      <c r="F98" s="64"/>
      <c r="G98" s="64"/>
      <c r="H98" s="64"/>
    </row>
    <row r="99" customFormat="false" ht="15" hidden="true" customHeight="false" outlineLevel="1" collapsed="false">
      <c r="A99" s="3" t="s">
        <v>807</v>
      </c>
      <c r="B99" s="12" t="s">
        <v>77</v>
      </c>
      <c r="C99" s="63" t="n">
        <f aca="false">輸入與假設!C$73/((輸入與假設!$C$241+輸入與假設!$D$241)/2-輸入與假設!$E$241)-1</f>
        <v>-0.00119840851349406</v>
      </c>
      <c r="D99" s="63" t="n">
        <f aca="false">輸入與假設!C$73/((輸入與假設!$C$241+輸入與假設!$D$241)/2-輸入與假設!$E$241)-1</f>
        <v>-0.00119840851349406</v>
      </c>
      <c r="E99" s="63" t="s">
        <v>699</v>
      </c>
      <c r="F99" s="63" t="s">
        <v>699</v>
      </c>
      <c r="G99" s="63" t="s">
        <v>699</v>
      </c>
      <c r="H99" s="63" t="s">
        <v>699</v>
      </c>
      <c r="J99" s="7" t="s">
        <v>787</v>
      </c>
    </row>
    <row r="100" customFormat="false" ht="15" hidden="true" customHeight="false" outlineLevel="1" collapsed="false">
      <c r="A100" s="3" t="s">
        <v>808</v>
      </c>
      <c r="C100" s="64" t="str">
        <f aca="false">IF(ISNUMBER(C68),IF(ABS(C68)&gt;輸入與假設!$C$218,"CapEx（毛額） vs 共識 "&amp;IF(C68&lt;0,"−","+")&amp;TEXT(ABS(C68)*100,"#,##0.0")&amp;"%"&amp;"：未歸類（差異原因待補）",""),"")</f>
        <v/>
      </c>
      <c r="D100" s="64" t="str">
        <f aca="false">IF(ISNUMBER(D68),IF(ABS(D68)&gt;輸入與假設!$C$218,"CapEx（毛額） vs 共識 "&amp;IF(D68&lt;0,"−","+")&amp;TEXT(ABS(D68)*100,"#,##0.0")&amp;"%"&amp;"：未歸類（差異原因待補）",""),"")</f>
        <v/>
      </c>
      <c r="E100" s="64" t="str">
        <f aca="false">IF(ISNUMBER(E68),IF(ABS(E68)&gt;輸入與假設!$C$218,"CapEx（毛額） vs 共識 "&amp;IF(E68&lt;0,"−","+")&amp;TEXT(ABS(E68)*100,"#,##0.0")&amp;"%"&amp;"：未歸類（差異原因待補）",""),"")</f>
        <v/>
      </c>
      <c r="F100" s="64" t="str">
        <f aca="false">IF(ISNUMBER(F68),IF(ABS(F68)&gt;輸入與假設!$C$218,"CapEx（毛額） vs 共識 "&amp;IF(F68&lt;0,"−","+")&amp;TEXT(ABS(F68)*100,"#,##0.0")&amp;"%"&amp;"：未歸類（差異原因待補）",""),"")</f>
        <v/>
      </c>
      <c r="G100" s="64" t="str">
        <f aca="false">IF(ISNUMBER(G68),IF(ABS(G68)&gt;輸入與假設!$C$218,"CapEx（毛額） vs 共識 "&amp;IF(G68&lt;0,"−","+")&amp;TEXT(ABS(G68)*100,"#,##0.0")&amp;"%"&amp;"：未歸類（差異原因待補）",""),"")</f>
        <v/>
      </c>
      <c r="H100" s="64" t="str">
        <f aca="false">IF(ISNUMBER(H68),IF(ABS(H68)&gt;輸入與假設!$C$218,"CapEx（毛額） vs 共識 "&amp;IF(H68&lt;0,"−","+")&amp;TEXT(ABS(H68)*100,"#,##0.0")&amp;"%"&amp;"：未歸類（差異原因待補）",""),"")</f>
        <v/>
      </c>
    </row>
    <row r="101" customFormat="false" ht="15" hidden="true" customHeight="false" outlineLevel="1" collapsed="false">
      <c r="A101" s="3" t="s">
        <v>809</v>
      </c>
      <c r="C101" s="64" t="str">
        <f aca="false">IF(ISNUMBER(C68),IF(ABS(C68)&gt;輸入與假設!$C$218,"未歸類",""),"")</f>
        <v/>
      </c>
      <c r="D101" s="64" t="str">
        <f aca="false">IF(ISNUMBER(D68),IF(ABS(D68)&gt;輸入與假設!$C$218,"未歸類",""),"")</f>
        <v/>
      </c>
      <c r="E101" s="64" t="str">
        <f aca="false">IF(ISNUMBER(E68),IF(ABS(E68)&gt;輸入與假設!$C$218,"未歸類",""),"")</f>
        <v/>
      </c>
      <c r="F101" s="64" t="str">
        <f aca="false">IF(ISNUMBER(F68),IF(ABS(F68)&gt;輸入與假設!$C$218,"未歸類",""),"")</f>
        <v/>
      </c>
      <c r="G101" s="64" t="str">
        <f aca="false">IF(ISNUMBER(G68),IF(ABS(G68)&gt;輸入與假設!$C$218,"未歸類",""),"")</f>
        <v/>
      </c>
      <c r="H101" s="64" t="str">
        <f aca="false">IF(ISNUMBER(H68),IF(ABS(H68)&gt;輸入與假設!$C$218,"未歸類",""),"")</f>
        <v/>
      </c>
    </row>
    <row r="102" customFormat="false" ht="15" hidden="true" customHeight="false" outlineLevel="1" collapsed="false">
      <c r="A102" s="3" t="s">
        <v>810</v>
      </c>
      <c r="C102" s="64" t="str">
        <f aca="false">IF(ISNUMBER(C69),IF(ABS(C69)&gt;輸入與假設!$C$218,IF(ISNUMBER(C99),IF(ABS(C99)&lt;=輸入與假設!$C$218,"CapEx（毛額） vs 指引中點 "&amp;IF(C69&lt;0,"−","+")&amp;TEXT(ABS(C69)*100,"#,##0.0")&amp;"%"&amp;"：拆法（2H26 合計差距 "&amp;IF(C99&lt;0,"−","+")&amp;TEXT(ABS(C99)*100,"#,##0.0")&amp;"%"&amp;"）","CapEx（毛額） vs 指引中點 "&amp;IF(C69&lt;0,"−","+")&amp;TEXT(ABS(C69)*100,"#,##0.0")&amp;"%"&amp;"：未歸類（差異原因待補）"),"CapEx（毛額） vs 指引中點 "&amp;IF(C69&lt;0,"−","+")&amp;TEXT(ABS(C69)*100,"#,##0.0")&amp;"%"&amp;"：未歸類（差異原因待補）"),""),"")</f>
        <v>CapEx（毛額） vs 指引中點 −16.7%：拆法（2H26 合計差距 −0.1%）</v>
      </c>
      <c r="D102" s="64" t="str">
        <f aca="false">IF(ISNUMBER(D69),IF(ABS(D69)&gt;輸入與假設!$C$218,IF(ISNUMBER(D99),IF(ABS(D99)&lt;=輸入與假設!$C$218,"CapEx（毛額） vs 指引中點 "&amp;IF(D69&lt;0,"−","+")&amp;TEXT(ABS(D69)*100,"#,##0.0")&amp;"%"&amp;"：拆法（2H26 合計差距 "&amp;IF(D99&lt;0,"−","+")&amp;TEXT(ABS(D99)*100,"#,##0.0")&amp;"%"&amp;"）","CapEx（毛額） vs 指引中點 "&amp;IF(D69&lt;0,"−","+")&amp;TEXT(ABS(D69)*100,"#,##0.0")&amp;"%"&amp;"：未歸類（差異原因待補）"),"CapEx（毛額） vs 指引中點 "&amp;IF(D69&lt;0,"−","+")&amp;TEXT(ABS(D69)*100,"#,##0.0")&amp;"%"&amp;"：未歸類（差異原因待補）"),""),"")</f>
        <v/>
      </c>
      <c r="E102" s="64" t="str">
        <f aca="false">IF(ISNUMBER(E69),IF(ABS(E69)&gt;輸入與假設!$C$218,IF(ISNUMBER(E99),IF(ABS(E99)&lt;=輸入與假設!$C$218,"CapEx（毛額） vs 指引中點 "&amp;IF(E69&lt;0,"−","+")&amp;TEXT(ABS(E69)*100,"#,##0.0")&amp;"%"&amp;"：拆法（FY27 合計差距 "&amp;IF(E99&lt;0,"−","+")&amp;TEXT(ABS(E99)*100,"#,##0.0")&amp;"%"&amp;"）","CapEx（毛額） vs 指引中點 "&amp;IF(E69&lt;0,"−","+")&amp;TEXT(ABS(E69)*100,"#,##0.0")&amp;"%"&amp;"：未歸類（差異原因待補）"),"CapEx（毛額） vs 指引中點 "&amp;IF(E69&lt;0,"−","+")&amp;TEXT(ABS(E69)*100,"#,##0.0")&amp;"%"&amp;"：未歸類（差異原因待補）"),""),"")</f>
        <v/>
      </c>
      <c r="F102" s="64" t="str">
        <f aca="false">IF(ISNUMBER(F69),IF(ABS(F69)&gt;輸入與假設!$C$218,IF(ISNUMBER(F99),IF(ABS(F99)&lt;=輸入與假設!$C$218,"CapEx（毛額） vs 指引中點 "&amp;IF(F69&lt;0,"−","+")&amp;TEXT(ABS(F69)*100,"#,##0.0")&amp;"%"&amp;"：拆法（FY27 合計差距 "&amp;IF(F99&lt;0,"−","+")&amp;TEXT(ABS(F99)*100,"#,##0.0")&amp;"%"&amp;"）","CapEx（毛額） vs 指引中點 "&amp;IF(F69&lt;0,"−","+")&amp;TEXT(ABS(F69)*100,"#,##0.0")&amp;"%"&amp;"：未歸類（差異原因待補）"),"CapEx（毛額） vs 指引中點 "&amp;IF(F69&lt;0,"−","+")&amp;TEXT(ABS(F69)*100,"#,##0.0")&amp;"%"&amp;"：未歸類（差異原因待補）"),""),"")</f>
        <v/>
      </c>
      <c r="G102" s="64" t="str">
        <f aca="false">IF(ISNUMBER(G69),IF(ABS(G69)&gt;輸入與假設!$C$218,IF(ISNUMBER(G99),IF(ABS(G99)&lt;=輸入與假設!$C$218,"CapEx（毛額） vs 指引中點 "&amp;IF(G69&lt;0,"−","+")&amp;TEXT(ABS(G69)*100,"#,##0.0")&amp;"%"&amp;"：拆法（FY27 合計差距 "&amp;IF(G99&lt;0,"−","+")&amp;TEXT(ABS(G99)*100,"#,##0.0")&amp;"%"&amp;"）","CapEx（毛額） vs 指引中點 "&amp;IF(G69&lt;0,"−","+")&amp;TEXT(ABS(G69)*100,"#,##0.0")&amp;"%"&amp;"：未歸類（差異原因待補）"),"CapEx（毛額） vs 指引中點 "&amp;IF(G69&lt;0,"−","+")&amp;TEXT(ABS(G69)*100,"#,##0.0")&amp;"%"&amp;"：未歸類（差異原因待補）"),""),"")</f>
        <v/>
      </c>
      <c r="H102" s="64" t="str">
        <f aca="false">IF(ISNUMBER(H69),IF(ABS(H69)&gt;輸入與假設!$C$218,IF(ISNUMBER(H99),IF(ABS(H99)&lt;=輸入與假設!$C$218,"CapEx（毛額） vs 指引中點 "&amp;IF(H69&lt;0,"−","+")&amp;TEXT(ABS(H69)*100,"#,##0.0")&amp;"%"&amp;"：拆法（FY27 合計差距 "&amp;IF(H99&lt;0,"−","+")&amp;TEXT(ABS(H99)*100,"#,##0.0")&amp;"%"&amp;"）","CapEx（毛額） vs 指引中點 "&amp;IF(H69&lt;0,"−","+")&amp;TEXT(ABS(H69)*100,"#,##0.0")&amp;"%"&amp;"：未歸類（差異原因待補）"),"CapEx（毛額） vs 指引中點 "&amp;IF(H69&lt;0,"−","+")&amp;TEXT(ABS(H69)*100,"#,##0.0")&amp;"%"&amp;"：未歸類（差異原因待補）"),""),"")</f>
        <v/>
      </c>
    </row>
    <row r="103" customFormat="false" ht="15" hidden="true" customHeight="false" outlineLevel="1" collapsed="false">
      <c r="A103" s="3" t="s">
        <v>811</v>
      </c>
      <c r="C103" s="64" t="str">
        <f aca="false">IF(ISNUMBER(C69),IF(ABS(C69)&gt;輸入與假設!$C$218,IF(ISNUMBER(C99),IF(ABS(C99)&lt;=輸入與假設!$C$218,"拆法","未歸類"),"未歸類"),""),"")</f>
        <v>拆法</v>
      </c>
      <c r="D103" s="64" t="str">
        <f aca="false">IF(ISNUMBER(D69),IF(ABS(D69)&gt;輸入與假設!$C$218,IF(ISNUMBER(D99),IF(ABS(D99)&lt;=輸入與假設!$C$218,"拆法","未歸類"),"未歸類"),""),"")</f>
        <v/>
      </c>
      <c r="E103" s="64" t="str">
        <f aca="false">IF(ISNUMBER(E69),IF(ABS(E69)&gt;輸入與假設!$C$218,IF(ISNUMBER(E99),IF(ABS(E99)&lt;=輸入與假設!$C$218,"拆法","未歸類"),"未歸類"),""),"")</f>
        <v/>
      </c>
      <c r="F103" s="64" t="str">
        <f aca="false">IF(ISNUMBER(F69),IF(ABS(F69)&gt;輸入與假設!$C$218,IF(ISNUMBER(F99),IF(ABS(F99)&lt;=輸入與假設!$C$218,"拆法","未歸類"),"未歸類"),""),"")</f>
        <v/>
      </c>
      <c r="G103" s="64" t="str">
        <f aca="false">IF(ISNUMBER(G69),IF(ABS(G69)&gt;輸入與假設!$C$218,IF(ISNUMBER(G99),IF(ABS(G99)&lt;=輸入與假設!$C$218,"拆法","未歸類"),"未歸類"),""),"")</f>
        <v/>
      </c>
      <c r="H103" s="64" t="str">
        <f aca="false">IF(ISNUMBER(H69),IF(ABS(H69)&gt;輸入與假設!$C$218,IF(ISNUMBER(H99),IF(ABS(H99)&lt;=輸入與假設!$C$218,"拆法","未歸類"),"未歸類"),""),"")</f>
        <v/>
      </c>
    </row>
    <row r="104" customFormat="false" ht="15" hidden="true" customHeight="false" outlineLevel="1" collapsed="false">
      <c r="A104" s="3" t="s">
        <v>812</v>
      </c>
      <c r="C104" s="64"/>
      <c r="D104" s="64"/>
      <c r="E104" s="64"/>
      <c r="F104" s="64"/>
      <c r="G104" s="64"/>
      <c r="H104" s="64"/>
    </row>
    <row r="105" customFormat="false" ht="15" hidden="true" customHeight="false" outlineLevel="1" collapsed="false">
      <c r="A105" s="3" t="s">
        <v>813</v>
      </c>
      <c r="C105" s="64"/>
      <c r="D105" s="64"/>
      <c r="E105" s="64"/>
      <c r="F105" s="64"/>
      <c r="G105" s="64"/>
      <c r="H105" s="64"/>
    </row>
    <row r="106" customFormat="false" ht="15" hidden="true" customHeight="false" outlineLevel="1" collapsed="false">
      <c r="A106" s="3" t="s">
        <v>814</v>
      </c>
      <c r="C106" s="64" t="str">
        <f aca="false">IF(ISNUMBER(C73),IF(ABS(C73)&gt;輸入與假設!$C$218,"季末 Accepted MW vs 共識 "&amp;IF(C73&lt;0,"−","+")&amp;TEXT(ABS(C73)*100,"#,##0.0")&amp;"%"&amp;"：未歸類（差異原因待補）",""),"")</f>
        <v/>
      </c>
      <c r="D106" s="64" t="str">
        <f aca="false">IF(ISNUMBER(D73),IF(ABS(D73)&gt;輸入與假設!$C$218,"季末 Accepted MW vs 共識 "&amp;IF(D73&lt;0,"−","+")&amp;TEXT(ABS(D73)*100,"#,##0.0")&amp;"%"&amp;"：未歸類（差異原因待補）",""),"")</f>
        <v/>
      </c>
      <c r="E106" s="64" t="str">
        <f aca="false">IF(ISNUMBER(E73),IF(ABS(E73)&gt;輸入與假設!$C$218,"季末 Accepted MW vs 共識 "&amp;IF(E73&lt;0,"−","+")&amp;TEXT(ABS(E73)*100,"#,##0.0")&amp;"%"&amp;"：未歸類（差異原因待補）",""),"")</f>
        <v/>
      </c>
      <c r="F106" s="64" t="str">
        <f aca="false">IF(ISNUMBER(F73),IF(ABS(F73)&gt;輸入與假設!$C$218,"季末 Accepted MW vs 共識 "&amp;IF(F73&lt;0,"−","+")&amp;TEXT(ABS(F73)*100,"#,##0.0")&amp;"%"&amp;"：未歸類（差異原因待補）",""),"")</f>
        <v/>
      </c>
      <c r="G106" s="64" t="str">
        <f aca="false">IF(ISNUMBER(G73),IF(ABS(G73)&gt;輸入與假設!$C$218,"季末 Accepted MW vs 共識 "&amp;IF(G73&lt;0,"−","+")&amp;TEXT(ABS(G73)*100,"#,##0.0")&amp;"%"&amp;"：未歸類（差異原因待補）",""),"")</f>
        <v/>
      </c>
      <c r="H106" s="64" t="str">
        <f aca="false">IF(ISNUMBER(H73),IF(ABS(H73)&gt;輸入與假設!$C$218,"季末 Accepted MW vs 共識 "&amp;IF(H73&lt;0,"−","+")&amp;TEXT(ABS(H73)*100,"#,##0.0")&amp;"%"&amp;"：未歸類（差異原因待補）",""),"")</f>
        <v/>
      </c>
    </row>
    <row r="107" customFormat="false" ht="15" hidden="true" customHeight="false" outlineLevel="1" collapsed="false">
      <c r="A107" s="3" t="s">
        <v>815</v>
      </c>
      <c r="C107" s="64" t="str">
        <f aca="false">IF(ISNUMBER(C73),IF(ABS(C73)&gt;輸入與假設!$C$218,"未歸類",""),"")</f>
        <v/>
      </c>
      <c r="D107" s="64" t="str">
        <f aca="false">IF(ISNUMBER(D73),IF(ABS(D73)&gt;輸入與假設!$C$218,"未歸類",""),"")</f>
        <v/>
      </c>
      <c r="E107" s="64" t="str">
        <f aca="false">IF(ISNUMBER(E73),IF(ABS(E73)&gt;輸入與假設!$C$218,"未歸類",""),"")</f>
        <v/>
      </c>
      <c r="F107" s="64" t="str">
        <f aca="false">IF(ISNUMBER(F73),IF(ABS(F73)&gt;輸入與假設!$C$218,"未歸類",""),"")</f>
        <v/>
      </c>
      <c r="G107" s="64" t="str">
        <f aca="false">IF(ISNUMBER(G73),IF(ABS(G73)&gt;輸入與假設!$C$218,"未歸類",""),"")</f>
        <v/>
      </c>
      <c r="H107" s="64" t="str">
        <f aca="false">IF(ISNUMBER(H73),IF(ABS(H73)&gt;輸入與假設!$C$218,"未歸類",""),"")</f>
        <v/>
      </c>
    </row>
    <row r="108" customFormat="false" ht="15" hidden="true" customHeight="false" outlineLevel="1" collapsed="false">
      <c r="A108" s="3" t="s">
        <v>816</v>
      </c>
      <c r="C108" s="64" t="str">
        <f aca="false">IF(ISNUMBER(C74),IF(ABS(C74)&gt;輸入與假設!$C$218,"季末 Accepted MW vs 指引中點 "&amp;IF(C74&lt;0,"−","+")&amp;TEXT(ABS(C74)*100,"#,##0.0")&amp;"%"&amp;"：未歸類（差異原因待補）",""),"")</f>
        <v/>
      </c>
      <c r="D108" s="64" t="str">
        <f aca="false">IF(ISNUMBER(D74),IF(ABS(D74)&gt;輸入與假設!$C$218,"季末 Accepted MW vs 指引中點 "&amp;IF(D74&lt;0,"−","+")&amp;TEXT(ABS(D74)*100,"#,##0.0")&amp;"%"&amp;"：未歸類（差異原因待補）",""),"")</f>
        <v/>
      </c>
      <c r="E108" s="64" t="str">
        <f aca="false">IF(ISNUMBER(E74),IF(ABS(E74)&gt;輸入與假設!$C$218,"季末 Accepted MW vs 指引中點 "&amp;IF(E74&lt;0,"−","+")&amp;TEXT(ABS(E74)*100,"#,##0.0")&amp;"%"&amp;"：未歸類（差異原因待補）",""),"")</f>
        <v/>
      </c>
      <c r="F108" s="64" t="str">
        <f aca="false">IF(ISNUMBER(F74),IF(ABS(F74)&gt;輸入與假設!$C$218,"季末 Accepted MW vs 指引中點 "&amp;IF(F74&lt;0,"−","+")&amp;TEXT(ABS(F74)*100,"#,##0.0")&amp;"%"&amp;"：未歸類（差異原因待補）",""),"")</f>
        <v/>
      </c>
      <c r="G108" s="64" t="str">
        <f aca="false">IF(ISNUMBER(G74),IF(ABS(G74)&gt;輸入與假設!$C$218,"季末 Accepted MW vs 指引中點 "&amp;IF(G74&lt;0,"−","+")&amp;TEXT(ABS(G74)*100,"#,##0.0")&amp;"%"&amp;"：未歸類（差異原因待補）",""),"")</f>
        <v/>
      </c>
      <c r="H108" s="64" t="str">
        <f aca="false">IF(ISNUMBER(H74),IF(ABS(H74)&gt;輸入與假設!$C$218,"季末 Accepted MW vs 指引中點 "&amp;IF(H74&lt;0,"−","+")&amp;TEXT(ABS(H74)*100,"#,##0.0")&amp;"%"&amp;"：未歸類（差異原因待補）",""),"")</f>
        <v/>
      </c>
    </row>
    <row r="109" customFormat="false" ht="15" hidden="true" customHeight="false" outlineLevel="1" collapsed="false">
      <c r="A109" s="3" t="s">
        <v>817</v>
      </c>
      <c r="C109" s="64" t="str">
        <f aca="false">IF(ISNUMBER(C74),IF(ABS(C74)&gt;輸入與假設!$C$218,"未歸類",""),"")</f>
        <v/>
      </c>
      <c r="D109" s="64" t="str">
        <f aca="false">IF(ISNUMBER(D74),IF(ABS(D74)&gt;輸入與假設!$C$218,"未歸類",""),"")</f>
        <v/>
      </c>
      <c r="E109" s="64" t="str">
        <f aca="false">IF(ISNUMBER(E74),IF(ABS(E74)&gt;輸入與假設!$C$218,"未歸類",""),"")</f>
        <v/>
      </c>
      <c r="F109" s="64" t="str">
        <f aca="false">IF(ISNUMBER(F74),IF(ABS(F74)&gt;輸入與假設!$C$218,"未歸類",""),"")</f>
        <v/>
      </c>
      <c r="G109" s="64" t="str">
        <f aca="false">IF(ISNUMBER(G74),IF(ABS(G74)&gt;輸入與假設!$C$218,"未歸類",""),"")</f>
        <v/>
      </c>
      <c r="H109" s="64" t="str">
        <f aca="false">IF(ISNUMBER(H74),IF(ABS(H74)&gt;輸入與假設!$C$218,"未歸類",""),"")</f>
        <v/>
      </c>
    </row>
    <row r="110" customFormat="false" ht="15" hidden="true" customHeight="false" outlineLevel="1" collapsed="false">
      <c r="A110" s="3" t="s">
        <v>818</v>
      </c>
      <c r="C110" s="64"/>
      <c r="D110" s="64"/>
      <c r="E110" s="64"/>
      <c r="F110" s="64"/>
      <c r="G110" s="64"/>
      <c r="H110" s="64"/>
    </row>
    <row r="111" customFormat="false" ht="15" hidden="true" customHeight="false" outlineLevel="1" collapsed="false">
      <c r="A111" s="3" t="s">
        <v>819</v>
      </c>
      <c r="C111" s="64"/>
      <c r="D111" s="64"/>
      <c r="E111" s="64"/>
      <c r="F111" s="64"/>
      <c r="G111" s="64"/>
      <c r="H111" s="64"/>
    </row>
    <row r="112" customFormat="false" ht="15" hidden="true" customHeight="false" outlineLevel="1" collapsed="false">
      <c r="A112" s="3" t="s">
        <v>820</v>
      </c>
      <c r="C112" s="64" t="str">
        <f aca="false">MID(IF(C80&lt;&gt;"","；"&amp;C80,"")&amp;IF(C82&lt;&gt;"","；"&amp;C82,"")&amp;IF(C84&lt;&gt;"","；"&amp;C84,"")&amp;IF(C87&lt;&gt;"","；"&amp;C87,"")&amp;IF(C89&lt;&gt;"","；"&amp;C89,"")&amp;IF(C91&lt;&gt;"","；"&amp;C91,"")&amp;IF(C93&lt;&gt;"","；"&amp;C93,"")&amp;IF(C95&lt;&gt;"","；"&amp;C95,"")&amp;IF(C97&lt;&gt;"","；"&amp;C97,"")&amp;IF(C100&lt;&gt;"","；"&amp;C100,"")&amp;IF(C102&lt;&gt;"","；"&amp;C102,"")&amp;IF(C104&lt;&gt;"","；"&amp;C104,"")&amp;IF(C106&lt;&gt;"","；"&amp;C106,"")&amp;IF(C108&lt;&gt;"","；"&amp;C108,"")&amp;IF(C110&lt;&gt;"","；"&amp;C110,""),2,9999)</f>
        <v>調整後 EBITDA vs 共識 +5.1%：拆法（2H26 合計差距 +0.4%）；調整後營業利益 vs 指引中點 −105.8%：已知限制（模型車隊折舊 2.16 高於最新一季實際 1.39，營業利益因此偏低；待辦 6 修正）；CapEx（毛額） vs 指引中點 −16.7%：拆法（2H26 合計差距 −0.1%）</v>
      </c>
      <c r="D112" s="64" t="str">
        <f aca="false">MID(IF(D80&lt;&gt;"","；"&amp;D80,"")&amp;IF(D82&lt;&gt;"","；"&amp;D82,"")&amp;IF(D84&lt;&gt;"","；"&amp;D84,"")&amp;IF(D87&lt;&gt;"","；"&amp;D87,"")&amp;IF(D89&lt;&gt;"","；"&amp;D89,"")&amp;IF(D91&lt;&gt;"","；"&amp;D91,"")&amp;IF(D93&lt;&gt;"","；"&amp;D93,"")&amp;IF(D95&lt;&gt;"","；"&amp;D95,"")&amp;IF(D97&lt;&gt;"","；"&amp;D97,"")&amp;IF(D100&lt;&gt;"","；"&amp;D100,"")&amp;IF(D102&lt;&gt;"","；"&amp;D102,"")&amp;IF(D104&lt;&gt;"","；"&amp;D104,"")&amp;IF(D106&lt;&gt;"","；"&amp;D106,"")&amp;IF(D108&lt;&gt;"","；"&amp;D108,"")&amp;IF(D110&lt;&gt;"","；"&amp;D110,""),2,9999)</f>
        <v/>
      </c>
      <c r="E112" s="64" t="str">
        <f aca="false">MID(IF(E80&lt;&gt;"","；"&amp;E80,"")&amp;IF(E82&lt;&gt;"","；"&amp;E82,"")&amp;IF(E84&lt;&gt;"","；"&amp;E84,"")&amp;IF(E87&lt;&gt;"","；"&amp;E87,"")&amp;IF(E89&lt;&gt;"","；"&amp;E89,"")&amp;IF(E91&lt;&gt;"","；"&amp;E91,"")&amp;IF(E93&lt;&gt;"","；"&amp;E93,"")&amp;IF(E95&lt;&gt;"","；"&amp;E95,"")&amp;IF(E97&lt;&gt;"","；"&amp;E97,"")&amp;IF(E100&lt;&gt;"","；"&amp;E100,"")&amp;IF(E102&lt;&gt;"","；"&amp;E102,"")&amp;IF(E104&lt;&gt;"","；"&amp;E104,"")&amp;IF(E106&lt;&gt;"","；"&amp;E106,"")&amp;IF(E108&lt;&gt;"","；"&amp;E108,"")&amp;IF(E110&lt;&gt;"","；"&amp;E110,""),2,9999)</f>
        <v/>
      </c>
      <c r="F112" s="64" t="str">
        <f aca="false">MID(IF(F80&lt;&gt;"","；"&amp;F80,"")&amp;IF(F82&lt;&gt;"","；"&amp;F82,"")&amp;IF(F84&lt;&gt;"","；"&amp;F84,"")&amp;IF(F87&lt;&gt;"","；"&amp;F87,"")&amp;IF(F89&lt;&gt;"","；"&amp;F89,"")&amp;IF(F91&lt;&gt;"","；"&amp;F91,"")&amp;IF(F93&lt;&gt;"","；"&amp;F93,"")&amp;IF(F95&lt;&gt;"","；"&amp;F95,"")&amp;IF(F97&lt;&gt;"","；"&amp;F97,"")&amp;IF(F100&lt;&gt;"","；"&amp;F100,"")&amp;IF(F102&lt;&gt;"","；"&amp;F102,"")&amp;IF(F104&lt;&gt;"","；"&amp;F104,"")&amp;IF(F106&lt;&gt;"","；"&amp;F106,"")&amp;IF(F108&lt;&gt;"","；"&amp;F108,"")&amp;IF(F110&lt;&gt;"","；"&amp;F110,""),2,9999)</f>
        <v/>
      </c>
      <c r="G112" s="64" t="str">
        <f aca="false">MID(IF(G80&lt;&gt;"","；"&amp;G80,"")&amp;IF(G82&lt;&gt;"","；"&amp;G82,"")&amp;IF(G84&lt;&gt;"","；"&amp;G84,"")&amp;IF(G87&lt;&gt;"","；"&amp;G87,"")&amp;IF(G89&lt;&gt;"","；"&amp;G89,"")&amp;IF(G91&lt;&gt;"","；"&amp;G91,"")&amp;IF(G93&lt;&gt;"","；"&amp;G93,"")&amp;IF(G95&lt;&gt;"","；"&amp;G95,"")&amp;IF(G97&lt;&gt;"","；"&amp;G97,"")&amp;IF(G100&lt;&gt;"","；"&amp;G100,"")&amp;IF(G102&lt;&gt;"","；"&amp;G102,"")&amp;IF(G104&lt;&gt;"","；"&amp;G104,"")&amp;IF(G106&lt;&gt;"","；"&amp;G106,"")&amp;IF(G108&lt;&gt;"","；"&amp;G108,"")&amp;IF(G110&lt;&gt;"","；"&amp;G110,""),2,9999)</f>
        <v/>
      </c>
      <c r="H112" s="64" t="str">
        <f aca="false">MID(IF(H80&lt;&gt;"","；"&amp;H80,"")&amp;IF(H82&lt;&gt;"","；"&amp;H82,"")&amp;IF(H84&lt;&gt;"","；"&amp;H84,"")&amp;IF(H87&lt;&gt;"","；"&amp;H87,"")&amp;IF(H89&lt;&gt;"","；"&amp;H89,"")&amp;IF(H91&lt;&gt;"","；"&amp;H91,"")&amp;IF(H93&lt;&gt;"","；"&amp;H93,"")&amp;IF(H95&lt;&gt;"","；"&amp;H95,"")&amp;IF(H97&lt;&gt;"","；"&amp;H97,"")&amp;IF(H100&lt;&gt;"","；"&amp;H100,"")&amp;IF(H102&lt;&gt;"","；"&amp;H102,"")&amp;IF(H104&lt;&gt;"","；"&amp;H104,"")&amp;IF(H106&lt;&gt;"","；"&amp;H106,"")&amp;IF(H108&lt;&gt;"","；"&amp;H108,"")&amp;IF(H110&lt;&gt;"","；"&amp;H110,""),2,9999)</f>
        <v/>
      </c>
    </row>
    <row r="113" customFormat="false" ht="15" hidden="true" customHeight="false" outlineLevel="1" collapsed="false">
      <c r="A113" s="3" t="s">
        <v>821</v>
      </c>
      <c r="C113" s="64" t="str">
        <f aca="false">IF((C81&amp;IF(AND(C83&lt;&gt;"",C83&lt;&gt;C81),IF((C81)&lt;&gt;"","、","")&amp;C83,"")&amp;IF(AND(C85&lt;&gt;"",C85&lt;&gt;C81,C85&lt;&gt;C83),IF((C81&amp;C83)&lt;&gt;"","、","")&amp;C85,""))&lt;&gt;"","〔"&amp;(C81&amp;IF(AND(C83&lt;&gt;"",C83&lt;&gt;C81),IF((C81)&lt;&gt;"","、","")&amp;C83,"")&amp;IF(AND(C85&lt;&gt;"",C85&lt;&gt;C81,C85&lt;&gt;C83),IF((C81&amp;C83)&lt;&gt;"","、","")&amp;C85,""))&amp;"〕","")</f>
        <v/>
      </c>
      <c r="D113" s="64" t="str">
        <f aca="false">IF((D81&amp;IF(AND(D83&lt;&gt;"",D83&lt;&gt;D81),IF((D81)&lt;&gt;"","、","")&amp;D83,"")&amp;IF(AND(D85&lt;&gt;"",D85&lt;&gt;D81,D85&lt;&gt;D83),IF((D81&amp;D83)&lt;&gt;"","、","")&amp;D85,""))&lt;&gt;"","〔"&amp;(D81&amp;IF(AND(D83&lt;&gt;"",D83&lt;&gt;D81),IF((D81)&lt;&gt;"","、","")&amp;D83,"")&amp;IF(AND(D85&lt;&gt;"",D85&lt;&gt;D81,D85&lt;&gt;D83),IF((D81&amp;D83)&lt;&gt;"","、","")&amp;D85,""))&amp;"〕","")</f>
        <v/>
      </c>
      <c r="E113" s="64" t="str">
        <f aca="false">IF((E81&amp;IF(AND(E83&lt;&gt;"",E83&lt;&gt;E81),IF((E81)&lt;&gt;"","、","")&amp;E83,"")&amp;IF(AND(E85&lt;&gt;"",E85&lt;&gt;E81,E85&lt;&gt;E83),IF((E81&amp;E83)&lt;&gt;"","、","")&amp;E85,""))&lt;&gt;"","〔"&amp;(E81&amp;IF(AND(E83&lt;&gt;"",E83&lt;&gt;E81),IF((E81)&lt;&gt;"","、","")&amp;E83,"")&amp;IF(AND(E85&lt;&gt;"",E85&lt;&gt;E81,E85&lt;&gt;E83),IF((E81&amp;E83)&lt;&gt;"","、","")&amp;E85,""))&amp;"〕","")</f>
        <v/>
      </c>
      <c r="F113" s="64" t="str">
        <f aca="false">IF((F81&amp;IF(AND(F83&lt;&gt;"",F83&lt;&gt;F81),IF((F81)&lt;&gt;"","、","")&amp;F83,"")&amp;IF(AND(F85&lt;&gt;"",F85&lt;&gt;F81,F85&lt;&gt;F83),IF((F81&amp;F83)&lt;&gt;"","、","")&amp;F85,""))&lt;&gt;"","〔"&amp;(F81&amp;IF(AND(F83&lt;&gt;"",F83&lt;&gt;F81),IF((F81)&lt;&gt;"","、","")&amp;F83,"")&amp;IF(AND(F85&lt;&gt;"",F85&lt;&gt;F81,F85&lt;&gt;F83),IF((F81&amp;F83)&lt;&gt;"","、","")&amp;F85,""))&amp;"〕","")</f>
        <v/>
      </c>
      <c r="G113" s="64" t="str">
        <f aca="false">IF((G81&amp;IF(AND(G83&lt;&gt;"",G83&lt;&gt;G81),IF((G81)&lt;&gt;"","、","")&amp;G83,"")&amp;IF(AND(G85&lt;&gt;"",G85&lt;&gt;G81,G85&lt;&gt;G83),IF((G81&amp;G83)&lt;&gt;"","、","")&amp;G85,""))&lt;&gt;"","〔"&amp;(G81&amp;IF(AND(G83&lt;&gt;"",G83&lt;&gt;G81),IF((G81)&lt;&gt;"","、","")&amp;G83,"")&amp;IF(AND(G85&lt;&gt;"",G85&lt;&gt;G81,G85&lt;&gt;G83),IF((G81&amp;G83)&lt;&gt;"","、","")&amp;G85,""))&amp;"〕","")</f>
        <v/>
      </c>
      <c r="H113" s="64" t="str">
        <f aca="false">IF((H81&amp;IF(AND(H83&lt;&gt;"",H83&lt;&gt;H81),IF((H81)&lt;&gt;"","、","")&amp;H83,"")&amp;IF(AND(H85&lt;&gt;"",H85&lt;&gt;H81,H85&lt;&gt;H83),IF((H81&amp;H83)&lt;&gt;"","、","")&amp;H85,""))&lt;&gt;"","〔"&amp;(H81&amp;IF(AND(H83&lt;&gt;"",H83&lt;&gt;H81),IF((H81)&lt;&gt;"","、","")&amp;H83,"")&amp;IF(AND(H85&lt;&gt;"",H85&lt;&gt;H81,H85&lt;&gt;H83),IF((H81&amp;H83)&lt;&gt;"","、","")&amp;H85,""))&amp;"〕","")</f>
        <v/>
      </c>
    </row>
    <row r="114" customFormat="false" ht="15" hidden="true" customHeight="false" outlineLevel="1" collapsed="false">
      <c r="A114" s="3" t="s">
        <v>822</v>
      </c>
      <c r="C114" s="64" t="str">
        <f aca="false">IF((C88&amp;IF(AND(C90&lt;&gt;"",C90&lt;&gt;C88),IF((C88)&lt;&gt;"","、","")&amp;C90,"")&amp;IF(AND(C92&lt;&gt;"",C92&lt;&gt;C88,C92&lt;&gt;C90),IF((C88&amp;C90)&lt;&gt;"","、","")&amp;C92,""))&lt;&gt;"","〔"&amp;(C88&amp;IF(AND(C90&lt;&gt;"",C90&lt;&gt;C88),IF((C88)&lt;&gt;"","、","")&amp;C90,"")&amp;IF(AND(C92&lt;&gt;"",C92&lt;&gt;C88,C92&lt;&gt;C90),IF((C88&amp;C90)&lt;&gt;"","、","")&amp;C92,""))&amp;"〕","")</f>
        <v>〔拆法〕</v>
      </c>
      <c r="D114" s="64" t="str">
        <f aca="false">IF((D88&amp;IF(AND(D90&lt;&gt;"",D90&lt;&gt;D88),IF((D88)&lt;&gt;"","、","")&amp;D90,"")&amp;IF(AND(D92&lt;&gt;"",D92&lt;&gt;D88,D92&lt;&gt;D90),IF((D88&amp;D90)&lt;&gt;"","、","")&amp;D92,""))&lt;&gt;"","〔"&amp;(D88&amp;IF(AND(D90&lt;&gt;"",D90&lt;&gt;D88),IF((D88)&lt;&gt;"","、","")&amp;D90,"")&amp;IF(AND(D92&lt;&gt;"",D92&lt;&gt;D88,D92&lt;&gt;D90),IF((D88&amp;D90)&lt;&gt;"","、","")&amp;D92,""))&amp;"〕","")</f>
        <v/>
      </c>
      <c r="E114" s="64" t="str">
        <f aca="false">IF((E88&amp;IF(AND(E90&lt;&gt;"",E90&lt;&gt;E88),IF((E88)&lt;&gt;"","、","")&amp;E90,"")&amp;IF(AND(E92&lt;&gt;"",E92&lt;&gt;E88,E92&lt;&gt;E90),IF((E88&amp;E90)&lt;&gt;"","、","")&amp;E92,""))&lt;&gt;"","〔"&amp;(E88&amp;IF(AND(E90&lt;&gt;"",E90&lt;&gt;E88),IF((E88)&lt;&gt;"","、","")&amp;E90,"")&amp;IF(AND(E92&lt;&gt;"",E92&lt;&gt;E88,E92&lt;&gt;E90),IF((E88&amp;E90)&lt;&gt;"","、","")&amp;E92,""))&amp;"〕","")</f>
        <v/>
      </c>
      <c r="F114" s="64" t="str">
        <f aca="false">IF((F88&amp;IF(AND(F90&lt;&gt;"",F90&lt;&gt;F88),IF((F88)&lt;&gt;"","、","")&amp;F90,"")&amp;IF(AND(F92&lt;&gt;"",F92&lt;&gt;F88,F92&lt;&gt;F90),IF((F88&amp;F90)&lt;&gt;"","、","")&amp;F92,""))&lt;&gt;"","〔"&amp;(F88&amp;IF(AND(F90&lt;&gt;"",F90&lt;&gt;F88),IF((F88)&lt;&gt;"","、","")&amp;F90,"")&amp;IF(AND(F92&lt;&gt;"",F92&lt;&gt;F88,F92&lt;&gt;F90),IF((F88&amp;F90)&lt;&gt;"","、","")&amp;F92,""))&amp;"〕","")</f>
        <v/>
      </c>
      <c r="G114" s="64" t="str">
        <f aca="false">IF((G88&amp;IF(AND(G90&lt;&gt;"",G90&lt;&gt;G88),IF((G88)&lt;&gt;"","、","")&amp;G90,"")&amp;IF(AND(G92&lt;&gt;"",G92&lt;&gt;G88,G92&lt;&gt;G90),IF((G88&amp;G90)&lt;&gt;"","、","")&amp;G92,""))&lt;&gt;"","〔"&amp;(G88&amp;IF(AND(G90&lt;&gt;"",G90&lt;&gt;G88),IF((G88)&lt;&gt;"","、","")&amp;G90,"")&amp;IF(AND(G92&lt;&gt;"",G92&lt;&gt;G88,G92&lt;&gt;G90),IF((G88&amp;G90)&lt;&gt;"","、","")&amp;G92,""))&amp;"〕","")</f>
        <v/>
      </c>
      <c r="H114" s="64" t="str">
        <f aca="false">IF((H88&amp;IF(AND(H90&lt;&gt;"",H90&lt;&gt;H88),IF((H88)&lt;&gt;"","、","")&amp;H90,"")&amp;IF(AND(H92&lt;&gt;"",H92&lt;&gt;H88,H92&lt;&gt;H90),IF((H88&amp;H90)&lt;&gt;"","、","")&amp;H92,""))&lt;&gt;"","〔"&amp;(H88&amp;IF(AND(H90&lt;&gt;"",H90&lt;&gt;H88),IF((H88)&lt;&gt;"","、","")&amp;H90,"")&amp;IF(AND(H92&lt;&gt;"",H92&lt;&gt;H88,H92&lt;&gt;H90),IF((H88&amp;H90)&lt;&gt;"","、","")&amp;H92,""))&amp;"〕","")</f>
        <v/>
      </c>
    </row>
    <row r="115" customFormat="false" ht="15" hidden="true" customHeight="false" outlineLevel="1" collapsed="false">
      <c r="A115" s="3" t="s">
        <v>823</v>
      </c>
      <c r="C115" s="64" t="str">
        <f aca="false">IF((C94&amp;IF(AND(C96&lt;&gt;"",C96&lt;&gt;C94),IF((C94)&lt;&gt;"","、","")&amp;C96,"")&amp;IF(AND(C98&lt;&gt;"",C98&lt;&gt;C94,C98&lt;&gt;C96),IF((C94&amp;C96)&lt;&gt;"","、","")&amp;C98,""))&lt;&gt;"","〔"&amp;(C94&amp;IF(AND(C96&lt;&gt;"",C96&lt;&gt;C94),IF((C94)&lt;&gt;"","、","")&amp;C96,"")&amp;IF(AND(C98&lt;&gt;"",C98&lt;&gt;C94,C98&lt;&gt;C96),IF((C94&amp;C96)&lt;&gt;"","、","")&amp;C98,""))&amp;"〕","")</f>
        <v>〔已知限制〕</v>
      </c>
      <c r="D115" s="64" t="str">
        <f aca="false">IF((D94&amp;IF(AND(D96&lt;&gt;"",D96&lt;&gt;D94),IF((D94)&lt;&gt;"","、","")&amp;D96,"")&amp;IF(AND(D98&lt;&gt;"",D98&lt;&gt;D94,D98&lt;&gt;D96),IF((D94&amp;D96)&lt;&gt;"","、","")&amp;D98,""))&lt;&gt;"","〔"&amp;(D94&amp;IF(AND(D96&lt;&gt;"",D96&lt;&gt;D94),IF((D94)&lt;&gt;"","、","")&amp;D96,"")&amp;IF(AND(D98&lt;&gt;"",D98&lt;&gt;D94,D98&lt;&gt;D96),IF((D94&amp;D96)&lt;&gt;"","、","")&amp;D98,""))&amp;"〕","")</f>
        <v/>
      </c>
      <c r="E115" s="64" t="str">
        <f aca="false">IF((E94&amp;IF(AND(E96&lt;&gt;"",E96&lt;&gt;E94),IF((E94)&lt;&gt;"","、","")&amp;E96,"")&amp;IF(AND(E98&lt;&gt;"",E98&lt;&gt;E94,E98&lt;&gt;E96),IF((E94&amp;E96)&lt;&gt;"","、","")&amp;E98,""))&lt;&gt;"","〔"&amp;(E94&amp;IF(AND(E96&lt;&gt;"",E96&lt;&gt;E94),IF((E94)&lt;&gt;"","、","")&amp;E96,"")&amp;IF(AND(E98&lt;&gt;"",E98&lt;&gt;E94,E98&lt;&gt;E96),IF((E94&amp;E96)&lt;&gt;"","、","")&amp;E98,""))&amp;"〕","")</f>
        <v/>
      </c>
      <c r="F115" s="64" t="str">
        <f aca="false">IF((F94&amp;IF(AND(F96&lt;&gt;"",F96&lt;&gt;F94),IF((F94)&lt;&gt;"","、","")&amp;F96,"")&amp;IF(AND(F98&lt;&gt;"",F98&lt;&gt;F94,F98&lt;&gt;F96),IF((F94&amp;F96)&lt;&gt;"","、","")&amp;F98,""))&lt;&gt;"","〔"&amp;(F94&amp;IF(AND(F96&lt;&gt;"",F96&lt;&gt;F94),IF((F94)&lt;&gt;"","、","")&amp;F96,"")&amp;IF(AND(F98&lt;&gt;"",F98&lt;&gt;F94,F98&lt;&gt;F96),IF((F94&amp;F96)&lt;&gt;"","、","")&amp;F98,""))&amp;"〕","")</f>
        <v/>
      </c>
      <c r="G115" s="64" t="str">
        <f aca="false">IF((G94&amp;IF(AND(G96&lt;&gt;"",G96&lt;&gt;G94),IF((G94)&lt;&gt;"","、","")&amp;G96,"")&amp;IF(AND(G98&lt;&gt;"",G98&lt;&gt;G94,G98&lt;&gt;G96),IF((G94&amp;G96)&lt;&gt;"","、","")&amp;G98,""))&lt;&gt;"","〔"&amp;(G94&amp;IF(AND(G96&lt;&gt;"",G96&lt;&gt;G94),IF((G94)&lt;&gt;"","、","")&amp;G96,"")&amp;IF(AND(G98&lt;&gt;"",G98&lt;&gt;G94,G98&lt;&gt;G96),IF((G94&amp;G96)&lt;&gt;"","、","")&amp;G98,""))&amp;"〕","")</f>
        <v/>
      </c>
      <c r="H115" s="64" t="str">
        <f aca="false">IF((H94&amp;IF(AND(H96&lt;&gt;"",H96&lt;&gt;H94),IF((H94)&lt;&gt;"","、","")&amp;H96,"")&amp;IF(AND(H98&lt;&gt;"",H98&lt;&gt;H94,H98&lt;&gt;H96),IF((H94&amp;H96)&lt;&gt;"","、","")&amp;H98,""))&lt;&gt;"","〔"&amp;(H94&amp;IF(AND(H96&lt;&gt;"",H96&lt;&gt;H94),IF((H94)&lt;&gt;"","、","")&amp;H96,"")&amp;IF(AND(H98&lt;&gt;"",H98&lt;&gt;H94,H98&lt;&gt;H96),IF((H94&amp;H96)&lt;&gt;"","、","")&amp;H98,""))&amp;"〕","")</f>
        <v/>
      </c>
    </row>
    <row r="116" customFormat="false" ht="15" hidden="true" customHeight="false" outlineLevel="1" collapsed="false">
      <c r="A116" s="3" t="s">
        <v>824</v>
      </c>
      <c r="C116" s="64" t="str">
        <f aca="false">IF((C101&amp;IF(AND(C103&lt;&gt;"",C103&lt;&gt;C101),IF((C101)&lt;&gt;"","、","")&amp;C103,"")&amp;IF(AND(C105&lt;&gt;"",C105&lt;&gt;C101,C105&lt;&gt;C103),IF((C101&amp;C103)&lt;&gt;"","、","")&amp;C105,""))&lt;&gt;"","〔"&amp;(C101&amp;IF(AND(C103&lt;&gt;"",C103&lt;&gt;C101),IF((C101)&lt;&gt;"","、","")&amp;C103,"")&amp;IF(AND(C105&lt;&gt;"",C105&lt;&gt;C101,C105&lt;&gt;C103),IF((C101&amp;C103)&lt;&gt;"","、","")&amp;C105,""))&amp;"〕","")</f>
        <v>〔拆法〕</v>
      </c>
      <c r="D116" s="64" t="str">
        <f aca="false">IF((D101&amp;IF(AND(D103&lt;&gt;"",D103&lt;&gt;D101),IF((D101)&lt;&gt;"","、","")&amp;D103,"")&amp;IF(AND(D105&lt;&gt;"",D105&lt;&gt;D101,D105&lt;&gt;D103),IF((D101&amp;D103)&lt;&gt;"","、","")&amp;D105,""))&lt;&gt;"","〔"&amp;(D101&amp;IF(AND(D103&lt;&gt;"",D103&lt;&gt;D101),IF((D101)&lt;&gt;"","、","")&amp;D103,"")&amp;IF(AND(D105&lt;&gt;"",D105&lt;&gt;D101,D105&lt;&gt;D103),IF((D101&amp;D103)&lt;&gt;"","、","")&amp;D105,""))&amp;"〕","")</f>
        <v/>
      </c>
      <c r="E116" s="64" t="str">
        <f aca="false">IF((E101&amp;IF(AND(E103&lt;&gt;"",E103&lt;&gt;E101),IF((E101)&lt;&gt;"","、","")&amp;E103,"")&amp;IF(AND(E105&lt;&gt;"",E105&lt;&gt;E101,E105&lt;&gt;E103),IF((E101&amp;E103)&lt;&gt;"","、","")&amp;E105,""))&lt;&gt;"","〔"&amp;(E101&amp;IF(AND(E103&lt;&gt;"",E103&lt;&gt;E101),IF((E101)&lt;&gt;"","、","")&amp;E103,"")&amp;IF(AND(E105&lt;&gt;"",E105&lt;&gt;E101,E105&lt;&gt;E103),IF((E101&amp;E103)&lt;&gt;"","、","")&amp;E105,""))&amp;"〕","")</f>
        <v/>
      </c>
      <c r="F116" s="64" t="str">
        <f aca="false">IF((F101&amp;IF(AND(F103&lt;&gt;"",F103&lt;&gt;F101),IF((F101)&lt;&gt;"","、","")&amp;F103,"")&amp;IF(AND(F105&lt;&gt;"",F105&lt;&gt;F101,F105&lt;&gt;F103),IF((F101&amp;F103)&lt;&gt;"","、","")&amp;F105,""))&lt;&gt;"","〔"&amp;(F101&amp;IF(AND(F103&lt;&gt;"",F103&lt;&gt;F101),IF((F101)&lt;&gt;"","、","")&amp;F103,"")&amp;IF(AND(F105&lt;&gt;"",F105&lt;&gt;F101,F105&lt;&gt;F103),IF((F101&amp;F103)&lt;&gt;"","、","")&amp;F105,""))&amp;"〕","")</f>
        <v/>
      </c>
      <c r="G116" s="64" t="str">
        <f aca="false">IF((G101&amp;IF(AND(G103&lt;&gt;"",G103&lt;&gt;G101),IF((G101)&lt;&gt;"","、","")&amp;G103,"")&amp;IF(AND(G105&lt;&gt;"",G105&lt;&gt;G101,G105&lt;&gt;G103),IF((G101&amp;G103)&lt;&gt;"","、","")&amp;G105,""))&lt;&gt;"","〔"&amp;(G101&amp;IF(AND(G103&lt;&gt;"",G103&lt;&gt;G101),IF((G101)&lt;&gt;"","、","")&amp;G103,"")&amp;IF(AND(G105&lt;&gt;"",G105&lt;&gt;G101,G105&lt;&gt;G103),IF((G101&amp;G103)&lt;&gt;"","、","")&amp;G105,""))&amp;"〕","")</f>
        <v/>
      </c>
      <c r="H116" s="64" t="str">
        <f aca="false">IF((H101&amp;IF(AND(H103&lt;&gt;"",H103&lt;&gt;H101),IF((H101)&lt;&gt;"","、","")&amp;H103,"")&amp;IF(AND(H105&lt;&gt;"",H105&lt;&gt;H101,H105&lt;&gt;H103),IF((H101&amp;H103)&lt;&gt;"","、","")&amp;H105,""))&lt;&gt;"","〔"&amp;(H101&amp;IF(AND(H103&lt;&gt;"",H103&lt;&gt;H101),IF((H101)&lt;&gt;"","、","")&amp;H103,"")&amp;IF(AND(H105&lt;&gt;"",H105&lt;&gt;H101,H105&lt;&gt;H103),IF((H101&amp;H103)&lt;&gt;"","、","")&amp;H105,""))&amp;"〕","")</f>
        <v/>
      </c>
    </row>
    <row r="117" customFormat="false" ht="15" hidden="true" customHeight="false" outlineLevel="1" collapsed="false">
      <c r="A117" s="3" t="s">
        <v>825</v>
      </c>
      <c r="C117" s="64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17" s="64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/>
      </c>
      <c r="E117" s="64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17" s="64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17" s="64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17" s="64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18" customFormat="false" ht="15" hidden="true" customHeight="false" outlineLevel="1" collapsed="false">
      <c r="A118" s="3" t="s">
        <v>826</v>
      </c>
      <c r="C118" s="64" t="str">
        <f aca="false">"營收：模型 "&amp;IF(ISNUMBER(C22),IF(C22&lt;0,"−","")&amp;"$"&amp;TEXT(ABS(C22),"#,##0.00")&amp;"bn","不適用")&amp;IF(ISNUMBER(C32),"｜共識 "&amp;IF(C32&lt;0,"−","")&amp;"$"&amp;TEXT(ABS(C32),"#,##0.00")&amp;"bn"&amp;"（"&amp;IF(ISNUMBER(C48),IF(C48&lt;0,"−","+")&amp;TEXT(ABS(C48)*100,"#,##0.0")&amp;"%","不適用")&amp;"）","")&amp;IF(AND(ISNUMBER(C36),ISNUMBER(C37)),"｜指引 "&amp;"$"&amp;IF(C36&lt;0,"−","")&amp;TEXT(ABS(C36),"#,##0.00")&amp;"–"&amp;IF(C37&lt;0,"−","")&amp;TEXT(ABS(C37),"#,##0.00")&amp;"bn"&amp;"（中點 "&amp;IF(ISNUMBER(C49),IF(C49&lt;0,"−","+")&amp;TEXT(ABS(C49)*100,"#,##0.0")&amp;"%","不適用")&amp;"，"&amp;IF(C22&gt;C37,"高於上緣",IF(C22&lt;C36,"低於下緣",IF(C22&gt;=(C36+C37)/2,"區間上半部","區間下半部")))&amp;"）","")&amp;IF(ISNUMBER(C42),"｜實際 "&amp;IF(C42&lt;0,"−","")&amp;"$"&amp;TEXT(ABS(C42),"#,##0.00")&amp;"bn"&amp;"（較模型 "&amp;IF(ISNUMBER(C50),IF(C50&lt;0,"−","+")&amp;TEXT(ABS(C50)*100,"#,##0.0")&amp;"%","不適用")&amp;IF(ISNUMBER(C32),"、較共識 "&amp;IF(ISNUMBER(C51),IF(C51&lt;0,"−","+")&amp;TEXT(ABS(C51)*100,"#,##0.0")&amp;"%","不適用"),"")&amp;IF(AND(ISNUMBER(C36),ISNUMBER(C37)),"、"&amp;IF(C42&gt;C37,"高於上緣",IF(C42&lt;C36,"低於下緣",IF(C42&gt;=(C36+C37)/2,"區間上半部","區間下半部"))),"")&amp;"）","")&amp;C113</f>
        <v>營收：模型 $3.66bn｜共識 $3.54bn（+3.4%）｜指引 $3.45–3.60bn（中點 +3.9%，高於上緣）</v>
      </c>
      <c r="D118" s="64" t="str">
        <f aca="false">"營收：模型 "&amp;IF(ISNUMBER(D22),IF(D22&lt;0,"−","")&amp;"$"&amp;TEXT(ABS(D22),"#,##0.00")&amp;"bn","不適用")&amp;IF(ISNUMBER(D32),"｜共識 "&amp;IF(D32&lt;0,"−","")&amp;"$"&amp;TEXT(ABS(D32),"#,##0.00")&amp;"bn"&amp;"（"&amp;IF(ISNUMBER(D48),IF(D48&lt;0,"−","+")&amp;TEXT(ABS(D48)*100,"#,##0.0")&amp;"%","不適用")&amp;"）","")&amp;IF(AND(ISNUMBER(D36),ISNUMBER(D37)),"｜指引 "&amp;"$"&amp;IF(D36&lt;0,"−","")&amp;TEXT(ABS(D36),"#,##0.00")&amp;"–"&amp;IF(D37&lt;0,"−","")&amp;TEXT(ABS(D37),"#,##0.00")&amp;"bn"&amp;"（中點 "&amp;IF(ISNUMBER(D49),IF(D49&lt;0,"−","+")&amp;TEXT(ABS(D49)*100,"#,##0.0")&amp;"%","不適用")&amp;"，"&amp;IF(D22&gt;D37,"高於上緣",IF(D22&lt;D36,"低於下緣",IF(D22&gt;=(D36+D37)/2,"區間上半部","區間下半部")))&amp;"）","")&amp;IF(ISNUMBER(D42),"｜實際 "&amp;IF(D42&lt;0,"−","")&amp;"$"&amp;TEXT(ABS(D42),"#,##0.00")&amp;"bn"&amp;"（較模型 "&amp;IF(ISNUMBER(D50),IF(D50&lt;0,"−","+")&amp;TEXT(ABS(D50)*100,"#,##0.0")&amp;"%","不適用")&amp;IF(ISNUMBER(D32),"、較共識 "&amp;IF(ISNUMBER(D51),IF(D51&lt;0,"−","+")&amp;TEXT(ABS(D51)*100,"#,##0.0")&amp;"%","不適用"),"")&amp;IF(AND(ISNUMBER(D36),ISNUMBER(D37)),"、"&amp;IF(D42&gt;D37,"高於上緣",IF(D42&lt;D36,"低於下緣",IF(D42&gt;=(D36+D37)/2,"區間上半部","區間下半部"))),"")&amp;"）","")&amp;D113</f>
        <v>營收：模型 $4.75bn｜共識 $4.71bn（+0.9%）</v>
      </c>
      <c r="E118" s="64" t="str">
        <f aca="false">"營收：模型 "&amp;IF(ISNUMBER(E22),IF(E22&lt;0,"−","")&amp;"$"&amp;TEXT(ABS(E22),"#,##0.00")&amp;"bn","不適用")&amp;IF(ISNUMBER(E32),"｜共識 "&amp;IF(E32&lt;0,"−","")&amp;"$"&amp;TEXT(ABS(E32),"#,##0.00")&amp;"bn"&amp;"（"&amp;IF(ISNUMBER(E48),IF(E48&lt;0,"−","+")&amp;TEXT(ABS(E48)*100,"#,##0.0")&amp;"%","不適用")&amp;"）","")&amp;IF(AND(ISNUMBER(E36),ISNUMBER(E37)),"｜指引 "&amp;"$"&amp;IF(E36&lt;0,"−","")&amp;TEXT(ABS(E36),"#,##0.00")&amp;"–"&amp;IF(E37&lt;0,"−","")&amp;TEXT(ABS(E37),"#,##0.00")&amp;"bn"&amp;"（中點 "&amp;IF(ISNUMBER(E49),IF(E49&lt;0,"−","+")&amp;TEXT(ABS(E49)*100,"#,##0.0")&amp;"%","不適用")&amp;"，"&amp;IF(E22&gt;E37,"高於上緣",IF(E22&lt;E36,"低於下緣",IF(E22&gt;=(E36+E37)/2,"區間上半部","區間下半部")))&amp;"）","")&amp;IF(ISNUMBER(E42),"｜實際 "&amp;IF(E42&lt;0,"−","")&amp;"$"&amp;TEXT(ABS(E42),"#,##0.00")&amp;"bn"&amp;"（較模型 "&amp;IF(ISNUMBER(E50),IF(E50&lt;0,"−","+")&amp;TEXT(ABS(E50)*100,"#,##0.0")&amp;"%","不適用")&amp;IF(ISNUMBER(E32),"、較共識 "&amp;IF(ISNUMBER(E51),IF(E51&lt;0,"−","+")&amp;TEXT(ABS(E51)*100,"#,##0.0")&amp;"%","不適用"),"")&amp;IF(AND(ISNUMBER(E36),ISNUMBER(E37)),"、"&amp;IF(E42&gt;E37,"高於上緣",IF(E42&lt;E36,"低於下緣",IF(E42&gt;=(E36+E37)/2,"區間上半部","區間下半部"))),"")&amp;"）","")&amp;E113</f>
        <v>營收：模型 $5.25bn</v>
      </c>
      <c r="F118" s="64" t="str">
        <f aca="false">"營收：模型 "&amp;IF(ISNUMBER(F22),IF(F22&lt;0,"−","")&amp;"$"&amp;TEXT(ABS(F22),"#,##0.00")&amp;"bn","不適用")&amp;IF(ISNUMBER(F32),"｜共識 "&amp;IF(F32&lt;0,"−","")&amp;"$"&amp;TEXT(ABS(F32),"#,##0.00")&amp;"bn"&amp;"（"&amp;IF(ISNUMBER(F48),IF(F48&lt;0,"−","+")&amp;TEXT(ABS(F48)*100,"#,##0.0")&amp;"%","不適用")&amp;"）","")&amp;IF(AND(ISNUMBER(F36),ISNUMBER(F37)),"｜指引 "&amp;"$"&amp;IF(F36&lt;0,"−","")&amp;TEXT(ABS(F36),"#,##0.00")&amp;"–"&amp;IF(F37&lt;0,"−","")&amp;TEXT(ABS(F37),"#,##0.00")&amp;"bn"&amp;"（中點 "&amp;IF(ISNUMBER(F49),IF(F49&lt;0,"−","+")&amp;TEXT(ABS(F49)*100,"#,##0.0")&amp;"%","不適用")&amp;"，"&amp;IF(F22&gt;F37,"高於上緣",IF(F22&lt;F36,"低於下緣",IF(F22&gt;=(F36+F37)/2,"區間上半部","區間下半部")))&amp;"）","")&amp;IF(ISNUMBER(F42),"｜實際 "&amp;IF(F42&lt;0,"−","")&amp;"$"&amp;TEXT(ABS(F42),"#,##0.00")&amp;"bn"&amp;"（較模型 "&amp;IF(ISNUMBER(F50),IF(F50&lt;0,"−","+")&amp;TEXT(ABS(F50)*100,"#,##0.0")&amp;"%","不適用")&amp;IF(ISNUMBER(F32),"、較共識 "&amp;IF(ISNUMBER(F51),IF(F51&lt;0,"−","+")&amp;TEXT(ABS(F51)*100,"#,##0.0")&amp;"%","不適用"),"")&amp;IF(AND(ISNUMBER(F36),ISNUMBER(F37)),"、"&amp;IF(F42&gt;F37,"高於上緣",IF(F42&lt;F36,"低於下緣",IF(F42&gt;=(F36+F37)/2,"區間上半部","區間下半部"))),"")&amp;"）","")&amp;F113</f>
        <v>營收：模型 $6.11bn</v>
      </c>
      <c r="G118" s="64" t="str">
        <f aca="false">"營收：模型 "&amp;IF(ISNUMBER(G22),IF(G22&lt;0,"−","")&amp;"$"&amp;TEXT(ABS(G22),"#,##0.00")&amp;"bn","不適用")&amp;IF(ISNUMBER(G32),"｜共識 "&amp;IF(G32&lt;0,"−","")&amp;"$"&amp;TEXT(ABS(G32),"#,##0.00")&amp;"bn"&amp;"（"&amp;IF(ISNUMBER(G48),IF(G48&lt;0,"−","+")&amp;TEXT(ABS(G48)*100,"#,##0.0")&amp;"%","不適用")&amp;"）","")&amp;IF(AND(ISNUMBER(G36),ISNUMBER(G37)),"｜指引 "&amp;"$"&amp;IF(G36&lt;0,"−","")&amp;TEXT(ABS(G36),"#,##0.00")&amp;"–"&amp;IF(G37&lt;0,"−","")&amp;TEXT(ABS(G37),"#,##0.00")&amp;"bn"&amp;"（中點 "&amp;IF(ISNUMBER(G49),IF(G49&lt;0,"−","+")&amp;TEXT(ABS(G49)*100,"#,##0.0")&amp;"%","不適用")&amp;"，"&amp;IF(G22&gt;G37,"高於上緣",IF(G22&lt;G36,"低於下緣",IF(G22&gt;=(G36+G37)/2,"區間上半部","區間下半部")))&amp;"）","")&amp;IF(ISNUMBER(G42),"｜實際 "&amp;IF(G42&lt;0,"−","")&amp;"$"&amp;TEXT(ABS(G42),"#,##0.00")&amp;"bn"&amp;"（較模型 "&amp;IF(ISNUMBER(G50),IF(G50&lt;0,"−","+")&amp;TEXT(ABS(G50)*100,"#,##0.0")&amp;"%","不適用")&amp;IF(ISNUMBER(G32),"、較共識 "&amp;IF(ISNUMBER(G51),IF(G51&lt;0,"−","+")&amp;TEXT(ABS(G51)*100,"#,##0.0")&amp;"%","不適用"),"")&amp;IF(AND(ISNUMBER(G36),ISNUMBER(G37)),"、"&amp;IF(G42&gt;G37,"高於上緣",IF(G42&lt;G36,"低於下緣",IF(G42&gt;=(G36+G37)/2,"區間上半部","區間下半部"))),"")&amp;"）","")&amp;G113</f>
        <v>營收：模型 $6.96bn</v>
      </c>
      <c r="H118" s="64" t="str">
        <f aca="false">"營收：模型 "&amp;IF(ISNUMBER(H22),IF(H22&lt;0,"−","")&amp;"$"&amp;TEXT(ABS(H22),"#,##0.00")&amp;"bn","不適用")&amp;IF(ISNUMBER(H32),"｜共識 "&amp;IF(H32&lt;0,"−","")&amp;"$"&amp;TEXT(ABS(H32),"#,##0.00")&amp;"bn"&amp;"（"&amp;IF(ISNUMBER(H48),IF(H48&lt;0,"−","+")&amp;TEXT(ABS(H48)*100,"#,##0.0")&amp;"%","不適用")&amp;"）","")&amp;IF(AND(ISNUMBER(H36),ISNUMBER(H37)),"｜指引 "&amp;"$"&amp;IF(H36&lt;0,"−","")&amp;TEXT(ABS(H36),"#,##0.00")&amp;"–"&amp;IF(H37&lt;0,"−","")&amp;TEXT(ABS(H37),"#,##0.00")&amp;"bn"&amp;"（中點 "&amp;IF(ISNUMBER(H49),IF(H49&lt;0,"−","+")&amp;TEXT(ABS(H49)*100,"#,##0.0")&amp;"%","不適用")&amp;"，"&amp;IF(H22&gt;H37,"高於上緣",IF(H22&lt;H36,"低於下緣",IF(H22&gt;=(H36+H37)/2,"區間上半部","區間下半部")))&amp;"）","")&amp;IF(ISNUMBER(H42),"｜實際 "&amp;IF(H42&lt;0,"−","")&amp;"$"&amp;TEXT(ABS(H42),"#,##0.00")&amp;"bn"&amp;"（較模型 "&amp;IF(ISNUMBER(H50),IF(H50&lt;0,"−","+")&amp;TEXT(ABS(H50)*100,"#,##0.0")&amp;"%","不適用")&amp;IF(ISNUMBER(H32),"、較共識 "&amp;IF(ISNUMBER(H51),IF(H51&lt;0,"−","+")&amp;TEXT(ABS(H51)*100,"#,##0.0")&amp;"%","不適用"),"")&amp;IF(AND(ISNUMBER(H36),ISNUMBER(H37)),"、"&amp;IF(H42&gt;H37,"高於上緣",IF(H42&lt;H36,"低於下緣",IF(H42&gt;=(H36+H37)/2,"區間上半部","區間下半部"))),"")&amp;"）","")&amp;H113</f>
        <v>營收：模型 $7.81bn</v>
      </c>
    </row>
    <row r="119" customFormat="false" ht="15" hidden="true" customHeight="false" outlineLevel="1" collapsed="false">
      <c r="A119" s="3" t="s">
        <v>827</v>
      </c>
      <c r="C119" s="64" t="str">
        <f aca="false">"調整後 EBITDA：模型 "&amp;IF(ISNUMBER(C28),IF(C28&lt;0,"−","")&amp;"$"&amp;TEXT(ABS(C28),"#,##0.00")&amp;"bn","不適用")&amp;IF(ISNUMBER(C33),"｜共識 "&amp;IF(C33&lt;0,"−","")&amp;"$"&amp;TEXT(ABS(C33),"#,##0.00")&amp;"bn"&amp;"（"&amp;IF(ISNUMBER(C53),IF(C53&lt;0,"−","+")&amp;TEXT(ABS(C53)*100,"#,##0.0")&amp;"%","不適用")&amp;"）","")&amp;IF(ISNUMBER(C43),"｜實際 "&amp;IF(C43&lt;0,"−","")&amp;"$"&amp;TEXT(ABS(C43),"#,##0.00")&amp;"bn"&amp;"（較模型 "&amp;IF(ISNUMBER(C55),IF(C55&lt;0,"−","+")&amp;TEXT(ABS(C55)*100,"#,##0.0")&amp;"%","不適用")&amp;IF(ISNUMBER(C33),"、較共識 "&amp;IF(ISNUMBER(C56),IF(C56&lt;0,"−","+")&amp;TEXT(ABS(C56)*100,"#,##0.0")&amp;"%","不適用"),"")&amp;"）","")&amp;C114</f>
        <v>調整後 EBITDA：模型 $2.15bn｜共識 $2.05bn（+5.1%）〔拆法〕</v>
      </c>
      <c r="D119" s="64" t="str">
        <f aca="false">"調整後 EBITDA：模型 "&amp;IF(ISNUMBER(D28),IF(D28&lt;0,"−","")&amp;"$"&amp;TEXT(ABS(D28),"#,##0.00")&amp;"bn","不適用")&amp;IF(ISNUMBER(D33),"｜共識 "&amp;IF(D33&lt;0,"−","")&amp;"$"&amp;TEXT(ABS(D33),"#,##0.00")&amp;"bn"&amp;"（"&amp;IF(ISNUMBER(D53),IF(D53&lt;0,"−","+")&amp;TEXT(ABS(D53)*100,"#,##0.0")&amp;"%","不適用")&amp;"）","")&amp;IF(ISNUMBER(D43),"｜實際 "&amp;IF(D43&lt;0,"−","")&amp;"$"&amp;TEXT(ABS(D43),"#,##0.00")&amp;"bn"&amp;"（較模型 "&amp;IF(ISNUMBER(D55),IF(D55&lt;0,"−","+")&amp;TEXT(ABS(D55)*100,"#,##0.0")&amp;"%","不適用")&amp;IF(ISNUMBER(D33),"、較共識 "&amp;IF(ISNUMBER(D56),IF(D56&lt;0,"−","+")&amp;TEXT(ABS(D56)*100,"#,##0.0")&amp;"%","不適用"),"")&amp;"）","")&amp;D114</f>
        <v>調整後 EBITDA：模型 $2.81bn｜共識 $2.90bn（−2.9%）</v>
      </c>
      <c r="E119" s="64" t="str">
        <f aca="false">"調整後 EBITDA：模型 "&amp;IF(ISNUMBER(E28),IF(E28&lt;0,"−","")&amp;"$"&amp;TEXT(ABS(E28),"#,##0.00")&amp;"bn","不適用")&amp;IF(ISNUMBER(E33),"｜共識 "&amp;IF(E33&lt;0,"−","")&amp;"$"&amp;TEXT(ABS(E33),"#,##0.00")&amp;"bn"&amp;"（"&amp;IF(ISNUMBER(E53),IF(E53&lt;0,"−","+")&amp;TEXT(ABS(E53)*100,"#,##0.0")&amp;"%","不適用")&amp;"）","")&amp;IF(ISNUMBER(E43),"｜實際 "&amp;IF(E43&lt;0,"−","")&amp;"$"&amp;TEXT(ABS(E43),"#,##0.00")&amp;"bn"&amp;"（較模型 "&amp;IF(ISNUMBER(E55),IF(E55&lt;0,"−","+")&amp;TEXT(ABS(E55)*100,"#,##0.0")&amp;"%","不適用")&amp;IF(ISNUMBER(E33),"、較共識 "&amp;IF(ISNUMBER(E56),IF(E56&lt;0,"−","+")&amp;TEXT(ABS(E56)*100,"#,##0.0")&amp;"%","不適用"),"")&amp;"）","")&amp;E114</f>
        <v>調整後 EBITDA：模型 $3.14bn</v>
      </c>
      <c r="F119" s="64" t="str">
        <f aca="false">"調整後 EBITDA：模型 "&amp;IF(ISNUMBER(F28),IF(F28&lt;0,"−","")&amp;"$"&amp;TEXT(ABS(F28),"#,##0.00")&amp;"bn","不適用")&amp;IF(ISNUMBER(F33),"｜共識 "&amp;IF(F33&lt;0,"−","")&amp;"$"&amp;TEXT(ABS(F33),"#,##0.00")&amp;"bn"&amp;"（"&amp;IF(ISNUMBER(F53),IF(F53&lt;0,"−","+")&amp;TEXT(ABS(F53)*100,"#,##0.0")&amp;"%","不適用")&amp;"）","")&amp;IF(ISNUMBER(F43),"｜實際 "&amp;IF(F43&lt;0,"−","")&amp;"$"&amp;TEXT(ABS(F43),"#,##0.00")&amp;"bn"&amp;"（較模型 "&amp;IF(ISNUMBER(F55),IF(F55&lt;0,"−","+")&amp;TEXT(ABS(F55)*100,"#,##0.0")&amp;"%","不適用")&amp;IF(ISNUMBER(F33),"、較共識 "&amp;IF(ISNUMBER(F56),IF(F56&lt;0,"−","+")&amp;TEXT(ABS(F56)*100,"#,##0.0")&amp;"%","不適用"),"")&amp;"）","")&amp;F114</f>
        <v>調整後 EBITDA：模型 $3.67bn</v>
      </c>
      <c r="G119" s="64" t="str">
        <f aca="false">"調整後 EBITDA：模型 "&amp;IF(ISNUMBER(G28),IF(G28&lt;0,"−","")&amp;"$"&amp;TEXT(ABS(G28),"#,##0.00")&amp;"bn","不適用")&amp;IF(ISNUMBER(G33),"｜共識 "&amp;IF(G33&lt;0,"−","")&amp;"$"&amp;TEXT(ABS(G33),"#,##0.00")&amp;"bn"&amp;"（"&amp;IF(ISNUMBER(G53),IF(G53&lt;0,"−","+")&amp;TEXT(ABS(G53)*100,"#,##0.0")&amp;"%","不適用")&amp;"）","")&amp;IF(ISNUMBER(G43),"｜實際 "&amp;IF(G43&lt;0,"−","")&amp;"$"&amp;TEXT(ABS(G43),"#,##0.00")&amp;"bn"&amp;"（較模型 "&amp;IF(ISNUMBER(G55),IF(G55&lt;0,"−","+")&amp;TEXT(ABS(G55)*100,"#,##0.0")&amp;"%","不適用")&amp;IF(ISNUMBER(G33),"、較共識 "&amp;IF(ISNUMBER(G56),IF(G56&lt;0,"−","+")&amp;TEXT(ABS(G56)*100,"#,##0.0")&amp;"%","不適用"),"")&amp;"）","")&amp;G114</f>
        <v>調整後 EBITDA：模型 $4.22bn</v>
      </c>
      <c r="H119" s="64" t="str">
        <f aca="false">"調整後 EBITDA：模型 "&amp;IF(ISNUMBER(H28),IF(H28&lt;0,"−","")&amp;"$"&amp;TEXT(ABS(H28),"#,##0.00")&amp;"bn","不適用")&amp;IF(ISNUMBER(H33),"｜共識 "&amp;IF(H33&lt;0,"−","")&amp;"$"&amp;TEXT(ABS(H33),"#,##0.00")&amp;"bn"&amp;"（"&amp;IF(ISNUMBER(H53),IF(H53&lt;0,"−","+")&amp;TEXT(ABS(H53)*100,"#,##0.0")&amp;"%","不適用")&amp;"）","")&amp;IF(ISNUMBER(H43),"｜實際 "&amp;IF(H43&lt;0,"−","")&amp;"$"&amp;TEXT(ABS(H43),"#,##0.00")&amp;"bn"&amp;"（較模型 "&amp;IF(ISNUMBER(H55),IF(H55&lt;0,"−","+")&amp;TEXT(ABS(H55)*100,"#,##0.0")&amp;"%","不適用")&amp;IF(ISNUMBER(H33),"、較共識 "&amp;IF(ISNUMBER(H56),IF(H56&lt;0,"−","+")&amp;TEXT(ABS(H56)*100,"#,##0.0")&amp;"%","不適用"),"")&amp;"）","")&amp;H114</f>
        <v>調整後 EBITDA：模型 $4.78bn</v>
      </c>
    </row>
    <row r="120" customFormat="false" ht="15" hidden="true" customHeight="false" outlineLevel="1" collapsed="false">
      <c r="A120" s="3" t="s">
        <v>828</v>
      </c>
      <c r="C120" s="64" t="str">
        <f aca="false">"EBITDA 率：模型 "&amp;IF(ISNUMBER(C27),IF(C27&lt;0,"−","")&amp;TEXT(ABS(C27)*100,"#,##0.0")&amp;"%","不適用")&amp;IF(ISNUMBER(C34),"｜共識 "&amp;IF(C34&lt;0,"−","")&amp;TEXT(ABS(C34)*100,"#,##0.0")&amp;"%"&amp;"（"&amp;IF(ISNUMBER(C58),IF(C58&lt;0,"−","+")&amp;TEXT(ABS(C58)*100,"#,##0.0")&amp;"pt","不適用")&amp;"）","")&amp;IF(ISNUMBER(C44),"｜實際 "&amp;IF(C44&lt;0,"−","")&amp;TEXT(ABS(C44)*100,"#,##0.0")&amp;"%"&amp;"（較模型 "&amp;IF(ISNUMBER(C60),IF(C60&lt;0,"−","+")&amp;TEXT(ABS(C60)*100,"#,##0.0")&amp;"pt","不適用")&amp;IF(ISNUMBER(C34),"、較共識 "&amp;IF(ISNUMBER(C61),IF(C61&lt;0,"−","+")&amp;TEXT(ABS(C61)*100,"#,##0.0")&amp;"pt","不適用"),"")&amp;"）","")</f>
        <v>EBITDA 率：模型 58.7%｜共識 57.8%（+0.9pt）</v>
      </c>
      <c r="D120" s="64" t="str">
        <f aca="false">"EBITDA 率：模型 "&amp;IF(ISNUMBER(D27),IF(D27&lt;0,"−","")&amp;TEXT(ABS(D27)*100,"#,##0.0")&amp;"%","不適用")&amp;IF(ISNUMBER(D34),"｜共識 "&amp;IF(D34&lt;0,"−","")&amp;TEXT(ABS(D34)*100,"#,##0.0")&amp;"%"&amp;"（"&amp;IF(ISNUMBER(D58),IF(D58&lt;0,"−","+")&amp;TEXT(ABS(D58)*100,"#,##0.0")&amp;"pt","不適用")&amp;"）","")&amp;IF(ISNUMBER(D44),"｜實際 "&amp;IF(D44&lt;0,"−","")&amp;TEXT(ABS(D44)*100,"#,##0.0")&amp;"%"&amp;"（較模型 "&amp;IF(ISNUMBER(D60),IF(D60&lt;0,"−","+")&amp;TEXT(ABS(D60)*100,"#,##0.0")&amp;"pt","不適用")&amp;IF(ISNUMBER(D34),"、較共識 "&amp;IF(ISNUMBER(D61),IF(D61&lt;0,"−","+")&amp;TEXT(ABS(D61)*100,"#,##0.0")&amp;"pt","不適用"),"")&amp;"）","")</f>
        <v>EBITDA 率：模型 59.2%｜共識 61.6%（−2.3pt）</v>
      </c>
      <c r="E120" s="64" t="str">
        <f aca="false">"EBITDA 率：模型 "&amp;IF(ISNUMBER(E27),IF(E27&lt;0,"−","")&amp;TEXT(ABS(E27)*100,"#,##0.0")&amp;"%","不適用")&amp;IF(ISNUMBER(E34),"｜共識 "&amp;IF(E34&lt;0,"−","")&amp;TEXT(ABS(E34)*100,"#,##0.0")&amp;"%"&amp;"（"&amp;IF(ISNUMBER(E58),IF(E58&lt;0,"−","+")&amp;TEXT(ABS(E58)*100,"#,##0.0")&amp;"pt","不適用")&amp;"）","")&amp;IF(ISNUMBER(E44),"｜實際 "&amp;IF(E44&lt;0,"−","")&amp;TEXT(ABS(E44)*100,"#,##0.0")&amp;"%"&amp;"（較模型 "&amp;IF(ISNUMBER(E60),IF(E60&lt;0,"−","+")&amp;TEXT(ABS(E60)*100,"#,##0.0")&amp;"pt","不適用")&amp;IF(ISNUMBER(E34),"、較共識 "&amp;IF(ISNUMBER(E61),IF(E61&lt;0,"−","+")&amp;TEXT(ABS(E61)*100,"#,##0.0")&amp;"pt","不適用"),"")&amp;"）","")</f>
        <v>EBITDA 率：模型 59.7%</v>
      </c>
      <c r="F120" s="64" t="str">
        <f aca="false">"EBITDA 率：模型 "&amp;IF(ISNUMBER(F27),IF(F27&lt;0,"−","")&amp;TEXT(ABS(F27)*100,"#,##0.0")&amp;"%","不適用")&amp;IF(ISNUMBER(F34),"｜共識 "&amp;IF(F34&lt;0,"−","")&amp;TEXT(ABS(F34)*100,"#,##0.0")&amp;"%"&amp;"（"&amp;IF(ISNUMBER(F58),IF(F58&lt;0,"−","+")&amp;TEXT(ABS(F58)*100,"#,##0.0")&amp;"pt","不適用")&amp;"）","")&amp;IF(ISNUMBER(F44),"｜實際 "&amp;IF(F44&lt;0,"−","")&amp;TEXT(ABS(F44)*100,"#,##0.0")&amp;"%"&amp;"（較模型 "&amp;IF(ISNUMBER(F60),IF(F60&lt;0,"−","+")&amp;TEXT(ABS(F60)*100,"#,##0.0")&amp;"pt","不適用")&amp;IF(ISNUMBER(F34),"、較共識 "&amp;IF(ISNUMBER(F61),IF(F61&lt;0,"−","+")&amp;TEXT(ABS(F61)*100,"#,##0.0")&amp;"pt","不適用"),"")&amp;"）","")</f>
        <v>EBITDA 率：模型 60.2%</v>
      </c>
      <c r="G120" s="64" t="str">
        <f aca="false">"EBITDA 率：模型 "&amp;IF(ISNUMBER(G27),IF(G27&lt;0,"−","")&amp;TEXT(ABS(G27)*100,"#,##0.0")&amp;"%","不適用")&amp;IF(ISNUMBER(G34),"｜共識 "&amp;IF(G34&lt;0,"−","")&amp;TEXT(ABS(G34)*100,"#,##0.0")&amp;"%"&amp;"（"&amp;IF(ISNUMBER(G58),IF(G58&lt;0,"−","+")&amp;TEXT(ABS(G58)*100,"#,##0.0")&amp;"pt","不適用")&amp;"）","")&amp;IF(ISNUMBER(G44),"｜實際 "&amp;IF(G44&lt;0,"−","")&amp;TEXT(ABS(G44)*100,"#,##0.0")&amp;"%"&amp;"（較模型 "&amp;IF(ISNUMBER(G60),IF(G60&lt;0,"−","+")&amp;TEXT(ABS(G60)*100,"#,##0.0")&amp;"pt","不適用")&amp;IF(ISNUMBER(G34),"、較共識 "&amp;IF(ISNUMBER(G61),IF(G61&lt;0,"−","+")&amp;TEXT(ABS(G61)*100,"#,##0.0")&amp;"pt","不適用"),"")&amp;"）","")</f>
        <v>EBITDA 率：模型 60.7%</v>
      </c>
      <c r="H120" s="64" t="str">
        <f aca="false">"EBITDA 率：模型 "&amp;IF(ISNUMBER(H27),IF(H27&lt;0,"−","")&amp;TEXT(ABS(H27)*100,"#,##0.0")&amp;"%","不適用")&amp;IF(ISNUMBER(H34),"｜共識 "&amp;IF(H34&lt;0,"−","")&amp;TEXT(ABS(H34)*100,"#,##0.0")&amp;"%"&amp;"（"&amp;IF(ISNUMBER(H58),IF(H58&lt;0,"−","+")&amp;TEXT(ABS(H58)*100,"#,##0.0")&amp;"pt","不適用")&amp;"）","")&amp;IF(ISNUMBER(H44),"｜實際 "&amp;IF(H44&lt;0,"−","")&amp;TEXT(ABS(H44)*100,"#,##0.0")&amp;"%"&amp;"（較模型 "&amp;IF(ISNUMBER(H60),IF(H60&lt;0,"−","+")&amp;TEXT(ABS(H60)*100,"#,##0.0")&amp;"pt","不適用")&amp;IF(ISNUMBER(H34),"、較共識 "&amp;IF(ISNUMBER(H61),IF(H61&lt;0,"−","+")&amp;TEXT(ABS(H61)*100,"#,##0.0")&amp;"pt","不適用"),"")&amp;"）","")</f>
        <v>EBITDA 率：模型 61.1%</v>
      </c>
    </row>
    <row r="121" customFormat="false" ht="15" hidden="true" customHeight="false" outlineLevel="1" collapsed="false">
      <c r="A121" s="3" t="s">
        <v>829</v>
      </c>
      <c r="C121" s="64" t="str">
        <f aca="false">"調整後營業利益：模型 "&amp;IF(ISNUMBER(C30),IF(C30&lt;0,"−","")&amp;"$"&amp;TEXT(ABS(C30),"#,##0.00")&amp;"bn","不適用")&amp;IF(AND(ISNUMBER(C38),ISNUMBER(C39)),"｜指引 "&amp;"$"&amp;IF(C38&lt;0,"−","")&amp;TEXT(ABS(C38),"#,##0.00")&amp;"–"&amp;IF(C39&lt;0,"−","")&amp;TEXT(ABS(C39),"#,##0.00")&amp;"bn"&amp;"（中點 "&amp;IF(ISNUMBER(C64),IF(C64&lt;0,"−","+")&amp;TEXT(ABS(C64)*100,"#,##0.0")&amp;"%","不適用")&amp;"，"&amp;IF(C30&gt;C39,"高於上緣",IF(C30&lt;C38,"低於下緣",IF(C30&gt;=(C38+C39)/2,"區間上半部","區間下半部")))&amp;"）","")&amp;IF(ISNUMBER(C45),"｜實際 "&amp;IF(C45&lt;0,"−","")&amp;"$"&amp;TEXT(ABS(C45),"#,##0.00")&amp;"bn"&amp;"（較模型 "&amp;IF(ISNUMBER(C65),IF(C65&lt;0,"−","+")&amp;TEXT(ABS(C65)*100,"#,##0.0")&amp;"%","不適用")&amp;IF(AND(ISNUMBER(C38),ISNUMBER(C39)),"、"&amp;IF(C45&gt;C39,"高於上緣",IF(C45&lt;C38,"低於下緣",IF(C45&gt;=(C38+C39)/2,"區間上半部","區間下半部"))),"")&amp;"）","")&amp;C115</f>
        <v>調整後營業利益：模型 −$0.01bn｜指引 $0.20–0.26bn（中點 −105.8%，低於下緣）〔已知限制〕</v>
      </c>
      <c r="D121" s="64" t="str">
        <f aca="false">"調整後營業利益：模型 "&amp;IF(ISNUMBER(D30),IF(D30&lt;0,"−","")&amp;"$"&amp;TEXT(ABS(D30),"#,##0.00")&amp;"bn","不適用")&amp;IF(AND(ISNUMBER(D38),ISNUMBER(D39)),"｜指引 "&amp;"$"&amp;IF(D38&lt;0,"−","")&amp;TEXT(ABS(D38),"#,##0.00")&amp;"–"&amp;IF(D39&lt;0,"−","")&amp;TEXT(ABS(D39),"#,##0.00")&amp;"bn"&amp;"（中點 "&amp;IF(ISNUMBER(D64),IF(D64&lt;0,"−","+")&amp;TEXT(ABS(D64)*100,"#,##0.0")&amp;"%","不適用")&amp;"，"&amp;IF(D30&gt;D39,"高於上緣",IF(D30&lt;D38,"低於下緣",IF(D30&gt;=(D38+D39)/2,"區間上半部","區間下半部")))&amp;"）","")&amp;IF(ISNUMBER(D45),"｜實際 "&amp;IF(D45&lt;0,"−","")&amp;"$"&amp;TEXT(ABS(D45),"#,##0.00")&amp;"bn"&amp;"（較模型 "&amp;IF(ISNUMBER(D65),IF(D65&lt;0,"−","+")&amp;TEXT(ABS(D65)*100,"#,##0.0")&amp;"%","不適用")&amp;IF(AND(ISNUMBER(D38),ISNUMBER(D39)),"、"&amp;IF(D45&gt;D39,"高於上緣",IF(D45&lt;D38,"低於下緣",IF(D45&gt;=(D38+D39)/2,"區間上半部","區間下半部"))),"")&amp;"）","")&amp;D115</f>
        <v>調整後營業利益：模型 $0.21bn</v>
      </c>
      <c r="E121" s="64" t="str">
        <f aca="false">"調整後營業利益：模型 "&amp;IF(ISNUMBER(E30),IF(E30&lt;0,"−","")&amp;"$"&amp;TEXT(ABS(E30),"#,##0.00")&amp;"bn","不適用")&amp;IF(AND(ISNUMBER(E38),ISNUMBER(E39)),"｜指引 "&amp;"$"&amp;IF(E38&lt;0,"−","")&amp;TEXT(ABS(E38),"#,##0.00")&amp;"–"&amp;IF(E39&lt;0,"−","")&amp;TEXT(ABS(E39),"#,##0.00")&amp;"bn"&amp;"（中點 "&amp;IF(ISNUMBER(E64),IF(E64&lt;0,"−","+")&amp;TEXT(ABS(E64)*100,"#,##0.0")&amp;"%","不適用")&amp;"，"&amp;IF(E30&gt;E39,"高於上緣",IF(E30&lt;E38,"低於下緣",IF(E30&gt;=(E38+E39)/2,"區間上半部","區間下半部")))&amp;"）","")&amp;IF(ISNUMBER(E45),"｜實際 "&amp;IF(E45&lt;0,"−","")&amp;"$"&amp;TEXT(ABS(E45),"#,##0.00")&amp;"bn"&amp;"（較模型 "&amp;IF(ISNUMBER(E65),IF(E65&lt;0,"−","+")&amp;TEXT(ABS(E65)*100,"#,##0.0")&amp;"%","不適用")&amp;IF(AND(ISNUMBER(E38),ISNUMBER(E39)),"、"&amp;IF(E45&gt;E39,"高於上緣",IF(E45&lt;E38,"低於下緣",IF(E45&gt;=(E38+E39)/2,"區間上半部","區間下半部"))),"")&amp;"）","")&amp;E115</f>
        <v>調整後營業利益：模型 $0.12bn</v>
      </c>
      <c r="F121" s="64" t="str">
        <f aca="false">"調整後營業利益：模型 "&amp;IF(ISNUMBER(F30),IF(F30&lt;0,"−","")&amp;"$"&amp;TEXT(ABS(F30),"#,##0.00")&amp;"bn","不適用")&amp;IF(AND(ISNUMBER(F38),ISNUMBER(F39)),"｜指引 "&amp;"$"&amp;IF(F38&lt;0,"−","")&amp;TEXT(ABS(F38),"#,##0.00")&amp;"–"&amp;IF(F39&lt;0,"−","")&amp;TEXT(ABS(F39),"#,##0.00")&amp;"bn"&amp;"（中點 "&amp;IF(ISNUMBER(F64),IF(F64&lt;0,"−","+")&amp;TEXT(ABS(F64)*100,"#,##0.0")&amp;"%","不適用")&amp;"，"&amp;IF(F30&gt;F39,"高於上緣",IF(F30&lt;F38,"低於下緣",IF(F30&gt;=(F38+F39)/2,"區間上半部","區間下半部")))&amp;"）","")&amp;IF(ISNUMBER(F45),"｜實際 "&amp;IF(F45&lt;0,"−","")&amp;"$"&amp;TEXT(ABS(F45),"#,##0.00")&amp;"bn"&amp;"（較模型 "&amp;IF(ISNUMBER(F65),IF(F65&lt;0,"−","+")&amp;TEXT(ABS(F65)*100,"#,##0.0")&amp;"%","不適用")&amp;IF(AND(ISNUMBER(F38),ISNUMBER(F39)),"、"&amp;IF(F45&gt;F39,"高於上緣",IF(F45&lt;F38,"低於下緣",IF(F45&gt;=(F38+F39)/2,"區間上半部","區間下半部"))),"")&amp;"）","")&amp;F115</f>
        <v>調整後營業利益：模型 $0.26bn</v>
      </c>
      <c r="G121" s="64" t="str">
        <f aca="false">"調整後營業利益：模型 "&amp;IF(ISNUMBER(G30),IF(G30&lt;0,"−","")&amp;"$"&amp;TEXT(ABS(G30),"#,##0.00")&amp;"bn","不適用")&amp;IF(AND(ISNUMBER(G38),ISNUMBER(G39)),"｜指引 "&amp;"$"&amp;IF(G38&lt;0,"−","")&amp;TEXT(ABS(G38),"#,##0.00")&amp;"–"&amp;IF(G39&lt;0,"−","")&amp;TEXT(ABS(G39),"#,##0.00")&amp;"bn"&amp;"（中點 "&amp;IF(ISNUMBER(G64),IF(G64&lt;0,"−","+")&amp;TEXT(ABS(G64)*100,"#,##0.0")&amp;"%","不適用")&amp;"，"&amp;IF(G30&gt;G39,"高於上緣",IF(G30&lt;G38,"低於下緣",IF(G30&gt;=(G38+G39)/2,"區間上半部","區間下半部")))&amp;"）","")&amp;IF(ISNUMBER(G45),"｜實際 "&amp;IF(G45&lt;0,"−","")&amp;"$"&amp;TEXT(ABS(G45),"#,##0.00")&amp;"bn"&amp;"（較模型 "&amp;IF(ISNUMBER(G65),IF(G65&lt;0,"−","+")&amp;TEXT(ABS(G65)*100,"#,##0.0")&amp;"%","不適用")&amp;IF(AND(ISNUMBER(G38),ISNUMBER(G39)),"、"&amp;IF(G45&gt;G39,"高於上緣",IF(G45&lt;G38,"低於下緣",IF(G45&gt;=(G38+G39)/2,"區間上半部","區間下半部"))),"")&amp;"）","")&amp;G115</f>
        <v>調整後營業利益：模型 $0.41bn</v>
      </c>
      <c r="H121" s="64" t="str">
        <f aca="false">"調整後營業利益：模型 "&amp;IF(ISNUMBER(H30),IF(H30&lt;0,"−","")&amp;"$"&amp;TEXT(ABS(H30),"#,##0.00")&amp;"bn","不適用")&amp;IF(AND(ISNUMBER(H38),ISNUMBER(H39)),"｜指引 "&amp;"$"&amp;IF(H38&lt;0,"−","")&amp;TEXT(ABS(H38),"#,##0.00")&amp;"–"&amp;IF(H39&lt;0,"−","")&amp;TEXT(ABS(H39),"#,##0.00")&amp;"bn"&amp;"（中點 "&amp;IF(ISNUMBER(H64),IF(H64&lt;0,"−","+")&amp;TEXT(ABS(H64)*100,"#,##0.0")&amp;"%","不適用")&amp;"，"&amp;IF(H30&gt;H39,"高於上緣",IF(H30&lt;H38,"低於下緣",IF(H30&gt;=(H38+H39)/2,"區間上半部","區間下半部")))&amp;"）","")&amp;IF(ISNUMBER(H45),"｜實際 "&amp;IF(H45&lt;0,"−","")&amp;"$"&amp;TEXT(ABS(H45),"#,##0.00")&amp;"bn"&amp;"（較模型 "&amp;IF(ISNUMBER(H65),IF(H65&lt;0,"−","+")&amp;TEXT(ABS(H65)*100,"#,##0.0")&amp;"%","不適用")&amp;IF(AND(ISNUMBER(H38),ISNUMBER(H39)),"、"&amp;IF(H45&gt;H39,"高於上緣",IF(H45&lt;H38,"低於下緣",IF(H45&gt;=(H38+H39)/2,"區間上半部","區間下半部"))),"")&amp;"）","")&amp;H115</f>
        <v>調整後營業利益：模型 $0.56bn</v>
      </c>
    </row>
    <row r="122" customFormat="false" ht="15" hidden="true" customHeight="false" outlineLevel="1" collapsed="false">
      <c r="A122" s="3" t="s">
        <v>830</v>
      </c>
      <c r="C122" s="64" t="str">
        <f aca="false">"CapEx（毛額）：模型 "&amp;IF(ISNUMBER(C31),IF(C31&lt;0,"−","")&amp;"$"&amp;TEXT(ABS(C31),"#,##0.00")&amp;"bn","不適用")&amp;IF(AND(ISNUMBER(C40),ISNUMBER(C41)),"｜指引 "&amp;"$"&amp;IF(C40&lt;0,"−","")&amp;TEXT(ABS(C40),"#,##0.00")&amp;"–"&amp;IF(C41&lt;0,"−","")&amp;TEXT(ABS(C41),"#,##0.00")&amp;"bn"&amp;"（中點 "&amp;IF(ISNUMBER(C69),IF(C69&lt;0,"−","+")&amp;TEXT(ABS(C69)*100,"#,##0.0")&amp;"%","不適用")&amp;"，"&amp;IF(C31&gt;C41,"高於上緣",IF(C31&lt;C40,"低於下緣",IF(C31&gt;=(C40+C41)/2,"區間上半部","區間下半部")))&amp;"）","")&amp;IF(ISNUMBER(C46),"｜實際 "&amp;IF(C46&lt;0,"−","")&amp;"$"&amp;TEXT(ABS(C46),"#,##0.00")&amp;"bn"&amp;"（較模型 "&amp;IF(ISNUMBER(C70),IF(C70&lt;0,"−","+")&amp;TEXT(ABS(C70)*100,"#,##0.0")&amp;"%","不適用")&amp;IF(AND(ISNUMBER(C40),ISNUMBER(C41)),"、"&amp;IF(C46&gt;C41,"高於上緣",IF(C46&lt;C40,"低於下緣",IF(C46&gt;=(C40+C41)/2,"區間上半部","區間下半部"))),"")&amp;"）","")&amp;C116</f>
        <v>CapEx（毛額）：模型 $10.42bn｜指引 $11.50–13.50bn（中點 −16.7%，低於下緣）〔拆法〕</v>
      </c>
      <c r="D122" s="64" t="str">
        <f aca="false">"CapEx（毛額）：模型 "&amp;IF(ISNUMBER(D31),IF(D31&lt;0,"−","")&amp;"$"&amp;TEXT(ABS(D31),"#,##0.00")&amp;"bn","不適用")&amp;IF(AND(ISNUMBER(D40),ISNUMBER(D41)),"｜指引 "&amp;"$"&amp;IF(D40&lt;0,"−","")&amp;TEXT(ABS(D40),"#,##0.00")&amp;"–"&amp;IF(D41&lt;0,"−","")&amp;TEXT(ABS(D41),"#,##0.00")&amp;"bn"&amp;"（中點 "&amp;IF(ISNUMBER(D69),IF(D69&lt;0,"−","+")&amp;TEXT(ABS(D69)*100,"#,##0.0")&amp;"%","不適用")&amp;"，"&amp;IF(D31&gt;D41,"高於上緣",IF(D31&lt;D40,"低於下緣",IF(D31&gt;=(D40+D41)/2,"區間上半部","區間下半部")))&amp;"）","")&amp;IF(ISNUMBER(D46),"｜實際 "&amp;IF(D46&lt;0,"−","")&amp;"$"&amp;TEXT(ABS(D46),"#,##0.00")&amp;"bn"&amp;"（較模型 "&amp;IF(ISNUMBER(D70),IF(D70&lt;0,"−","+")&amp;TEXT(ABS(D70)*100,"#,##0.0")&amp;"%","不適用")&amp;IF(AND(ISNUMBER(D40),ISNUMBER(D41)),"、"&amp;IF(D46&gt;D41,"高於上緣",IF(D46&lt;D40,"低於下緣",IF(D46&gt;=(D40+D41)/2,"區間上半部","區間下半部"))),"")&amp;"）","")&amp;D116</f>
        <v>CapEx（毛額）：模型 $10.42bn</v>
      </c>
      <c r="E122" s="64" t="str">
        <f aca="false">"CapEx（毛額）：模型 "&amp;IF(ISNUMBER(E31),IF(E31&lt;0,"−","")&amp;"$"&amp;TEXT(ABS(E31),"#,##0.00")&amp;"bn","不適用")&amp;IF(AND(ISNUMBER(E40),ISNUMBER(E41)),"｜指引 "&amp;"$"&amp;IF(E40&lt;0,"−","")&amp;TEXT(ABS(E40),"#,##0.00")&amp;"–"&amp;IF(E41&lt;0,"−","")&amp;TEXT(ABS(E41),"#,##0.00")&amp;"bn"&amp;"（中點 "&amp;IF(ISNUMBER(E69),IF(E69&lt;0,"−","+")&amp;TEXT(ABS(E69)*100,"#,##0.0")&amp;"%","不適用")&amp;"，"&amp;IF(E31&gt;E41,"高於上緣",IF(E31&lt;E40,"低於下緣",IF(E31&gt;=(E40+E41)/2,"區間上半部","區間下半部")))&amp;"）","")&amp;IF(ISNUMBER(E46),"｜實際 "&amp;IF(E46&lt;0,"−","")&amp;"$"&amp;TEXT(ABS(E46),"#,##0.00")&amp;"bn"&amp;"（較模型 "&amp;IF(ISNUMBER(E70),IF(E70&lt;0,"−","+")&amp;TEXT(ABS(E70)*100,"#,##0.0")&amp;"%","不適用")&amp;IF(AND(ISNUMBER(E40),ISNUMBER(E41)),"、"&amp;IF(E46&gt;E41,"高於上緣",IF(E46&lt;E40,"低於下緣",IF(E46&gt;=(E40+E41)/2,"區間上半部","區間下半部"))),"")&amp;"）","")&amp;E116</f>
        <v>CapEx（毛額）：模型 $9.58bn</v>
      </c>
      <c r="F122" s="64" t="str">
        <f aca="false">"CapEx（毛額）：模型 "&amp;IF(ISNUMBER(F31),IF(F31&lt;0,"−","")&amp;"$"&amp;TEXT(ABS(F31),"#,##0.00")&amp;"bn","不適用")&amp;IF(AND(ISNUMBER(F40),ISNUMBER(F41)),"｜指引 "&amp;"$"&amp;IF(F40&lt;0,"−","")&amp;TEXT(ABS(F40),"#,##0.00")&amp;"–"&amp;IF(F41&lt;0,"−","")&amp;TEXT(ABS(F41),"#,##0.00")&amp;"bn"&amp;"（中點 "&amp;IF(ISNUMBER(F69),IF(F69&lt;0,"−","+")&amp;TEXT(ABS(F69)*100,"#,##0.0")&amp;"%","不適用")&amp;"，"&amp;IF(F31&gt;F41,"高於上緣",IF(F31&lt;F40,"低於下緣",IF(F31&gt;=(F40+F41)/2,"區間上半部","區間下半部")))&amp;"）","")&amp;IF(ISNUMBER(F46),"｜實際 "&amp;IF(F46&lt;0,"−","")&amp;"$"&amp;TEXT(ABS(F46),"#,##0.00")&amp;"bn"&amp;"（較模型 "&amp;IF(ISNUMBER(F70),IF(F70&lt;0,"−","+")&amp;TEXT(ABS(F70)*100,"#,##0.0")&amp;"%","不適用")&amp;IF(AND(ISNUMBER(F40),ISNUMBER(F41)),"、"&amp;IF(F46&gt;F41,"高於上緣",IF(F46&lt;F40,"低於下緣",IF(F46&gt;=(F40+F41)/2,"區間上半部","區間下半部"))),"")&amp;"）","")&amp;F116</f>
        <v>CapEx（毛額）：模型 $9.58bn</v>
      </c>
      <c r="G122" s="64" t="str">
        <f aca="false">"CapEx（毛額）：模型 "&amp;IF(ISNUMBER(G31),IF(G31&lt;0,"−","")&amp;"$"&amp;TEXT(ABS(G31),"#,##0.00")&amp;"bn","不適用")&amp;IF(AND(ISNUMBER(G40),ISNUMBER(G41)),"｜指引 "&amp;"$"&amp;IF(G40&lt;0,"−","")&amp;TEXT(ABS(G40),"#,##0.00")&amp;"–"&amp;IF(G41&lt;0,"−","")&amp;TEXT(ABS(G41),"#,##0.00")&amp;"bn"&amp;"（中點 "&amp;IF(ISNUMBER(G69),IF(G69&lt;0,"−","+")&amp;TEXT(ABS(G69)*100,"#,##0.0")&amp;"%","不適用")&amp;"，"&amp;IF(G31&gt;G41,"高於上緣",IF(G31&lt;G40,"低於下緣",IF(G31&gt;=(G40+G41)/2,"區間上半部","區間下半部")))&amp;"）","")&amp;IF(ISNUMBER(G46),"｜實際 "&amp;IF(G46&lt;0,"−","")&amp;"$"&amp;TEXT(ABS(G46),"#,##0.00")&amp;"bn"&amp;"（較模型 "&amp;IF(ISNUMBER(G70),IF(G70&lt;0,"−","+")&amp;TEXT(ABS(G70)*100,"#,##0.0")&amp;"%","不適用")&amp;IF(AND(ISNUMBER(G40),ISNUMBER(G41)),"、"&amp;IF(G46&gt;G41,"高於上緣",IF(G46&lt;G40,"低於下緣",IF(G46&gt;=(G40+G41)/2,"區間上半部","區間下半部"))),"")&amp;"）","")&amp;G116</f>
        <v>CapEx（毛額）：模型 $9.58bn</v>
      </c>
      <c r="H122" s="64" t="str">
        <f aca="false">"CapEx（毛額）：模型 "&amp;IF(ISNUMBER(H31),IF(H31&lt;0,"−","")&amp;"$"&amp;TEXT(ABS(H31),"#,##0.00")&amp;"bn","不適用")&amp;IF(AND(ISNUMBER(H40),ISNUMBER(H41)),"｜指引 "&amp;"$"&amp;IF(H40&lt;0,"−","")&amp;TEXT(ABS(H40),"#,##0.00")&amp;"–"&amp;IF(H41&lt;0,"−","")&amp;TEXT(ABS(H41),"#,##0.00")&amp;"bn"&amp;"（中點 "&amp;IF(ISNUMBER(H69),IF(H69&lt;0,"−","+")&amp;TEXT(ABS(H69)*100,"#,##0.0")&amp;"%","不適用")&amp;"，"&amp;IF(H31&gt;H41,"高於上緣",IF(H31&lt;H40,"低於下緣",IF(H31&gt;=(H40+H41)/2,"區間上半部","區間下半部")))&amp;"）","")&amp;IF(ISNUMBER(H46),"｜實際 "&amp;IF(H46&lt;0,"−","")&amp;"$"&amp;TEXT(ABS(H46),"#,##0.00")&amp;"bn"&amp;"（較模型 "&amp;IF(ISNUMBER(H70),IF(H70&lt;0,"−","+")&amp;TEXT(ABS(H70)*100,"#,##0.0")&amp;"%","不適用")&amp;IF(AND(ISNUMBER(H40),ISNUMBER(H41)),"、"&amp;IF(H46&gt;H41,"高於上緣",IF(H46&lt;H40,"低於下緣",IF(H46&gt;=(H40+H41)/2,"區間上半部","區間下半部"))),"")&amp;"）","")&amp;H116</f>
        <v>CapEx（毛額）：模型 $9.58bn</v>
      </c>
    </row>
    <row r="123" customFormat="false" ht="15" hidden="true" customHeight="false" outlineLevel="1" collapsed="false">
      <c r="A123" s="3" t="s">
        <v>831</v>
      </c>
      <c r="C123" s="64" t="str">
        <f aca="false">"季末 Accepted MW：模型 "&amp;IF(ISNUMBER(C19),IF(C19&lt;0,"−","")&amp;TEXT(ABS(C19),"#,##0")&amp;" MW","不適用")&amp;IF(ISNUMBER(C47),"｜實際 "&amp;IF(C47&lt;0,"−","")&amp;TEXT(ABS(C47),"#,##0")&amp;" MW"&amp;"（較模型 "&amp;IF(ISNUMBER(C75),IF(C75&lt;0,"−","+")&amp;TEXT(ABS(C75)*100,"#,##0.0")&amp;"%","不適用")&amp;"）","")&amp;C117</f>
        <v>季末 Accepted MW：模型 1,675 MW</v>
      </c>
      <c r="D123" s="64" t="str">
        <f aca="false">"季末 Accepted MW：模型 "&amp;IF(ISNUMBER(D19),IF(D19&lt;0,"−","")&amp;TEXT(ABS(D19),"#,##0")&amp;" MW","不適用")&amp;IF(ISNUMBER(D47),"｜實際 "&amp;IF(D47&lt;0,"−","")&amp;TEXT(ABS(D47),"#,##0")&amp;" MW"&amp;"（較模型 "&amp;IF(ISNUMBER(D75),IF(D75&lt;0,"−","+")&amp;TEXT(ABS(D75)*100,"#,##0.0")&amp;"%","不適用")&amp;"）","")&amp;D117</f>
        <v>季末 Accepted MW：模型 1,850 MW</v>
      </c>
      <c r="E123" s="64" t="str">
        <f aca="false">"季末 Accepted MW：模型 "&amp;IF(ISNUMBER(E19),IF(E19&lt;0,"−","")&amp;TEXT(ABS(E19),"#,##0")&amp;" MW","不適用")&amp;IF(ISNUMBER(E47),"｜實際 "&amp;IF(E47&lt;0,"−","")&amp;TEXT(ABS(E47),"#,##0")&amp;" MW"&amp;"（較模型 "&amp;IF(ISNUMBER(E75),IF(E75&lt;0,"−","+")&amp;TEXT(ABS(E75)*100,"#,##0.0")&amp;"%","不適用")&amp;"）","")&amp;E117</f>
        <v>季末 Accepted MW：模型 2,163 MW</v>
      </c>
      <c r="F123" s="64" t="str">
        <f aca="false">"季末 Accepted MW：模型 "&amp;IF(ISNUMBER(F19),IF(F19&lt;0,"−","")&amp;TEXT(ABS(F19),"#,##0")&amp;" MW","不適用")&amp;IF(ISNUMBER(F47),"｜實際 "&amp;IF(F47&lt;0,"−","")&amp;TEXT(ABS(F47),"#,##0")&amp;" MW"&amp;"（較模型 "&amp;IF(ISNUMBER(F75),IF(F75&lt;0,"−","+")&amp;TEXT(ABS(F75)*100,"#,##0.0")&amp;"%","不適用")&amp;"）","")&amp;F117</f>
        <v>季末 Accepted MW：模型 2,475 MW</v>
      </c>
      <c r="G123" s="64" t="str">
        <f aca="false">"季末 Accepted MW：模型 "&amp;IF(ISNUMBER(G19),IF(G19&lt;0,"−","")&amp;TEXT(ABS(G19),"#,##0")&amp;" MW","不適用")&amp;IF(ISNUMBER(G47),"｜實際 "&amp;IF(G47&lt;0,"−","")&amp;TEXT(ABS(G47),"#,##0")&amp;" MW"&amp;"（較模型 "&amp;IF(ISNUMBER(G75),IF(G75&lt;0,"−","+")&amp;TEXT(ABS(G75)*100,"#,##0.0")&amp;"%","不適用")&amp;"）","")&amp;G117</f>
        <v>季末 Accepted MW：模型 2,788 MW</v>
      </c>
      <c r="H123" s="64" t="str">
        <f aca="false">"季末 Accepted MW：模型 "&amp;IF(ISNUMBER(H19),IF(H19&lt;0,"−","")&amp;TEXT(ABS(H19),"#,##0")&amp;" MW","不適用")&amp;IF(ISNUMBER(H47),"｜實際 "&amp;IF(H47&lt;0,"−","")&amp;TEXT(ABS(H47),"#,##0")&amp;" MW"&amp;"（較模型 "&amp;IF(ISNUMBER(H75),IF(H75&lt;0,"−","+")&amp;TEXT(ABS(H75)*100,"#,##0.0")&amp;"%","不適用")&amp;"）","")&amp;H117</f>
        <v>季末 Accepted MW：模型 3,100 MW</v>
      </c>
    </row>
    <row r="124" customFormat="false" ht="15" hidden="true" customHeight="false" outlineLevel="1" collapsed="false"/>
    <row r="125" customFormat="false" ht="15" hidden="true" customHeight="false" outlineLevel="1" collapsed="false">
      <c r="A125" s="2" t="s">
        <v>832</v>
      </c>
    </row>
    <row r="126" customFormat="false" ht="15" hidden="true" customHeight="false" outlineLevel="1" collapsed="false">
      <c r="A126" s="3" t="s">
        <v>833</v>
      </c>
      <c r="C126" s="65" t="n">
        <f aca="false">C22+D22-損益!C8</f>
        <v>0</v>
      </c>
      <c r="D126" s="65" t="n">
        <f aca="false">E22+F22+G22+H22-損益!D8</f>
        <v>0</v>
      </c>
    </row>
    <row r="127" customFormat="false" ht="15" hidden="true" customHeight="false" outlineLevel="1" collapsed="false">
      <c r="A127" s="3" t="s">
        <v>834</v>
      </c>
      <c r="C127" s="65" t="n">
        <f aca="false">C28+D28-損益!C19</f>
        <v>0</v>
      </c>
      <c r="D127" s="65" t="n">
        <f aca="false">E28+F28+G28+H28-損益!D19</f>
        <v>0</v>
      </c>
    </row>
    <row r="128" customFormat="false" ht="15" hidden="true" customHeight="false" outlineLevel="1" collapsed="false">
      <c r="A128" s="3" t="s">
        <v>835</v>
      </c>
      <c r="C128" s="65" t="n">
        <f aca="false">C30+D30-損益!C10</f>
        <v>0</v>
      </c>
      <c r="D128" s="65" t="n">
        <f aca="false">E30+F30+G30+H30-損益!D10</f>
        <v>4.88498130835069E-015</v>
      </c>
    </row>
    <row r="129" customFormat="false" ht="15" hidden="true" customHeight="false" outlineLevel="1" collapsed="false">
      <c r="A129" s="3" t="s">
        <v>836</v>
      </c>
      <c r="C129" s="65" t="n">
        <f aca="false">C31+D31-輸入與假設!C$73</f>
        <v>0</v>
      </c>
      <c r="D129" s="65" t="n">
        <f aca="false">E31+F31+G31+H31-輸入與假設!D$73</f>
        <v>0</v>
      </c>
    </row>
    <row r="130" customFormat="false" ht="15" hidden="true" customHeight="false" outlineLevel="1" collapsed="false">
      <c r="A130" s="3" t="s">
        <v>837</v>
      </c>
      <c r="C130" s="65" t="n">
        <f aca="false">C29+D29-輸入與假設!C$74</f>
        <v>0</v>
      </c>
      <c r="D130" s="65" t="n">
        <f aca="false">E29+F29+G29+H29-輸入與假設!D$74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6" t="s">
        <v>838</v>
      </c>
    </row>
    <row r="2" customFormat="false" ht="15" hidden="false" customHeight="false" outlineLevel="0" collapsed="false">
      <c r="A2" s="7" t="s">
        <v>839</v>
      </c>
    </row>
    <row r="3" customFormat="false" ht="15" hidden="false" customHeight="false" outlineLevel="0" collapsed="false">
      <c r="A3" s="12" t="s">
        <v>840</v>
      </c>
    </row>
    <row r="5" customFormat="false" ht="15" hidden="false" customHeight="false" outlineLevel="0" collapsed="false">
      <c r="A5" s="15" t="s">
        <v>85</v>
      </c>
      <c r="B5" s="15" t="s">
        <v>86</v>
      </c>
      <c r="C5" s="27" t="s">
        <v>87</v>
      </c>
      <c r="D5" s="27" t="s">
        <v>88</v>
      </c>
      <c r="E5" s="27" t="s">
        <v>89</v>
      </c>
      <c r="F5" s="27" t="s">
        <v>166</v>
      </c>
      <c r="G5" s="27" t="s">
        <v>167</v>
      </c>
      <c r="I5" s="15" t="s">
        <v>561</v>
      </c>
    </row>
    <row r="6" customFormat="false" ht="15" hidden="false" customHeight="false" outlineLevel="0" collapsed="false">
      <c r="A6" s="3" t="s">
        <v>841</v>
      </c>
      <c r="B6" s="7"/>
      <c r="C6" s="62" t="str">
        <f aca="false">"2026-07-01~12-31"</f>
        <v>2026-07-01~12-31</v>
      </c>
      <c r="D6" s="62" t="str">
        <f aca="false">"2027 全年"</f>
        <v>2027 全年</v>
      </c>
      <c r="E6" s="62" t="str">
        <f aca="false">"2028 全年"</f>
        <v>2028 全年</v>
      </c>
      <c r="F6" s="62" t="str">
        <f aca="false">"2029 全年"</f>
        <v>2029 全年</v>
      </c>
      <c r="G6" s="62" t="str">
        <f aca="false">"2030 全年"</f>
        <v>2030 全年</v>
      </c>
      <c r="I6" s="12" t="s">
        <v>842</v>
      </c>
    </row>
    <row r="7" customFormat="false" ht="15" hidden="false" customHeight="false" outlineLevel="0" collapsed="false">
      <c r="A7" s="3" t="s">
        <v>198</v>
      </c>
      <c r="B7" s="7"/>
      <c r="C7" s="39" t="n">
        <f aca="false">輸入與假設!C$24</f>
        <v>0.5</v>
      </c>
      <c r="D7" s="39" t="n">
        <f aca="false">輸入與假設!D$24</f>
        <v>1</v>
      </c>
      <c r="E7" s="39" t="n">
        <f aca="false">輸入與假設!E$24</f>
        <v>1</v>
      </c>
      <c r="F7" s="39" t="n">
        <f aca="false">輸入與假設!F$24</f>
        <v>1</v>
      </c>
      <c r="G7" s="39" t="n">
        <f aca="false">輸入與假設!G$24</f>
        <v>1</v>
      </c>
      <c r="I7" s="7" t="s">
        <v>843</v>
      </c>
    </row>
    <row r="8" customFormat="false" ht="15" hidden="false" customHeight="false" outlineLevel="0" collapsed="false">
      <c r="A8" s="46" t="s">
        <v>844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845</v>
      </c>
      <c r="B9" s="12" t="s">
        <v>170</v>
      </c>
      <c r="C9" s="29" t="n">
        <f aca="false">MAX(0,輸入與假設!C$26)</f>
        <v>1850</v>
      </c>
      <c r="D9" s="29" t="n">
        <f aca="false">MAX(輸入與假設!D$26,C9)</f>
        <v>3100</v>
      </c>
      <c r="E9" s="29" t="n">
        <f aca="false">MAX(輸入與假設!E$26,D9)</f>
        <v>4000</v>
      </c>
      <c r="F9" s="29" t="n">
        <f aca="false">MAX(輸入與假設!F$26,E9)</f>
        <v>4800</v>
      </c>
      <c r="G9" s="29" t="n">
        <f aca="false">MAX(輸入與假設!G$26,F9)</f>
        <v>5600</v>
      </c>
      <c r="I9" s="7" t="s">
        <v>846</v>
      </c>
    </row>
    <row r="10" customFormat="false" ht="15" hidden="false" customHeight="false" outlineLevel="1" collapsed="false">
      <c r="A10" s="4" t="s">
        <v>847</v>
      </c>
      <c r="B10" s="12" t="s">
        <v>170</v>
      </c>
      <c r="C10" s="29" t="n">
        <f aca="false">MIN(MAX(0,輸入與假設!C$27),C9)</f>
        <v>1700</v>
      </c>
      <c r="D10" s="29" t="n">
        <f aca="false">MIN(MAX(0,輸入與假設!D$27),D9)</f>
        <v>2900</v>
      </c>
      <c r="E10" s="29" t="n">
        <f aca="false">MIN(MAX(0,輸入與假設!E$27),E9)</f>
        <v>3739</v>
      </c>
      <c r="F10" s="29" t="n">
        <f aca="false">MIN(MAX(0,輸入與假設!F$27),F9)</f>
        <v>4495</v>
      </c>
      <c r="G10" s="29" t="n">
        <f aca="false">MIN(MAX(0,輸入與假設!G$27),G9)</f>
        <v>5250</v>
      </c>
      <c r="I10" s="7" t="s">
        <v>848</v>
      </c>
    </row>
    <row r="11" customFormat="false" ht="15" hidden="false" customHeight="false" outlineLevel="1" collapsed="false">
      <c r="A11" s="3" t="s">
        <v>849</v>
      </c>
      <c r="B11" s="12" t="s">
        <v>170</v>
      </c>
      <c r="C11" s="29" t="n">
        <f aca="false">輸入與假設!$C$20</f>
        <v>1350</v>
      </c>
      <c r="D11" s="29" t="n">
        <f aca="false">C10</f>
        <v>1700</v>
      </c>
      <c r="E11" s="29" t="n">
        <f aca="false">D10</f>
        <v>2900</v>
      </c>
      <c r="F11" s="29" t="n">
        <f aca="false">E10</f>
        <v>3739</v>
      </c>
      <c r="G11" s="29" t="n">
        <f aca="false">F10</f>
        <v>4495</v>
      </c>
      <c r="I11" s="7" t="s">
        <v>850</v>
      </c>
    </row>
    <row r="12" customFormat="false" ht="15" hidden="false" customHeight="false" outlineLevel="1" collapsed="false">
      <c r="A12" s="3" t="s">
        <v>851</v>
      </c>
      <c r="B12" s="12" t="s">
        <v>170</v>
      </c>
      <c r="C12" s="29" t="n">
        <f aca="false">IF(輸入與假設!$C$21=1,(C11+C10)/2,C10)</f>
        <v>1525</v>
      </c>
      <c r="D12" s="29" t="n">
        <f aca="false">IF(輸入與假設!$C$21=1,(D11+D10)/2,D10)</f>
        <v>2300</v>
      </c>
      <c r="E12" s="29" t="n">
        <f aca="false">IF(輸入與假設!$C$21=1,(E11+E10)/2,E10)</f>
        <v>3319.5</v>
      </c>
      <c r="F12" s="29" t="n">
        <f aca="false">IF(輸入與假設!$C$21=1,(F11+F10)/2,F10)</f>
        <v>4117</v>
      </c>
      <c r="G12" s="29" t="n">
        <f aca="false">IF(輸入與假設!$C$21=1,(G11+G10)/2,G10)</f>
        <v>4872.5</v>
      </c>
      <c r="I12" s="7" t="s">
        <v>852</v>
      </c>
    </row>
    <row r="13" customFormat="false" ht="15" hidden="false" customHeight="false" outlineLevel="1" collapsed="false">
      <c r="A13" s="3" t="s">
        <v>206</v>
      </c>
      <c r="B13" s="12" t="s">
        <v>77</v>
      </c>
      <c r="C13" s="47" t="n">
        <f aca="false">輸入與假設!C$28</f>
        <v>0.95</v>
      </c>
      <c r="D13" s="47" t="n">
        <f aca="false">輸入與假設!D$28</f>
        <v>0.95</v>
      </c>
      <c r="E13" s="47" t="n">
        <f aca="false">輸入與假設!E$28</f>
        <v>0.94</v>
      </c>
      <c r="F13" s="47" t="n">
        <f aca="false">輸入與假設!F$28</f>
        <v>0.93</v>
      </c>
      <c r="G13" s="47" t="n">
        <f aca="false">輸入與假設!G$28</f>
        <v>0.92</v>
      </c>
    </row>
    <row r="14" customFormat="false" ht="15" hidden="false" customHeight="false" outlineLevel="1" collapsed="false">
      <c r="A14" s="3" t="s">
        <v>208</v>
      </c>
      <c r="B14" s="12" t="s">
        <v>209</v>
      </c>
      <c r="C14" s="66" t="n">
        <f aca="false">輸入與假設!C$29</f>
        <v>0.0112</v>
      </c>
      <c r="D14" s="66" t="n">
        <f aca="false">輸入與假設!D$29</f>
        <v>0.0115</v>
      </c>
      <c r="E14" s="66" t="n">
        <f aca="false">輸入與假設!E$29</f>
        <v>0.0115</v>
      </c>
      <c r="F14" s="66" t="n">
        <f aca="false">輸入與假設!F$29</f>
        <v>0.011</v>
      </c>
      <c r="G14" s="66" t="n">
        <f aca="false">輸入與假設!G$29</f>
        <v>0.0105</v>
      </c>
    </row>
    <row r="15" customFormat="false" ht="15" hidden="false" customHeight="false" outlineLevel="1" collapsed="false">
      <c r="A15" s="3" t="s">
        <v>853</v>
      </c>
      <c r="B15" s="12" t="s">
        <v>91</v>
      </c>
      <c r="C15" s="36" t="n">
        <f aca="false">C12*輸入與假設!C$29*輸入與假設!$C$22*輸入與假設!C$28*C7</f>
        <v>8.113</v>
      </c>
      <c r="D15" s="36" t="n">
        <f aca="false">D12*輸入與假設!D$29*輸入與假設!$C$22*輸入與假設!D$28*D7</f>
        <v>25.1275</v>
      </c>
      <c r="E15" s="36" t="n">
        <f aca="false">E12*輸入與假設!E$29*輸入與假設!$C$22*輸入與假設!E$28*E7</f>
        <v>35.883795</v>
      </c>
      <c r="F15" s="36" t="n">
        <f aca="false">F12*輸入與假設!F$29*輸入與假設!$C$22*輸入與假設!F$28*F7</f>
        <v>42.11691</v>
      </c>
      <c r="G15" s="36" t="n">
        <f aca="false">G12*輸入與假設!G$29*輸入與假設!$C$22*輸入與假設!G$28*G7</f>
        <v>47.06835</v>
      </c>
      <c r="I15" s="7" t="s">
        <v>854</v>
      </c>
    </row>
    <row r="16" customFormat="false" ht="15" hidden="false" customHeight="false" outlineLevel="0" collapsed="false">
      <c r="A16" s="46" t="s">
        <v>855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856</v>
      </c>
      <c r="B17" s="12" t="s">
        <v>91</v>
      </c>
      <c r="C17" s="62" t="n">
        <f aca="false">(輸入與假設!$C$15+輸入與假設!$C$16)*(輸入與假設!C$25/輸入與假設!$C$18)*輸入與假設!$C$17</f>
        <v>13.19175</v>
      </c>
      <c r="D17" s="62" t="n">
        <f aca="false">(輸入與假設!$C$15+輸入與假設!$C$16)*(輸入與假設!D$25/輸入與假設!$C$18)*輸入與假設!$C$17</f>
        <v>26.3835</v>
      </c>
      <c r="E17" s="62" t="n">
        <f aca="false">(輸入與假設!$C$15+輸入與假設!$C$16)*(輸入與假設!E$25/輸入與假設!$C$18)*輸入與假設!$C$17</f>
        <v>25.74</v>
      </c>
      <c r="F17" s="62" t="n">
        <f aca="false">(輸入與假設!$C$15+輸入與假設!$C$16)*(輸入與假設!F$25/輸入與假設!$C$18)*輸入與假設!$C$17</f>
        <v>25.0965</v>
      </c>
      <c r="G17" s="62" t="n">
        <f aca="false">(輸入與假設!$C$15+輸入與假設!$C$16)*(輸入與假設!G$25/輸入與假設!$C$18)*輸入與假設!$C$17</f>
        <v>17.69625</v>
      </c>
      <c r="I17" s="7" t="s">
        <v>857</v>
      </c>
    </row>
    <row r="18" customFormat="false" ht="15" hidden="false" customHeight="false" outlineLevel="0" collapsed="false">
      <c r="A18" s="46" t="s">
        <v>858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859</v>
      </c>
      <c r="B19" s="12" t="s">
        <v>91</v>
      </c>
      <c r="C19" s="36" t="n">
        <f aca="false">MAX(0,C17-C15)</f>
        <v>5.07875</v>
      </c>
      <c r="D19" s="36" t="n">
        <f aca="false">MAX(0,D17-D15)</f>
        <v>1.256</v>
      </c>
      <c r="E19" s="36" t="n">
        <f aca="false">MAX(0,E17-E15)</f>
        <v>0</v>
      </c>
      <c r="F19" s="36" t="n">
        <f aca="false">MAX(0,F17-F15)</f>
        <v>0</v>
      </c>
      <c r="G19" s="36" t="n">
        <f aca="false">MAX(0,G17-G15)</f>
        <v>0</v>
      </c>
      <c r="I19" s="7" t="s">
        <v>860</v>
      </c>
    </row>
    <row r="20" customFormat="false" ht="15" hidden="false" customHeight="false" outlineLevel="1" collapsed="false">
      <c r="A20" s="3" t="s">
        <v>861</v>
      </c>
      <c r="B20" s="12" t="s">
        <v>91</v>
      </c>
      <c r="C20" s="62" t="n">
        <f aca="false">C17-C19</f>
        <v>8.113</v>
      </c>
      <c r="D20" s="62" t="n">
        <f aca="false">D17-D19</f>
        <v>25.1275</v>
      </c>
      <c r="E20" s="62" t="n">
        <f aca="false">E17-E19</f>
        <v>25.74</v>
      </c>
      <c r="F20" s="62" t="n">
        <f aca="false">F17-F19</f>
        <v>25.0965</v>
      </c>
      <c r="G20" s="62" t="n">
        <f aca="false">G17-G19</f>
        <v>17.69625</v>
      </c>
      <c r="I20" s="7" t="s">
        <v>862</v>
      </c>
    </row>
    <row r="21" customFormat="false" ht="15" hidden="false" customHeight="false" outlineLevel="1" collapsed="false">
      <c r="A21" s="3" t="s">
        <v>863</v>
      </c>
      <c r="B21" s="12" t="s">
        <v>91</v>
      </c>
      <c r="C21" s="62" t="n">
        <f aca="false">MAX(0,C15-C17)</f>
        <v>0</v>
      </c>
      <c r="D21" s="62" t="n">
        <f aca="false">MAX(0,D15-D17)</f>
        <v>0</v>
      </c>
      <c r="E21" s="62" t="n">
        <f aca="false">MAX(0,E15-E17)</f>
        <v>10.143795</v>
      </c>
      <c r="F21" s="62" t="n">
        <f aca="false">MAX(0,F15-F17)</f>
        <v>17.02041</v>
      </c>
      <c r="G21" s="62" t="n">
        <f aca="false">MAX(0,G15-G17)</f>
        <v>29.3721</v>
      </c>
      <c r="I21" s="7" t="s">
        <v>864</v>
      </c>
    </row>
    <row r="22" customFormat="false" ht="15" hidden="false" customHeight="false" outlineLevel="1" collapsed="false">
      <c r="A22" s="3" t="s">
        <v>211</v>
      </c>
      <c r="B22" s="12" t="s">
        <v>77</v>
      </c>
      <c r="C22" s="47" t="n">
        <f aca="false">輸入與假設!C$30</f>
        <v>1</v>
      </c>
      <c r="D22" s="47" t="n">
        <f aca="false">輸入與假設!D$30</f>
        <v>1</v>
      </c>
      <c r="E22" s="47" t="n">
        <f aca="false">輸入與假設!E$30</f>
        <v>0.9</v>
      </c>
      <c r="F22" s="47" t="n">
        <f aca="false">輸入與假設!F$30</f>
        <v>0.85</v>
      </c>
      <c r="G22" s="47" t="n">
        <f aca="false">輸入與假設!G$30</f>
        <v>0.8</v>
      </c>
    </row>
    <row r="23" customFormat="false" ht="15" hidden="false" customHeight="false" outlineLevel="1" collapsed="false">
      <c r="A23" s="3" t="s">
        <v>865</v>
      </c>
      <c r="B23" s="12" t="s">
        <v>91</v>
      </c>
      <c r="C23" s="62" t="n">
        <f aca="false">C21*輸入與假設!C$30</f>
        <v>0</v>
      </c>
      <c r="D23" s="62" t="n">
        <f aca="false">D21*輸入與假設!D$30</f>
        <v>0</v>
      </c>
      <c r="E23" s="62" t="n">
        <f aca="false">E21*輸入與假設!E$30</f>
        <v>9.1294155</v>
      </c>
      <c r="F23" s="62" t="n">
        <f aca="false">F21*輸入與假設!F$30</f>
        <v>14.4673485</v>
      </c>
      <c r="G23" s="62" t="n">
        <f aca="false">G21*輸入與假設!G$30</f>
        <v>23.49768</v>
      </c>
      <c r="I23" s="7" t="s">
        <v>866</v>
      </c>
    </row>
    <row r="24" customFormat="false" ht="15" hidden="false" customHeight="false" outlineLevel="1" collapsed="false">
      <c r="A24" s="3" t="s">
        <v>867</v>
      </c>
      <c r="B24" s="12" t="s">
        <v>91</v>
      </c>
      <c r="C24" s="62" t="n">
        <f aca="false">MAX(0,C15-C20-C23)</f>
        <v>0</v>
      </c>
      <c r="D24" s="62" t="n">
        <f aca="false">MAX(0,D15-D20-D23)</f>
        <v>0</v>
      </c>
      <c r="E24" s="62" t="n">
        <f aca="false">MAX(0,E15-E20-E23)</f>
        <v>1.0143795</v>
      </c>
      <c r="F24" s="62" t="n">
        <f aca="false">MAX(0,F15-F20-F23)</f>
        <v>2.5530615</v>
      </c>
      <c r="G24" s="62" t="n">
        <f aca="false">MAX(0,G15-G20-G23)</f>
        <v>5.87442</v>
      </c>
      <c r="I24" s="7" t="s">
        <v>868</v>
      </c>
    </row>
    <row r="25" customFormat="false" ht="15" hidden="false" customHeight="false" outlineLevel="1" collapsed="false">
      <c r="A25" s="3" t="s">
        <v>869</v>
      </c>
      <c r="B25" s="12" t="s">
        <v>91</v>
      </c>
      <c r="C25" s="36" t="n">
        <f aca="false">C20+C23</f>
        <v>8.113</v>
      </c>
      <c r="D25" s="36" t="n">
        <f aca="false">D20+D23</f>
        <v>25.1275</v>
      </c>
      <c r="E25" s="36" t="n">
        <f aca="false">E20+E23</f>
        <v>34.8694155</v>
      </c>
      <c r="F25" s="36" t="n">
        <f aca="false">F20+F23</f>
        <v>39.5638485</v>
      </c>
      <c r="G25" s="36" t="n">
        <f aca="false">G20+G23</f>
        <v>41.19393</v>
      </c>
      <c r="I25" s="7" t="s">
        <v>870</v>
      </c>
    </row>
    <row r="26" customFormat="false" ht="15" hidden="false" customHeight="false" outlineLevel="1" collapsed="false">
      <c r="A26" s="4" t="s">
        <v>871</v>
      </c>
      <c r="B26" s="12" t="s">
        <v>91</v>
      </c>
      <c r="C26" s="39" t="n">
        <f aca="false">輸入與假設!$C$140</f>
        <v>4.653</v>
      </c>
      <c r="D26" s="39" t="n">
        <f aca="false">0</f>
        <v>0</v>
      </c>
      <c r="E26" s="39" t="n">
        <f aca="false">0</f>
        <v>0</v>
      </c>
      <c r="F26" s="39" t="n">
        <f aca="false">0</f>
        <v>0</v>
      </c>
      <c r="G26" s="39" t="n">
        <f aca="false">0</f>
        <v>0</v>
      </c>
      <c r="I26" s="12" t="s">
        <v>872</v>
      </c>
    </row>
    <row r="27" customFormat="false" ht="15" hidden="false" customHeight="false" outlineLevel="1" collapsed="false">
      <c r="A27" s="4" t="s">
        <v>873</v>
      </c>
      <c r="B27" s="12" t="s">
        <v>91</v>
      </c>
      <c r="C27" s="67" t="n">
        <f aca="false">C26+C25+輸入與假設!C$33</f>
        <v>13.066</v>
      </c>
      <c r="D27" s="36" t="n">
        <f aca="false">D26+D25+輸入與假設!D$33</f>
        <v>26.1275</v>
      </c>
      <c r="E27" s="36" t="n">
        <f aca="false">E26+E25+輸入與假設!E$33</f>
        <v>36.6694155</v>
      </c>
      <c r="F27" s="36" t="n">
        <f aca="false">F26+F25+輸入與假設!F$33</f>
        <v>42.3638485</v>
      </c>
      <c r="G27" s="36" t="n">
        <f aca="false">G26+G25+輸入與假設!G$33</f>
        <v>44.99393</v>
      </c>
      <c r="I27" s="12" t="s">
        <v>874</v>
      </c>
    </row>
    <row r="28" customFormat="false" ht="15" hidden="false" customHeight="false" outlineLevel="0" collapsed="false">
      <c r="A28" s="46" t="s">
        <v>875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213</v>
      </c>
      <c r="B29" s="12" t="s">
        <v>77</v>
      </c>
      <c r="C29" s="47" t="n">
        <f aca="false">輸入與假設!C$31</f>
        <v>0.005</v>
      </c>
      <c r="D29" s="47" t="n">
        <f aca="false">輸入與假設!D$31</f>
        <v>0.01</v>
      </c>
      <c r="E29" s="47" t="n">
        <f aca="false">輸入與假設!E$31</f>
        <v>0.015</v>
      </c>
      <c r="F29" s="47" t="n">
        <f aca="false">輸入與假設!F$31</f>
        <v>0.02</v>
      </c>
      <c r="G29" s="47" t="n">
        <f aca="false">輸入與假設!G$31</f>
        <v>0.025</v>
      </c>
    </row>
    <row r="30" customFormat="false" ht="15" hidden="false" customHeight="false" outlineLevel="1" collapsed="false">
      <c r="A30" s="3" t="s">
        <v>215</v>
      </c>
      <c r="B30" s="12" t="s">
        <v>77</v>
      </c>
      <c r="C30" s="47" t="n">
        <f aca="false">輸入與假設!C$32</f>
        <v>0.5</v>
      </c>
      <c r="D30" s="47" t="n">
        <f aca="false">輸入與假設!D$32</f>
        <v>0.5</v>
      </c>
      <c r="E30" s="47" t="n">
        <f aca="false">輸入與假設!E$32</f>
        <v>0.5</v>
      </c>
      <c r="F30" s="47" t="n">
        <f aca="false">輸入與假設!F$32</f>
        <v>0.5</v>
      </c>
      <c r="G30" s="47" t="n">
        <f aca="false">輸入與假設!G$32</f>
        <v>0.5</v>
      </c>
    </row>
    <row r="31" customFormat="false" ht="15" hidden="false" customHeight="false" outlineLevel="1" collapsed="false">
      <c r="A31" s="3" t="s">
        <v>876</v>
      </c>
      <c r="B31" s="12" t="s">
        <v>91</v>
      </c>
      <c r="C31" s="62" t="n">
        <f aca="false">C20*輸入與假設!C$31*(1-輸入與假設!C$32)</f>
        <v>0.0202825</v>
      </c>
      <c r="D31" s="62" t="n">
        <f aca="false">D20*輸入與假設!D$31*(1-輸入與假設!D$32)</f>
        <v>0.1256375</v>
      </c>
      <c r="E31" s="62" t="n">
        <f aca="false">E20*輸入與假設!E$31*(1-輸入與假設!E$32)</f>
        <v>0.19305</v>
      </c>
      <c r="F31" s="62" t="n">
        <f aca="false">F20*輸入與假設!F$31*(1-輸入與假設!F$32)</f>
        <v>0.250965</v>
      </c>
      <c r="G31" s="62" t="n">
        <f aca="false">G20*輸入與假設!G$31*(1-輸入與假設!G$32)</f>
        <v>0.221203125</v>
      </c>
      <c r="I31" s="7" t="s">
        <v>877</v>
      </c>
    </row>
    <row r="32" customFormat="false" ht="15" hidden="false" customHeight="false" outlineLevel="1" collapsed="false">
      <c r="A32" s="3" t="s">
        <v>878</v>
      </c>
      <c r="B32" s="12" t="s">
        <v>91</v>
      </c>
      <c r="C32" s="62" t="n">
        <f aca="false">C20-C31</f>
        <v>8.0927175</v>
      </c>
      <c r="D32" s="62" t="n">
        <f aca="false">D20-D31</f>
        <v>25.0018625</v>
      </c>
      <c r="E32" s="62" t="n">
        <f aca="false">E20-E31</f>
        <v>25.54695</v>
      </c>
      <c r="F32" s="62" t="n">
        <f aca="false">F20-F31</f>
        <v>24.845535</v>
      </c>
      <c r="G32" s="62" t="n">
        <f aca="false">G20-G31</f>
        <v>17.475046875</v>
      </c>
    </row>
    <row r="33" customFormat="false" ht="15" hidden="false" customHeight="false" outlineLevel="1" collapsed="false">
      <c r="A33" s="4" t="s">
        <v>879</v>
      </c>
      <c r="B33" s="12" t="s">
        <v>77</v>
      </c>
      <c r="C33" s="47" t="n">
        <f aca="false">輸入與假設!C$39</f>
        <v>0.59</v>
      </c>
      <c r="D33" s="47" t="n">
        <f aca="false">輸入與假設!D$39</f>
        <v>0.605</v>
      </c>
      <c r="E33" s="47" t="n">
        <f aca="false">輸入與假設!E$39</f>
        <v>0.62</v>
      </c>
      <c r="F33" s="47" t="n">
        <f aca="false">輸入與假設!F$39</f>
        <v>0.635</v>
      </c>
      <c r="G33" s="47" t="n">
        <f aca="false">輸入與假設!G$39</f>
        <v>0.65</v>
      </c>
      <c r="I33" s="7" t="s">
        <v>880</v>
      </c>
    </row>
    <row r="34" customFormat="false" ht="15" hidden="false" customHeight="false" outlineLevel="1" collapsed="false">
      <c r="A34" s="3" t="s">
        <v>881</v>
      </c>
      <c r="B34" s="12" t="s">
        <v>91</v>
      </c>
      <c r="C34" s="62" t="n">
        <f aca="false">C25+輸入與假設!C$33</f>
        <v>8.413</v>
      </c>
      <c r="D34" s="62" t="n">
        <f aca="false">D25+輸入與假設!D$33</f>
        <v>26.1275</v>
      </c>
      <c r="E34" s="62" t="n">
        <f aca="false">E25+輸入與假設!E$33</f>
        <v>36.6694155</v>
      </c>
      <c r="F34" s="62" t="n">
        <f aca="false">F25+輸入與假設!F$33</f>
        <v>42.3638485</v>
      </c>
      <c r="G34" s="62" t="n">
        <f aca="false">G25+輸入與假設!G$33</f>
        <v>44.99393</v>
      </c>
    </row>
    <row r="35" customFormat="false" ht="15" hidden="false" customHeight="false" outlineLevel="1" collapsed="false">
      <c r="A35" s="4" t="s">
        <v>882</v>
      </c>
      <c r="B35" s="12" t="s">
        <v>77</v>
      </c>
      <c r="C35" s="68" t="n">
        <f aca="false">輸入與假設!C$39+各期收支!C12/MAX(0.01,C34)</f>
        <v>0.749277308926661</v>
      </c>
      <c r="D35" s="68" t="n">
        <f aca="false">輸入與假設!D$39+各期收支!D12/MAX(0.01,D34)</f>
        <v>0.755760692756674</v>
      </c>
      <c r="E35" s="68" t="n">
        <f aca="false">輸入與假設!E$39+各期收支!E12/MAX(0.01,E34)</f>
        <v>0.748863653109215</v>
      </c>
      <c r="F35" s="68" t="n">
        <f aca="false">輸入與假設!F$39+各期收支!F12/MAX(0.01,F34)</f>
        <v>0.755928578998199</v>
      </c>
      <c r="G35" s="68" t="n">
        <f aca="false">輸入與假設!G$39+各期收支!G12/MAX(0.01,G34)</f>
        <v>0.765360860043532</v>
      </c>
      <c r="I35" s="7" t="s">
        <v>883</v>
      </c>
    </row>
    <row r="36" customFormat="false" ht="15" hidden="false" customHeight="false" outlineLevel="1" collapsed="false">
      <c r="A36" s="4" t="s">
        <v>884</v>
      </c>
      <c r="B36" s="12" t="s">
        <v>91</v>
      </c>
      <c r="C36" s="36" t="n">
        <f aca="false">C32*C35</f>
        <v>6.0636895903037</v>
      </c>
      <c r="D36" s="36" t="n">
        <f aca="false">D32*D35</f>
        <v>18.8954249232071</v>
      </c>
      <c r="E36" s="36" t="n">
        <f aca="false">E32*E35</f>
        <v>19.1311823027985</v>
      </c>
      <c r="F36" s="36" t="n">
        <f aca="false">F32*F35</f>
        <v>18.781449967</v>
      </c>
      <c r="G36" s="36" t="n">
        <f aca="false">G32*G35</f>
        <v>13.374716905551</v>
      </c>
      <c r="I36" s="12" t="s">
        <v>885</v>
      </c>
    </row>
    <row r="37" customFormat="false" ht="15" hidden="false" customHeight="false" outlineLevel="1" collapsed="false">
      <c r="A37" s="3" t="s">
        <v>886</v>
      </c>
      <c r="B37" s="12" t="s">
        <v>91</v>
      </c>
      <c r="C37" s="62" t="n">
        <f aca="false">C23*(1-輸入與假設!C$31*(1-輸入與假設!C$32))*C35</f>
        <v>0</v>
      </c>
      <c r="D37" s="62" t="n">
        <f aca="false">D23*(1-輸入與假設!D$31*(1-輸入與假設!D$32))*D35</f>
        <v>0</v>
      </c>
      <c r="E37" s="62" t="n">
        <f aca="false">E23*(1-輸入與假設!E$31*(1-輸入與假設!E$32))*E35</f>
        <v>6.78541228626628</v>
      </c>
      <c r="F37" s="62" t="n">
        <f aca="false">F23*(1-輸入與假設!F$31*(1-輸入與假設!F$32))*F35</f>
        <v>10.826919371542</v>
      </c>
      <c r="G37" s="62" t="n">
        <f aca="false">G23*(1-輸入與假設!G$31*(1-輸入與假設!G$32))*G35</f>
        <v>17.7594020166549</v>
      </c>
      <c r="I37" s="7" t="s">
        <v>887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888</v>
      </c>
    </row>
    <row r="40" customFormat="false" ht="15" hidden="false" customHeight="false" outlineLevel="1" collapsed="false">
      <c r="A40" s="7" t="s">
        <v>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6" t="s">
        <v>890</v>
      </c>
    </row>
    <row r="2" customFormat="false" ht="15" hidden="false" customHeight="false" outlineLevel="0" collapsed="false">
      <c r="A2" s="12" t="s">
        <v>891</v>
      </c>
    </row>
    <row r="4" customFormat="false" ht="15" hidden="false" customHeight="false" outlineLevel="0" collapsed="false">
      <c r="A4" s="15" t="s">
        <v>892</v>
      </c>
      <c r="B4" s="15" t="s">
        <v>893</v>
      </c>
      <c r="C4" s="15" t="s">
        <v>894</v>
      </c>
      <c r="D4" s="15" t="s">
        <v>895</v>
      </c>
      <c r="E4" s="15" t="s">
        <v>896</v>
      </c>
      <c r="F4" s="15" t="s">
        <v>897</v>
      </c>
      <c r="G4" s="15" t="s">
        <v>898</v>
      </c>
      <c r="H4" s="15" t="s">
        <v>899</v>
      </c>
      <c r="I4" s="15" t="s">
        <v>900</v>
      </c>
      <c r="J4" s="16" t="s">
        <v>901</v>
      </c>
      <c r="K4" s="15" t="s">
        <v>427</v>
      </c>
    </row>
    <row r="5" customFormat="false" ht="15" hidden="false" customHeight="false" outlineLevel="0" collapsed="false">
      <c r="A5" s="4" t="s">
        <v>902</v>
      </c>
      <c r="B5" s="12" t="s">
        <v>903</v>
      </c>
      <c r="C5" s="22" t="n">
        <v>526</v>
      </c>
      <c r="D5" s="22" t="n">
        <v>133</v>
      </c>
      <c r="E5" s="34" t="n">
        <v>15</v>
      </c>
      <c r="F5" s="22" t="n">
        <v>15</v>
      </c>
      <c r="G5" s="54" t="n">
        <f aca="false">E5/F5</f>
        <v>1</v>
      </c>
      <c r="H5" s="54" t="n">
        <f aca="false">G5/C5*1000</f>
        <v>1.90114068441065</v>
      </c>
      <c r="I5" s="12" t="s">
        <v>904</v>
      </c>
      <c r="J5" s="7" t="s">
        <v>905</v>
      </c>
      <c r="K5" s="12" t="s">
        <v>906</v>
      </c>
    </row>
    <row r="6" customFormat="false" ht="15" hidden="false" customHeight="false" outlineLevel="0" collapsed="false">
      <c r="A6" s="4" t="s">
        <v>907</v>
      </c>
      <c r="B6" s="12" t="s">
        <v>908</v>
      </c>
      <c r="C6" s="22" t="n">
        <v>400</v>
      </c>
      <c r="D6" s="22" t="n">
        <v>250</v>
      </c>
      <c r="E6" s="34" t="n">
        <v>11</v>
      </c>
      <c r="F6" s="22" t="n">
        <v>15</v>
      </c>
      <c r="G6" s="54" t="n">
        <f aca="false">E6/F6</f>
        <v>0.733333333333333</v>
      </c>
      <c r="H6" s="54" t="n">
        <f aca="false">G6/C6*1000</f>
        <v>1.83333333333333</v>
      </c>
      <c r="I6" s="12" t="s">
        <v>909</v>
      </c>
      <c r="J6" s="7" t="s">
        <v>910</v>
      </c>
      <c r="K6" s="12" t="s">
        <v>911</v>
      </c>
    </row>
    <row r="7" customFormat="false" ht="15" hidden="false" customHeight="false" outlineLevel="0" collapsed="false">
      <c r="A7" s="4" t="s">
        <v>912</v>
      </c>
      <c r="B7" s="12" t="s">
        <v>913</v>
      </c>
      <c r="C7" s="22" t="n">
        <v>590</v>
      </c>
      <c r="D7" s="22" t="n">
        <v>250</v>
      </c>
      <c r="E7" s="34" t="n">
        <v>10.2</v>
      </c>
      <c r="F7" s="22" t="n">
        <v>12</v>
      </c>
      <c r="G7" s="54" t="n">
        <f aca="false">E7/F7</f>
        <v>0.85</v>
      </c>
      <c r="H7" s="54" t="n">
        <f aca="false">G7/C7*1000</f>
        <v>1.4406779661017</v>
      </c>
      <c r="I7" s="12" t="s">
        <v>914</v>
      </c>
      <c r="J7" s="7" t="s">
        <v>915</v>
      </c>
      <c r="K7" s="12" t="s">
        <v>916</v>
      </c>
    </row>
    <row r="8" customFormat="false" ht="15" hidden="false" customHeight="false" outlineLevel="0" collapsed="false">
      <c r="A8" s="4" t="s">
        <v>917</v>
      </c>
      <c r="B8" s="12" t="s">
        <v>918</v>
      </c>
      <c r="C8" s="69" t="s">
        <v>919</v>
      </c>
      <c r="D8" s="22" t="n">
        <v>0</v>
      </c>
      <c r="E8" s="69" t="s">
        <v>919</v>
      </c>
      <c r="F8" s="22" t="n">
        <v>15</v>
      </c>
      <c r="I8" s="7" t="s">
        <v>920</v>
      </c>
      <c r="J8" s="12" t="s">
        <v>921</v>
      </c>
      <c r="K8" s="12" t="s">
        <v>922</v>
      </c>
    </row>
    <row r="9" customFormat="false" ht="15" hidden="false" customHeight="false" outlineLevel="0" collapsed="false">
      <c r="A9" s="2" t="s">
        <v>923</v>
      </c>
      <c r="C9" s="70" t="n">
        <f aca="false">SUM(C5:C8)</f>
        <v>1516</v>
      </c>
      <c r="D9" s="70" t="n">
        <f aca="false">SUM(D5:D8)</f>
        <v>633</v>
      </c>
      <c r="E9" s="53" t="n">
        <f aca="false">SUM(E5:E8)</f>
        <v>36.2</v>
      </c>
      <c r="G9" s="53" t="n">
        <f aca="false">SUM(G5:G8)</f>
        <v>2.58333333333333</v>
      </c>
      <c r="H9" s="71" t="n">
        <f aca="false">G9/C9*1000</f>
        <v>1.70404573438874</v>
      </c>
      <c r="K9" s="7" t="s">
        <v>924</v>
      </c>
    </row>
    <row r="11" customFormat="false" ht="15" hidden="false" customHeight="false" outlineLevel="0" collapsed="false">
      <c r="A11" s="46" t="s">
        <v>925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926</v>
      </c>
      <c r="E12" s="24" t="n">
        <v>29.37</v>
      </c>
      <c r="K12" s="7" t="s">
        <v>927</v>
      </c>
    </row>
    <row r="13" customFormat="false" ht="15" hidden="false" customHeight="false" outlineLevel="1" collapsed="false">
      <c r="A13" s="4" t="s">
        <v>928</v>
      </c>
      <c r="E13" s="24" t="n">
        <v>35.5</v>
      </c>
      <c r="K13" s="12" t="s">
        <v>929</v>
      </c>
    </row>
    <row r="14" customFormat="false" ht="15" hidden="false" customHeight="false" outlineLevel="1" collapsed="false">
      <c r="A14" s="4" t="s">
        <v>930</v>
      </c>
      <c r="E14" s="24" t="n">
        <v>14.7</v>
      </c>
      <c r="K14" s="7" t="s">
        <v>931</v>
      </c>
    </row>
    <row r="15" customFormat="false" ht="15" hidden="false" customHeight="false" outlineLevel="1" collapsed="false">
      <c r="A15" s="5" t="s">
        <v>932</v>
      </c>
      <c r="E15" s="53" t="n">
        <f aca="false">SUM(E12:E14)</f>
        <v>79.57</v>
      </c>
      <c r="K15" s="7" t="s">
        <v>933</v>
      </c>
    </row>
    <row r="16" customFormat="false" ht="15" hidden="false" customHeight="false" outlineLevel="1" collapsed="false">
      <c r="A16" s="3" t="s">
        <v>934</v>
      </c>
      <c r="E16" s="52" t="n">
        <f aca="false">-E9</f>
        <v>-36.2</v>
      </c>
    </row>
    <row r="17" customFormat="false" ht="15" hidden="false" customHeight="false" outlineLevel="1" collapsed="false">
      <c r="A17" s="2" t="s">
        <v>935</v>
      </c>
      <c r="E17" s="53" t="n">
        <f aca="false">E15+E16</f>
        <v>43.37</v>
      </c>
      <c r="K17" s="12" t="s">
        <v>936</v>
      </c>
    </row>
    <row r="18" customFormat="false" ht="15" hidden="false" customHeight="false" outlineLevel="1" collapsed="false">
      <c r="A18" s="3" t="s">
        <v>937</v>
      </c>
      <c r="E18" s="28" t="n">
        <f aca="false">E17/E15</f>
        <v>0.545054668845042</v>
      </c>
    </row>
    <row r="20" customFormat="false" ht="15" hidden="false" customHeight="false" outlineLevel="0" collapsed="false">
      <c r="A20" s="46" t="s">
        <v>938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85</v>
      </c>
      <c r="B21" s="15" t="s">
        <v>86</v>
      </c>
      <c r="C21" s="16" t="s">
        <v>87</v>
      </c>
      <c r="D21" s="16" t="s">
        <v>88</v>
      </c>
      <c r="E21" s="16" t="s">
        <v>89</v>
      </c>
      <c r="F21" s="16" t="s">
        <v>166</v>
      </c>
      <c r="G21" s="16" t="s">
        <v>167</v>
      </c>
    </row>
    <row r="22" customFormat="false" ht="15" hidden="false" customHeight="false" outlineLevel="1" collapsed="false">
      <c r="A22" s="3" t="s">
        <v>939</v>
      </c>
      <c r="B22" s="12" t="s">
        <v>91</v>
      </c>
      <c r="C22" s="62" t="n">
        <f aca="false">各期收支!C12</f>
        <v>1.34</v>
      </c>
      <c r="D22" s="62" t="n">
        <f aca="false">各期收支!D12</f>
        <v>3.939</v>
      </c>
      <c r="E22" s="62" t="n">
        <f aca="false">各期收支!E12</f>
        <v>4.72535483870968</v>
      </c>
      <c r="F22" s="62" t="n">
        <f aca="false">各期收支!F12</f>
        <v>5.123</v>
      </c>
      <c r="G22" s="62" t="n">
        <f aca="false">各期收支!G12</f>
        <v>5.19053846153846</v>
      </c>
    </row>
    <row r="23" customFormat="false" ht="15" hidden="false" customHeight="false" outlineLevel="1" collapsed="false">
      <c r="A23" s="3" t="s">
        <v>940</v>
      </c>
      <c r="B23" s="12" t="s">
        <v>170</v>
      </c>
      <c r="C23" s="29" t="n">
        <f aca="false">(輸入與假設!C$65+輸入與假設!C$26)/2</f>
        <v>1350</v>
      </c>
      <c r="D23" s="29" t="n">
        <f aca="false">(輸入與假設!D$65+輸入與假設!D$26)/2</f>
        <v>2475</v>
      </c>
      <c r="E23" s="29" t="n">
        <f aca="false">(輸入與假設!E$65+輸入與假設!E$26)/2</f>
        <v>3550</v>
      </c>
      <c r="F23" s="29" t="n">
        <f aca="false">(輸入與假設!F$65+輸入與假設!F$26)/2</f>
        <v>4400</v>
      </c>
      <c r="G23" s="29" t="n">
        <f aca="false">(輸入與假設!G$65+輸入與假設!G$26)/2</f>
        <v>5200</v>
      </c>
    </row>
    <row r="24" customFormat="false" ht="15" hidden="false" customHeight="false" outlineLevel="1" collapsed="false">
      <c r="A24" s="3" t="s">
        <v>198</v>
      </c>
      <c r="B24" s="7" t="s">
        <v>245</v>
      </c>
      <c r="C24" s="62" t="n">
        <f aca="false">輸入與假設!C$24</f>
        <v>0.5</v>
      </c>
      <c r="D24" s="62" t="n">
        <f aca="false">輸入與假設!D$24</f>
        <v>1</v>
      </c>
      <c r="E24" s="62" t="n">
        <f aca="false">輸入與假設!E$24</f>
        <v>1</v>
      </c>
      <c r="F24" s="62" t="n">
        <f aca="false">輸入與假設!F$24</f>
        <v>1</v>
      </c>
      <c r="G24" s="62" t="n">
        <f aca="false">輸入與假設!G$24</f>
        <v>1</v>
      </c>
    </row>
    <row r="25" customFormat="false" ht="15" hidden="false" customHeight="false" outlineLevel="1" collapsed="false">
      <c r="A25" s="2" t="s">
        <v>941</v>
      </c>
      <c r="B25" s="12" t="s">
        <v>236</v>
      </c>
      <c r="C25" s="36" t="n">
        <f aca="false">C22/C24/C23*1000</f>
        <v>1.98518518518519</v>
      </c>
      <c r="D25" s="36" t="n">
        <f aca="false">D22/D24/D23*1000</f>
        <v>1.59151515151515</v>
      </c>
      <c r="E25" s="36" t="n">
        <f aca="false">E22/E24/E23*1000</f>
        <v>1.33108587005906</v>
      </c>
      <c r="F25" s="36" t="n">
        <f aca="false">F22/F24/F23*1000</f>
        <v>1.16431818181818</v>
      </c>
      <c r="G25" s="36" t="n">
        <f aca="false">G22/G24/G23*1000</f>
        <v>0.998180473372781</v>
      </c>
      <c r="K25" s="12" t="s">
        <v>942</v>
      </c>
    </row>
    <row r="26" customFormat="false" ht="15" hidden="false" customHeight="false" outlineLevel="1" collapsed="false">
      <c r="A26" s="3" t="s">
        <v>943</v>
      </c>
      <c r="C26" s="23" t="n">
        <v>0.85</v>
      </c>
      <c r="K26" s="7" t="s">
        <v>944</v>
      </c>
    </row>
    <row r="27" customFormat="false" ht="15" hidden="false" customHeight="false" outlineLevel="1" collapsed="false">
      <c r="A27" s="3" t="s">
        <v>945</v>
      </c>
      <c r="B27" s="12" t="s">
        <v>91</v>
      </c>
      <c r="C27" s="62" t="n">
        <f aca="false">C23*運營_站點!$H$9/1000*$C$26*C24</f>
        <v>0.977696240105541</v>
      </c>
      <c r="D27" s="62" t="n">
        <f aca="false">D23*運營_站點!$H$9/1000*$C$26*D24</f>
        <v>3.58488621372032</v>
      </c>
      <c r="E27" s="62" t="n">
        <f aca="false">E23*運營_站點!$H$9/1000*$C$26*E24</f>
        <v>5.14195800351803</v>
      </c>
      <c r="F27" s="62" t="n">
        <f aca="false">F23*運營_站點!$H$9/1000*$C$26*F24</f>
        <v>6.3731310466139</v>
      </c>
      <c r="G27" s="62" t="n">
        <f aca="false">G23*運營_站點!$H$9/1000*$C$26*G24</f>
        <v>7.53188214599824</v>
      </c>
      <c r="K27" s="7" t="s">
        <v>946</v>
      </c>
    </row>
    <row r="28" customFormat="false" ht="15" hidden="false" customHeight="false" outlineLevel="1" collapsed="false">
      <c r="A28" s="2" t="s">
        <v>947</v>
      </c>
      <c r="B28" s="12" t="s">
        <v>91</v>
      </c>
      <c r="C28" s="36" t="n">
        <f aca="false">C27-C22</f>
        <v>-0.362303759894459</v>
      </c>
      <c r="D28" s="36" t="n">
        <f aca="false">D27-D22</f>
        <v>-0.354113786279684</v>
      </c>
      <c r="E28" s="36" t="n">
        <f aca="false">E27-E22</f>
        <v>0.416603164808353</v>
      </c>
      <c r="F28" s="36" t="n">
        <f aca="false">F27-F22</f>
        <v>1.2501310466139</v>
      </c>
      <c r="G28" s="36" t="n">
        <f aca="false">G27-G22</f>
        <v>2.34134368445978</v>
      </c>
      <c r="K28" s="7" t="s">
        <v>948</v>
      </c>
    </row>
    <row r="29" customFormat="false" ht="15" hidden="false" customHeight="false" outlineLevel="1" collapsed="false">
      <c r="A29" s="2" t="s">
        <v>949</v>
      </c>
      <c r="C29" s="71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6" t="s">
        <v>950</v>
      </c>
    </row>
    <row r="2" customFormat="false" ht="15" hidden="false" customHeight="false" outlineLevel="0" collapsed="false">
      <c r="A2" s="7" t="s">
        <v>951</v>
      </c>
    </row>
    <row r="4" customFormat="false" ht="15" hidden="false" customHeight="false" outlineLevel="0" collapsed="false">
      <c r="A4" s="15" t="s">
        <v>952</v>
      </c>
      <c r="B4" s="15" t="s">
        <v>953</v>
      </c>
      <c r="C4" s="15" t="s">
        <v>954</v>
      </c>
      <c r="D4" s="15" t="s">
        <v>955</v>
      </c>
      <c r="E4" s="16" t="s">
        <v>956</v>
      </c>
      <c r="F4" s="15" t="s">
        <v>957</v>
      </c>
      <c r="I4" s="15" t="s">
        <v>428</v>
      </c>
    </row>
    <row r="5" customFormat="false" ht="15" hidden="false" customHeight="false" outlineLevel="0" collapsed="false">
      <c r="A5" s="4" t="s">
        <v>958</v>
      </c>
      <c r="B5" s="7" t="s">
        <v>959</v>
      </c>
      <c r="C5" s="12" t="s">
        <v>960</v>
      </c>
      <c r="D5" s="23" t="n">
        <v>0.15</v>
      </c>
      <c r="E5" s="24" t="n">
        <v>1.3</v>
      </c>
      <c r="F5" s="62" t="n">
        <f aca="false">D5*E5</f>
        <v>0.195</v>
      </c>
      <c r="I5" s="7" t="s">
        <v>961</v>
      </c>
    </row>
    <row r="6" customFormat="false" ht="15" hidden="false" customHeight="false" outlineLevel="0" collapsed="false">
      <c r="A6" s="4" t="s">
        <v>962</v>
      </c>
      <c r="B6" s="7" t="s">
        <v>959</v>
      </c>
      <c r="C6" s="12" t="s">
        <v>963</v>
      </c>
      <c r="D6" s="23" t="n">
        <v>0.11</v>
      </c>
      <c r="E6" s="24" t="n">
        <v>3.19</v>
      </c>
      <c r="F6" s="62" t="n">
        <f aca="false">D6*E6</f>
        <v>0.3509</v>
      </c>
      <c r="I6" s="12" t="s">
        <v>403</v>
      </c>
    </row>
    <row r="7" customFormat="false" ht="15" hidden="false" customHeight="false" outlineLevel="0" collapsed="false">
      <c r="A7" s="4" t="s">
        <v>964</v>
      </c>
      <c r="B7" s="7" t="s">
        <v>959</v>
      </c>
      <c r="C7" s="12" t="s">
        <v>965</v>
      </c>
      <c r="D7" s="23" t="n">
        <v>0.09</v>
      </c>
      <c r="E7" s="24" t="n">
        <v>3</v>
      </c>
      <c r="F7" s="62" t="n">
        <f aca="false">D7*E7</f>
        <v>0.27</v>
      </c>
      <c r="I7" s="12" t="s">
        <v>403</v>
      </c>
    </row>
    <row r="8" customFormat="false" ht="15" hidden="false" customHeight="false" outlineLevel="0" collapsed="false">
      <c r="A8" s="4" t="s">
        <v>966</v>
      </c>
      <c r="B8" s="7" t="s">
        <v>959</v>
      </c>
      <c r="C8" s="12" t="s">
        <v>963</v>
      </c>
      <c r="D8" s="23" t="n">
        <v>0.09</v>
      </c>
      <c r="E8" s="24" t="n">
        <v>2.215</v>
      </c>
      <c r="F8" s="62" t="n">
        <f aca="false">D8*E8</f>
        <v>0.19935</v>
      </c>
      <c r="I8" s="12" t="s">
        <v>403</v>
      </c>
    </row>
    <row r="9" customFormat="false" ht="15" hidden="false" customHeight="false" outlineLevel="0" collapsed="false">
      <c r="A9" s="4" t="s">
        <v>967</v>
      </c>
      <c r="B9" s="7" t="s">
        <v>959</v>
      </c>
      <c r="C9" s="12" t="s">
        <v>968</v>
      </c>
      <c r="D9" s="23" t="n">
        <v>0.09</v>
      </c>
      <c r="E9" s="24" t="n">
        <v>1.101</v>
      </c>
      <c r="F9" s="62" t="n">
        <f aca="false">D9*E9</f>
        <v>0.09909</v>
      </c>
      <c r="I9" s="12" t="s">
        <v>969</v>
      </c>
    </row>
    <row r="10" customFormat="false" ht="15" hidden="false" customHeight="false" outlineLevel="0" collapsed="false">
      <c r="A10" s="4" t="s">
        <v>970</v>
      </c>
      <c r="B10" s="7" t="s">
        <v>959</v>
      </c>
      <c r="C10" s="12" t="s">
        <v>971</v>
      </c>
      <c r="D10" s="23" t="n">
        <v>0.1</v>
      </c>
      <c r="E10" s="24" t="n">
        <v>2</v>
      </c>
      <c r="F10" s="62" t="n">
        <f aca="false">D10*E10</f>
        <v>0.2</v>
      </c>
      <c r="I10" s="7" t="s">
        <v>972</v>
      </c>
    </row>
    <row r="11" customFormat="false" ht="15" hidden="false" customHeight="false" outlineLevel="0" collapsed="false">
      <c r="A11" s="4" t="s">
        <v>973</v>
      </c>
      <c r="B11" s="7" t="s">
        <v>959</v>
      </c>
      <c r="C11" s="12" t="s">
        <v>974</v>
      </c>
      <c r="D11" s="23" t="n">
        <v>0.1</v>
      </c>
      <c r="E11" s="24" t="n">
        <v>1.75</v>
      </c>
      <c r="F11" s="62" t="n">
        <f aca="false">D11*E11</f>
        <v>0.175</v>
      </c>
      <c r="I11" s="12" t="s">
        <v>403</v>
      </c>
    </row>
    <row r="12" customFormat="false" ht="15" hidden="false" customHeight="false" outlineLevel="0" collapsed="false">
      <c r="A12" s="4" t="s">
        <v>975</v>
      </c>
      <c r="B12" s="7" t="s">
        <v>959</v>
      </c>
      <c r="C12" s="12" t="s">
        <v>976</v>
      </c>
      <c r="D12" s="23" t="n">
        <v>0.1</v>
      </c>
      <c r="E12" s="24" t="n">
        <v>2.75</v>
      </c>
      <c r="F12" s="62" t="n">
        <f aca="false">D12*E12</f>
        <v>0.275</v>
      </c>
      <c r="I12" s="12" t="s">
        <v>977</v>
      </c>
    </row>
    <row r="13" customFormat="false" ht="15" hidden="false" customHeight="false" outlineLevel="0" collapsed="false">
      <c r="A13" s="4" t="s">
        <v>978</v>
      </c>
      <c r="B13" s="7" t="s">
        <v>959</v>
      </c>
      <c r="C13" s="12" t="s">
        <v>979</v>
      </c>
      <c r="D13" s="23" t="n">
        <v>0.1</v>
      </c>
      <c r="E13" s="24" t="n">
        <v>1.25</v>
      </c>
      <c r="F13" s="62" t="n">
        <f aca="false">D13*E13</f>
        <v>0.125</v>
      </c>
      <c r="I13" s="12" t="s">
        <v>980</v>
      </c>
    </row>
    <row r="14" customFormat="false" ht="15" hidden="false" customHeight="false" outlineLevel="0" collapsed="false">
      <c r="A14" s="4" t="s">
        <v>981</v>
      </c>
      <c r="B14" s="7" t="s">
        <v>959</v>
      </c>
      <c r="C14" s="12" t="s">
        <v>979</v>
      </c>
      <c r="D14" s="23" t="n">
        <v>0.09</v>
      </c>
      <c r="E14" s="24" t="n">
        <v>2.279</v>
      </c>
      <c r="F14" s="62" t="n">
        <f aca="false">D14*E14</f>
        <v>0.20511</v>
      </c>
      <c r="I14" s="7" t="s">
        <v>982</v>
      </c>
    </row>
    <row r="15" customFormat="false" ht="15" hidden="false" customHeight="false" outlineLevel="0" collapsed="false">
      <c r="A15" s="4" t="s">
        <v>983</v>
      </c>
      <c r="B15" s="7" t="s">
        <v>959</v>
      </c>
      <c r="C15" s="12" t="s">
        <v>984</v>
      </c>
      <c r="D15" s="23" t="n">
        <v>0.02</v>
      </c>
      <c r="E15" s="24" t="n">
        <v>2.588</v>
      </c>
      <c r="F15" s="62" t="n">
        <f aca="false">D15*E15</f>
        <v>0.05176</v>
      </c>
      <c r="I15" s="12" t="s">
        <v>403</v>
      </c>
    </row>
    <row r="16" customFormat="false" ht="15" hidden="false" customHeight="false" outlineLevel="0" collapsed="false">
      <c r="A16" s="4" t="s">
        <v>985</v>
      </c>
      <c r="B16" s="7" t="s">
        <v>959</v>
      </c>
      <c r="C16" s="12" t="s">
        <v>986</v>
      </c>
      <c r="D16" s="23" t="n">
        <v>0.02</v>
      </c>
      <c r="E16" s="24" t="n">
        <v>4</v>
      </c>
      <c r="F16" s="62" t="n">
        <f aca="false">D16*E16</f>
        <v>0.08</v>
      </c>
      <c r="I16" s="7" t="s">
        <v>987</v>
      </c>
    </row>
    <row r="17" customFormat="false" ht="15" hidden="false" customHeight="false" outlineLevel="0" collapsed="false">
      <c r="A17" s="4" t="s">
        <v>988</v>
      </c>
      <c r="B17" s="7" t="s">
        <v>959</v>
      </c>
      <c r="C17" s="12" t="s">
        <v>989</v>
      </c>
      <c r="D17" s="23" t="n">
        <v>0.11</v>
      </c>
      <c r="E17" s="24" t="n">
        <v>4.22</v>
      </c>
      <c r="F17" s="62" t="n">
        <f aca="false">D17*E17</f>
        <v>0.4642</v>
      </c>
      <c r="I17" s="7" t="s">
        <v>990</v>
      </c>
    </row>
    <row r="18" customFormat="false" ht="15" hidden="false" customHeight="false" outlineLevel="0" collapsed="false">
      <c r="A18" s="4" t="s">
        <v>991</v>
      </c>
      <c r="B18" s="7" t="s">
        <v>959</v>
      </c>
      <c r="C18" s="12" t="s">
        <v>992</v>
      </c>
      <c r="D18" s="23" t="n">
        <v>0.12</v>
      </c>
      <c r="E18" s="24" t="n">
        <v>0.189</v>
      </c>
      <c r="F18" s="62" t="n">
        <f aca="false">D18*E18</f>
        <v>0.02268</v>
      </c>
      <c r="I18" s="12" t="s">
        <v>403</v>
      </c>
    </row>
    <row r="19" customFormat="false" ht="15" hidden="false" customHeight="false" outlineLevel="0" collapsed="false">
      <c r="A19" s="4" t="s">
        <v>993</v>
      </c>
      <c r="B19" s="7" t="s">
        <v>994</v>
      </c>
      <c r="C19" s="12" t="s">
        <v>995</v>
      </c>
      <c r="D19" s="23" t="n">
        <v>0.07</v>
      </c>
      <c r="E19" s="24" t="n">
        <v>2.837</v>
      </c>
      <c r="F19" s="62" t="n">
        <f aca="false">D19*E19</f>
        <v>0.19859</v>
      </c>
      <c r="I19" s="12" t="s">
        <v>996</v>
      </c>
    </row>
    <row r="20" customFormat="false" ht="15" hidden="false" customHeight="false" outlineLevel="0" collapsed="false">
      <c r="A20" s="4" t="s">
        <v>997</v>
      </c>
      <c r="B20" s="7" t="s">
        <v>994</v>
      </c>
      <c r="C20" s="12" t="s">
        <v>998</v>
      </c>
      <c r="D20" s="23" t="n">
        <v>0.09</v>
      </c>
      <c r="E20" s="24" t="n">
        <v>0.882</v>
      </c>
      <c r="F20" s="62" t="n">
        <f aca="false">D20*E20</f>
        <v>0.07938</v>
      </c>
      <c r="I20" s="12" t="s">
        <v>403</v>
      </c>
    </row>
    <row r="21" customFormat="false" ht="15" hidden="false" customHeight="false" outlineLevel="0" collapsed="false">
      <c r="A21" s="2" t="s">
        <v>999</v>
      </c>
      <c r="E21" s="53" t="n">
        <f aca="false">SUM(E5:E20)</f>
        <v>35.551</v>
      </c>
      <c r="F21" s="53" t="n">
        <f aca="false">SUM(F5:F20)</f>
        <v>2.99106</v>
      </c>
      <c r="I21" s="7" t="s">
        <v>1000</v>
      </c>
    </row>
    <row r="22" customFormat="false" ht="15" hidden="false" customHeight="false" outlineLevel="0" collapsed="false">
      <c r="A22" s="2" t="s">
        <v>1001</v>
      </c>
      <c r="D22" s="72" t="n">
        <f aca="false">F21/E21</f>
        <v>0.084134342212596</v>
      </c>
      <c r="I22" s="7" t="s">
        <v>1002</v>
      </c>
    </row>
    <row r="24" customFormat="false" ht="15" hidden="false" customHeight="false" outlineLevel="0" collapsed="false">
      <c r="A24" s="4" t="s">
        <v>1003</v>
      </c>
      <c r="D24" s="73" t="n">
        <v>0.02875</v>
      </c>
      <c r="E24" s="24" t="n">
        <v>3.7</v>
      </c>
      <c r="F24" s="11" t="n">
        <f aca="false">D24*E24</f>
        <v>0.106375</v>
      </c>
      <c r="I24" s="7" t="s">
        <v>1004</v>
      </c>
    </row>
    <row r="26" customFormat="false" ht="15" hidden="false" customHeight="false" outlineLevel="0" collapsed="false">
      <c r="A26" s="46" t="s">
        <v>1005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85</v>
      </c>
      <c r="B27" s="15" t="s">
        <v>86</v>
      </c>
      <c r="C27" s="27" t="s">
        <v>87</v>
      </c>
      <c r="D27" s="27" t="s">
        <v>88</v>
      </c>
      <c r="E27" s="27" t="s">
        <v>89</v>
      </c>
      <c r="F27" s="27" t="s">
        <v>166</v>
      </c>
      <c r="G27" s="27" t="s">
        <v>167</v>
      </c>
      <c r="I27" s="15" t="s">
        <v>561</v>
      </c>
    </row>
    <row r="28" customFormat="false" ht="15" hidden="false" customHeight="false" outlineLevel="1" collapsed="false">
      <c r="A28" s="3" t="s">
        <v>1006</v>
      </c>
      <c r="B28" s="12" t="s">
        <v>91</v>
      </c>
      <c r="C28" s="62" t="n">
        <f aca="false">E21</f>
        <v>35.551</v>
      </c>
      <c r="D28" s="62" t="n">
        <f aca="false">C30</f>
        <v>31.138</v>
      </c>
      <c r="E28" s="62" t="n">
        <f aca="false">D30</f>
        <v>24.954</v>
      </c>
      <c r="F28" s="62" t="n">
        <f aca="false">E30</f>
        <v>20.538</v>
      </c>
      <c r="G28" s="62" t="n">
        <f aca="false">F30</f>
        <v>18.117</v>
      </c>
      <c r="I28" s="12" t="s">
        <v>1007</v>
      </c>
    </row>
    <row r="29" customFormat="false" ht="15" hidden="false" customHeight="false" outlineLevel="1" collapsed="false">
      <c r="A29" s="3" t="s">
        <v>1008</v>
      </c>
      <c r="B29" s="12" t="s">
        <v>91</v>
      </c>
      <c r="C29" s="39" t="n">
        <f aca="false">輸入與假設!C$93</f>
        <v>4.413</v>
      </c>
      <c r="D29" s="39" t="n">
        <f aca="false">輸入與假設!D$93</f>
        <v>6.184</v>
      </c>
      <c r="E29" s="39" t="n">
        <f aca="false">輸入與假設!E$93</f>
        <v>4.416</v>
      </c>
      <c r="F29" s="39" t="n">
        <f aca="false">輸入與假設!F$93</f>
        <v>2.421</v>
      </c>
      <c r="G29" s="39" t="n">
        <f aca="false">輸入與假設!G$93</f>
        <v>3.221</v>
      </c>
      <c r="I29" s="12" t="s">
        <v>1009</v>
      </c>
    </row>
    <row r="30" customFormat="false" ht="15" hidden="false" customHeight="false" outlineLevel="1" collapsed="false">
      <c r="A30" s="3" t="s">
        <v>1010</v>
      </c>
      <c r="B30" s="12" t="s">
        <v>91</v>
      </c>
      <c r="C30" s="62" t="n">
        <f aca="false">C28-C29</f>
        <v>31.138</v>
      </c>
      <c r="D30" s="62" t="n">
        <f aca="false">D28-D29</f>
        <v>24.954</v>
      </c>
      <c r="E30" s="62" t="n">
        <f aca="false">E28-E29</f>
        <v>20.538</v>
      </c>
      <c r="F30" s="62" t="n">
        <f aca="false">F28-F29</f>
        <v>18.117</v>
      </c>
      <c r="G30" s="62" t="n">
        <f aca="false">G28-G29</f>
        <v>14.896</v>
      </c>
    </row>
    <row r="31" customFormat="false" ht="15" hidden="false" customHeight="false" outlineLevel="1" collapsed="false">
      <c r="A31" s="3" t="s">
        <v>1011</v>
      </c>
      <c r="B31" s="12" t="s">
        <v>91</v>
      </c>
      <c r="C31" s="62" t="n">
        <f aca="false">(C28+C30)/2</f>
        <v>33.3445</v>
      </c>
      <c r="D31" s="62" t="n">
        <f aca="false">(D28+D30)/2</f>
        <v>28.046</v>
      </c>
      <c r="E31" s="62" t="n">
        <f aca="false">(E28+E30)/2</f>
        <v>22.746</v>
      </c>
      <c r="F31" s="62" t="n">
        <f aca="false">(F28+F30)/2</f>
        <v>19.3275</v>
      </c>
      <c r="G31" s="62" t="n">
        <f aca="false">(G28+G30)/2</f>
        <v>16.5065</v>
      </c>
    </row>
    <row r="32" customFormat="false" ht="15" hidden="false" customHeight="false" outlineLevel="1" collapsed="false">
      <c r="A32" s="3" t="s">
        <v>1012</v>
      </c>
      <c r="B32" s="12" t="s">
        <v>91</v>
      </c>
      <c r="C32" s="62" t="n">
        <f aca="false">C31*資產負債_既有債務!$D$22*輸入與假設!C$24</f>
        <v>1.40270878695395</v>
      </c>
      <c r="D32" s="62" t="n">
        <f aca="false">D31*資產負債_既有債務!$D$22*輸入與假設!D$24</f>
        <v>2.35963176169447</v>
      </c>
      <c r="E32" s="62" t="n">
        <f aca="false">E31*資產負債_既有債務!$D$22*輸入與假設!E$24</f>
        <v>1.91371974796771</v>
      </c>
      <c r="F32" s="62" t="n">
        <f aca="false">F31*資產負債_既有債務!$D$22*輸入與假設!F$24</f>
        <v>1.62610649911395</v>
      </c>
      <c r="G32" s="62" t="n">
        <f aca="false">G31*資產負債_既有債務!$D$22*輸入與假設!G$24</f>
        <v>1.38876351973222</v>
      </c>
      <c r="I32" s="7" t="s">
        <v>1013</v>
      </c>
    </row>
    <row r="33" customFormat="false" ht="15" hidden="false" customHeight="false" outlineLevel="1" collapsed="false">
      <c r="A33" s="4" t="s">
        <v>1014</v>
      </c>
      <c r="B33" s="12" t="s">
        <v>91</v>
      </c>
      <c r="C33" s="62" t="n">
        <f aca="false">資產負債_既有債務!$F$24*輸入與假設!C$24</f>
        <v>0.0531875</v>
      </c>
      <c r="D33" s="62" t="n">
        <f aca="false">資產負債_既有債務!$F$24*輸入與假設!D$24</f>
        <v>0.106375</v>
      </c>
      <c r="E33" s="62" t="n">
        <f aca="false">資產負債_既有債務!$F$24*輸入與假設!E$24</f>
        <v>0.106375</v>
      </c>
      <c r="F33" s="62" t="n">
        <f aca="false">資產負債_既有債務!$F$24*輸入與假設!F$24</f>
        <v>0.106375</v>
      </c>
      <c r="G33" s="62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1015</v>
      </c>
      <c r="B34" s="12" t="s">
        <v>91</v>
      </c>
      <c r="C34" s="24" t="n">
        <f aca="false">0.35</f>
        <v>0.35</v>
      </c>
      <c r="D34" s="24" t="n">
        <f aca="false">0</f>
        <v>0</v>
      </c>
      <c r="E34" s="24" t="n">
        <f aca="false">0</f>
        <v>0</v>
      </c>
      <c r="F34" s="24" t="n">
        <f aca="false">0</f>
        <v>0</v>
      </c>
      <c r="G34" s="24" t="n">
        <f aca="false">0</f>
        <v>0</v>
      </c>
      <c r="I34" s="12" t="s">
        <v>1016</v>
      </c>
    </row>
    <row r="35" customFormat="false" ht="15" hidden="false" customHeight="false" outlineLevel="1" collapsed="false">
      <c r="A35" s="2" t="s">
        <v>1017</v>
      </c>
      <c r="B35" s="12" t="s">
        <v>91</v>
      </c>
      <c r="C35" s="36" t="n">
        <f aca="false">C32+C33+C34</f>
        <v>1.80589628695395</v>
      </c>
      <c r="D35" s="36" t="n">
        <f aca="false">D32+D33+D34</f>
        <v>2.46600676169447</v>
      </c>
      <c r="E35" s="36" t="n">
        <f aca="false">E32+E33+E34</f>
        <v>2.02009474796771</v>
      </c>
      <c r="F35" s="36" t="n">
        <f aca="false">F32+F33+F34</f>
        <v>1.73248149911395</v>
      </c>
      <c r="G35" s="36" t="n">
        <f aca="false">G32+G33+G34</f>
        <v>1.49513851973222</v>
      </c>
      <c r="I35" s="12" t="s">
        <v>1018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1019</v>
      </c>
    </row>
    <row r="2" customFormat="false" ht="15" hidden="false" customHeight="false" outlineLevel="0" collapsed="false">
      <c r="A2" s="7" t="s">
        <v>1020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166</v>
      </c>
      <c r="G4" s="27" t="s">
        <v>167</v>
      </c>
      <c r="I4" s="15" t="s">
        <v>561</v>
      </c>
    </row>
    <row r="5" customFormat="false" ht="15" hidden="false" customHeight="false" outlineLevel="0" collapsed="false">
      <c r="A5" s="46" t="s">
        <v>1021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1022</v>
      </c>
      <c r="B6" s="12" t="s">
        <v>91</v>
      </c>
      <c r="C6" s="62" t="n">
        <f aca="false">輸入與假設!$C$77</f>
        <v>5.5</v>
      </c>
      <c r="D6" s="62" t="n">
        <f aca="false">各期收支!C41</f>
        <v>2</v>
      </c>
      <c r="E6" s="62" t="n">
        <f aca="false">各期收支!D41</f>
        <v>2</v>
      </c>
      <c r="F6" s="62" t="n">
        <f aca="false">各期收支!E41</f>
        <v>2</v>
      </c>
      <c r="G6" s="62" t="n">
        <f aca="false">各期收支!F41</f>
        <v>2</v>
      </c>
      <c r="I6" s="12" t="s">
        <v>1023</v>
      </c>
    </row>
    <row r="7" customFormat="false" ht="15" hidden="false" customHeight="false" outlineLevel="1" collapsed="false">
      <c r="A7" s="3" t="s">
        <v>1024</v>
      </c>
      <c r="B7" s="12" t="s">
        <v>91</v>
      </c>
      <c r="C7" s="62" t="n">
        <f aca="false">各期收支!C71-輸入與假設!$C$77</f>
        <v>-15.4895435039723</v>
      </c>
      <c r="D7" s="62" t="n">
        <f aca="false">各期收支!D71-各期收支!C71</f>
        <v>-28.6060211457307</v>
      </c>
      <c r="E7" s="62" t="n">
        <f aca="false">各期收支!E71-各期收支!D71</f>
        <v>-11.2541004220161</v>
      </c>
      <c r="F7" s="62" t="n">
        <f aca="false">各期收支!F71-各期收支!E71</f>
        <v>-5.90351213937701</v>
      </c>
      <c r="G7" s="62" t="n">
        <f aca="false">各期收支!G71-各期收支!F71</f>
        <v>-5.93658679089938</v>
      </c>
      <c r="I7" s="7" t="s">
        <v>1025</v>
      </c>
    </row>
    <row r="8" customFormat="false" ht="15" hidden="false" customHeight="false" outlineLevel="1" collapsed="false">
      <c r="A8" s="3" t="s">
        <v>1026</v>
      </c>
      <c r="B8" s="12" t="s">
        <v>91</v>
      </c>
      <c r="C8" s="62" t="n">
        <f aca="false">各期收支!C58</f>
        <v>12.5544958156778</v>
      </c>
      <c r="D8" s="62" t="n">
        <f aca="false">各期收支!D58</f>
        <v>32.6768415045513</v>
      </c>
      <c r="E8" s="62" t="n">
        <f aca="false">各期收支!E58</f>
        <v>16.8405722866337</v>
      </c>
      <c r="F8" s="62" t="n">
        <f aca="false">各期收支!F58</f>
        <v>3.13931889313726</v>
      </c>
      <c r="G8" s="62" t="n">
        <f aca="false">各期收支!G58</f>
        <v>7.17872749999999</v>
      </c>
    </row>
    <row r="9" customFormat="false" ht="15" hidden="false" customHeight="false" outlineLevel="1" collapsed="false">
      <c r="A9" s="3" t="s">
        <v>1027</v>
      </c>
      <c r="B9" s="12" t="s">
        <v>91</v>
      </c>
      <c r="C9" s="62" t="n">
        <f aca="false">各期收支!C62</f>
        <v>0</v>
      </c>
      <c r="D9" s="62" t="n">
        <f aca="false">各期收支!D62</f>
        <v>0</v>
      </c>
      <c r="E9" s="62" t="n">
        <f aca="false">各期收支!E62</f>
        <v>0</v>
      </c>
      <c r="F9" s="62" t="n">
        <f aca="false">各期收支!F62</f>
        <v>0</v>
      </c>
      <c r="G9" s="62" t="n">
        <f aca="false">各期收支!G62</f>
        <v>0</v>
      </c>
    </row>
    <row r="10" customFormat="false" ht="15" hidden="false" customHeight="false" outlineLevel="1" collapsed="false">
      <c r="A10" s="3" t="s">
        <v>1028</v>
      </c>
      <c r="B10" s="12" t="s">
        <v>91</v>
      </c>
      <c r="C10" s="62" t="n">
        <f aca="false">各期收支!C61</f>
        <v>0</v>
      </c>
      <c r="D10" s="62" t="n">
        <f aca="false">各期收支!D61</f>
        <v>0</v>
      </c>
      <c r="E10" s="62" t="n">
        <f aca="false">各期收支!E61</f>
        <v>0</v>
      </c>
      <c r="F10" s="62" t="n">
        <f aca="false">各期收支!F61</f>
        <v>8.63320381123975</v>
      </c>
      <c r="G10" s="62" t="n">
        <f aca="false">各期收支!G61</f>
        <v>5.27295533089938</v>
      </c>
    </row>
    <row r="11" customFormat="false" ht="15" hidden="false" customHeight="false" outlineLevel="1" collapsed="false">
      <c r="A11" s="3" t="s">
        <v>1029</v>
      </c>
      <c r="B11" s="12" t="s">
        <v>91</v>
      </c>
      <c r="C11" s="62" t="n">
        <f aca="false">-各期收支!C63</f>
        <v>-0.564952311705499</v>
      </c>
      <c r="D11" s="62" t="n">
        <f aca="false">-各期收支!D63</f>
        <v>-4.07082035882062</v>
      </c>
      <c r="E11" s="62" t="n">
        <f aca="false">-各期收支!E63</f>
        <v>-5.58647186461765</v>
      </c>
      <c r="F11" s="62" t="n">
        <f aca="false">-各期收支!F63</f>
        <v>-5.869010565</v>
      </c>
      <c r="G11" s="62" t="n">
        <f aca="false">-各期收支!G63</f>
        <v>-6.51509604</v>
      </c>
    </row>
    <row r="12" customFormat="false" ht="15" hidden="false" customHeight="false" outlineLevel="1" collapsed="false">
      <c r="A12" s="2" t="s">
        <v>1030</v>
      </c>
      <c r="B12" s="12" t="s">
        <v>91</v>
      </c>
      <c r="C12" s="36" t="n">
        <f aca="false">SUM(C6:C11)</f>
        <v>2</v>
      </c>
      <c r="D12" s="36" t="n">
        <f aca="false">SUM(D6:D11)</f>
        <v>2</v>
      </c>
      <c r="E12" s="36" t="n">
        <f aca="false">SUM(E6:E11)</f>
        <v>2</v>
      </c>
      <c r="F12" s="36" t="n">
        <f aca="false">SUM(F6:F11)</f>
        <v>2</v>
      </c>
      <c r="G12" s="36" t="n">
        <f aca="false">SUM(G6:G11)</f>
        <v>2</v>
      </c>
      <c r="I12" s="7" t="s">
        <v>1031</v>
      </c>
    </row>
    <row r="13" customFormat="false" ht="15" hidden="false" customHeight="false" outlineLevel="1" collapsed="false">
      <c r="A13" s="3" t="s">
        <v>1032</v>
      </c>
      <c r="B13" s="12" t="s">
        <v>91</v>
      </c>
      <c r="C13" s="62" t="n">
        <f aca="false">C12-各期收支!C41</f>
        <v>0</v>
      </c>
      <c r="D13" s="62" t="n">
        <f aca="false">D12-各期收支!D41</f>
        <v>0</v>
      </c>
      <c r="E13" s="62" t="n">
        <f aca="false">E12-各期收支!E41</f>
        <v>0</v>
      </c>
      <c r="F13" s="62" t="n">
        <f aca="false">F12-各期收支!F41</f>
        <v>0</v>
      </c>
      <c r="G13" s="62" t="n">
        <f aca="false">G12-各期收支!G41</f>
        <v>0</v>
      </c>
      <c r="I13" s="7" t="s">
        <v>1033</v>
      </c>
    </row>
    <row r="14" customFormat="false" ht="15" hidden="false" customHeight="false" outlineLevel="0" collapsed="false">
      <c r="A14" s="46" t="s">
        <v>1034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1035</v>
      </c>
      <c r="B15" s="12" t="s">
        <v>91</v>
      </c>
      <c r="C15" s="62" t="n">
        <f aca="false">35.551</f>
        <v>35.551</v>
      </c>
      <c r="D15" s="62" t="n">
        <f aca="false">C17</f>
        <v>31.138</v>
      </c>
      <c r="E15" s="62" t="n">
        <f aca="false">D17</f>
        <v>24.954</v>
      </c>
      <c r="F15" s="62" t="n">
        <f aca="false">E17</f>
        <v>20.538</v>
      </c>
      <c r="G15" s="62" t="n">
        <f aca="false">F17</f>
        <v>18.117</v>
      </c>
    </row>
    <row r="16" customFormat="false" ht="15" hidden="false" customHeight="false" outlineLevel="1" collapsed="false">
      <c r="A16" s="3" t="s">
        <v>1036</v>
      </c>
      <c r="B16" s="12" t="s">
        <v>91</v>
      </c>
      <c r="C16" s="62" t="n">
        <f aca="false">-IF(輸入與假設!$C$82=1,輸入與假設!C$93,0)</f>
        <v>-4.413</v>
      </c>
      <c r="D16" s="62" t="n">
        <f aca="false">-IF(輸入與假設!$C$82=1,輸入與假設!D$93,0)</f>
        <v>-6.184</v>
      </c>
      <c r="E16" s="62" t="n">
        <f aca="false">-IF(輸入與假設!$C$82=1,輸入與假設!E$93,0)</f>
        <v>-4.416</v>
      </c>
      <c r="F16" s="62" t="n">
        <f aca="false">-IF(輸入與假設!$C$82=1,輸入與假設!F$93,0)</f>
        <v>-2.421</v>
      </c>
      <c r="G16" s="62" t="n">
        <f aca="false">-IF(輸入與假設!$C$82=1,輸入與假設!G$93,0)</f>
        <v>-3.221</v>
      </c>
    </row>
    <row r="17" customFormat="false" ht="15" hidden="false" customHeight="false" outlineLevel="1" collapsed="false">
      <c r="A17" s="3" t="s">
        <v>1037</v>
      </c>
      <c r="B17" s="12" t="s">
        <v>91</v>
      </c>
      <c r="C17" s="62" t="n">
        <f aca="false">各期收支!C54-3.7</f>
        <v>31.138</v>
      </c>
      <c r="D17" s="62" t="n">
        <f aca="false">各期收支!D54-3.7</f>
        <v>24.954</v>
      </c>
      <c r="E17" s="62" t="n">
        <f aca="false">各期收支!E54-3.7</f>
        <v>20.538</v>
      </c>
      <c r="F17" s="62" t="n">
        <f aca="false">各期收支!F54-3.7</f>
        <v>18.117</v>
      </c>
      <c r="G17" s="62" t="n">
        <f aca="false">各期收支!G54-3.7</f>
        <v>14.896</v>
      </c>
      <c r="I17" s="7" t="s">
        <v>1038</v>
      </c>
    </row>
    <row r="18" customFormat="false" ht="15" hidden="false" customHeight="false" outlineLevel="1" collapsed="false">
      <c r="A18" s="3" t="s">
        <v>1039</v>
      </c>
      <c r="B18" s="12" t="s">
        <v>91</v>
      </c>
      <c r="C18" s="62" t="n">
        <f aca="false">3.7</f>
        <v>3.7</v>
      </c>
      <c r="D18" s="62" t="n">
        <f aca="false">3.7</f>
        <v>3.7</v>
      </c>
      <c r="E18" s="62" t="n">
        <f aca="false">3.7</f>
        <v>3.7</v>
      </c>
      <c r="F18" s="62" t="n">
        <f aca="false">3.7</f>
        <v>3.7</v>
      </c>
      <c r="G18" s="62" t="n">
        <f aca="false">3.7</f>
        <v>3.7</v>
      </c>
    </row>
    <row r="19" customFormat="false" ht="15" hidden="false" customHeight="false" outlineLevel="1" collapsed="false">
      <c r="A19" s="3" t="s">
        <v>1040</v>
      </c>
      <c r="B19" s="12" t="s">
        <v>91</v>
      </c>
      <c r="C19" s="62" t="n">
        <f aca="false">各期收支!C67</f>
        <v>12.5544958156778</v>
      </c>
      <c r="D19" s="62" t="n">
        <f aca="false">各期收支!D67</f>
        <v>45.2313373202291</v>
      </c>
      <c r="E19" s="62" t="n">
        <f aca="false">各期收支!E67</f>
        <v>62.0719096068628</v>
      </c>
      <c r="F19" s="62" t="n">
        <f aca="false">各期收支!F67</f>
        <v>65.2112285</v>
      </c>
      <c r="G19" s="62" t="n">
        <f aca="false">各期收支!G67</f>
        <v>72.389956</v>
      </c>
    </row>
    <row r="20" customFormat="false" ht="15" hidden="false" customHeight="false" outlineLevel="1" collapsed="false">
      <c r="A20" s="3" t="s">
        <v>1041</v>
      </c>
      <c r="B20" s="12" t="s">
        <v>91</v>
      </c>
      <c r="C20" s="62" t="n">
        <f aca="false">各期收支!C69</f>
        <v>0</v>
      </c>
      <c r="D20" s="62" t="n">
        <f aca="false">各期收支!D69</f>
        <v>0</v>
      </c>
      <c r="E20" s="62" t="n">
        <f aca="false">各期收支!E69</f>
        <v>0</v>
      </c>
      <c r="F20" s="62" t="n">
        <f aca="false">各期收支!F69</f>
        <v>0</v>
      </c>
      <c r="G20" s="62" t="n">
        <f aca="false">各期收支!G69</f>
        <v>0</v>
      </c>
    </row>
    <row r="21" customFormat="false" ht="15" hidden="false" customHeight="false" outlineLevel="1" collapsed="false">
      <c r="A21" s="2" t="s">
        <v>1042</v>
      </c>
      <c r="B21" s="12" t="s">
        <v>91</v>
      </c>
      <c r="C21" s="36" t="n">
        <f aca="false">SUM(C17:C20)</f>
        <v>47.3924958156778</v>
      </c>
      <c r="D21" s="36" t="n">
        <f aca="false">SUM(D17:D20)</f>
        <v>73.8853373202291</v>
      </c>
      <c r="E21" s="36" t="n">
        <f aca="false">SUM(E17:E20)</f>
        <v>86.3099096068628</v>
      </c>
      <c r="F21" s="36" t="n">
        <f aca="false">SUM(F17:F20)</f>
        <v>87.0282285</v>
      </c>
      <c r="G21" s="36" t="n">
        <f aca="false">SUM(G17:G20)</f>
        <v>90.985956</v>
      </c>
      <c r="I21" s="7" t="s">
        <v>1043</v>
      </c>
    </row>
    <row r="22" customFormat="false" ht="15" hidden="false" customHeight="false" outlineLevel="1" collapsed="false">
      <c r="A22" s="2" t="s">
        <v>1044</v>
      </c>
      <c r="B22" s="12" t="s">
        <v>91</v>
      </c>
      <c r="C22" s="36" t="n">
        <f aca="false">C21-C12</f>
        <v>45.3924958156778</v>
      </c>
      <c r="D22" s="36" t="n">
        <f aca="false">D21-D12</f>
        <v>71.8853373202291</v>
      </c>
      <c r="E22" s="36" t="n">
        <f aca="false">E21-E12</f>
        <v>84.3099096068628</v>
      </c>
      <c r="F22" s="36" t="n">
        <f aca="false">F21-F12</f>
        <v>85.0282285</v>
      </c>
      <c r="G22" s="36" t="n">
        <f aca="false">G21-G12</f>
        <v>88.985956</v>
      </c>
    </row>
    <row r="23" customFormat="false" ht="15" hidden="false" customHeight="false" outlineLevel="0" collapsed="false">
      <c r="A23" s="46" t="s">
        <v>1045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1046</v>
      </c>
      <c r="B24" s="12" t="s">
        <v>329</v>
      </c>
      <c r="C24" s="50" t="n">
        <f aca="false">損益!C20</f>
        <v>0.587</v>
      </c>
      <c r="D24" s="50" t="n">
        <f aca="false">損益!D20</f>
        <v>0.59287</v>
      </c>
      <c r="E24" s="50" t="n">
        <f aca="false">損益!E20</f>
        <v>0.5987987</v>
      </c>
      <c r="F24" s="50" t="n">
        <f aca="false">損益!F20</f>
        <v>0.604786687</v>
      </c>
      <c r="G24" s="50" t="n">
        <f aca="false">損益!G20</f>
        <v>0.61083455387</v>
      </c>
    </row>
    <row r="25" customFormat="false" ht="15" hidden="false" customHeight="false" outlineLevel="1" collapsed="false">
      <c r="A25" s="3" t="s">
        <v>1047</v>
      </c>
      <c r="B25" s="12" t="s">
        <v>329</v>
      </c>
      <c r="C25" s="50" t="n">
        <f aca="false">各期收支!C65</f>
        <v>0</v>
      </c>
      <c r="D25" s="50" t="n">
        <f aca="false">各期收支!D65</f>
        <v>0</v>
      </c>
      <c r="E25" s="50" t="n">
        <f aca="false">各期收支!E65</f>
        <v>0</v>
      </c>
      <c r="F25" s="50" t="n">
        <f aca="false">各期收支!F65</f>
        <v>0.106429032277325</v>
      </c>
      <c r="G25" s="50" t="n">
        <f aca="false">各期收支!G65</f>
        <v>0.0650043188345154</v>
      </c>
    </row>
    <row r="26" customFormat="false" ht="15" hidden="false" customHeight="false" outlineLevel="1" collapsed="false">
      <c r="A26" s="2" t="s">
        <v>1048</v>
      </c>
      <c r="B26" s="12" t="s">
        <v>329</v>
      </c>
      <c r="C26" s="51" t="n">
        <f aca="false">損益!C21</f>
        <v>0.587</v>
      </c>
      <c r="D26" s="51" t="n">
        <f aca="false">損益!D21</f>
        <v>0.59287</v>
      </c>
      <c r="E26" s="51" t="n">
        <f aca="false">損益!E21</f>
        <v>0.5987987</v>
      </c>
      <c r="F26" s="51" t="n">
        <f aca="false">損益!F21</f>
        <v>0.711215719277325</v>
      </c>
      <c r="G26" s="51" t="n">
        <f aca="false">損益!G21</f>
        <v>0.78226790498184</v>
      </c>
      <c r="I26" s="7" t="s">
        <v>1049</v>
      </c>
    </row>
    <row r="27" customFormat="false" ht="15" hidden="false" customHeight="false" outlineLevel="0" collapsed="false">
      <c r="A27" s="46" t="s">
        <v>1050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634</v>
      </c>
      <c r="B28" s="12" t="s">
        <v>91</v>
      </c>
      <c r="C28" s="62" t="n">
        <f aca="false">各期收支!C53</f>
        <v>115.50825</v>
      </c>
      <c r="D28" s="62" t="n">
        <f aca="false">各期收支!D53</f>
        <v>89.12475</v>
      </c>
      <c r="E28" s="62" t="n">
        <f aca="false">各期收支!E53</f>
        <v>99.902412</v>
      </c>
      <c r="F28" s="62" t="n">
        <f aca="false">各期收支!F53</f>
        <v>87.0282285</v>
      </c>
      <c r="G28" s="62" t="n">
        <f aca="false">各期收支!G53</f>
        <v>90.985956</v>
      </c>
    </row>
    <row r="29" customFormat="false" ht="15" hidden="false" customHeight="false" outlineLevel="1" collapsed="false">
      <c r="A29" s="3" t="s">
        <v>638</v>
      </c>
      <c r="B29" s="12" t="s">
        <v>91</v>
      </c>
      <c r="C29" s="62" t="n">
        <f aca="false">各期收支!C55</f>
        <v>115.50825</v>
      </c>
      <c r="D29" s="62" t="n">
        <f aca="false">各期收支!D55</f>
        <v>89.12475</v>
      </c>
      <c r="E29" s="62" t="n">
        <f aca="false">各期收支!E55</f>
        <v>99.902412</v>
      </c>
      <c r="F29" s="62" t="n">
        <f aca="false">各期收支!F55</f>
        <v>87.0282285</v>
      </c>
      <c r="G29" s="62" t="n">
        <f aca="false">各期收支!G55</f>
        <v>90.985956</v>
      </c>
    </row>
    <row r="30" customFormat="false" ht="15" hidden="false" customHeight="false" outlineLevel="1" collapsed="false">
      <c r="A30" s="3" t="s">
        <v>1051</v>
      </c>
      <c r="B30" s="12" t="s">
        <v>130</v>
      </c>
      <c r="C30" s="74" t="n">
        <f aca="false">C21/MAX(0.01,C28)</f>
        <v>0.410295332287328</v>
      </c>
      <c r="D30" s="74" t="n">
        <f aca="false">D21/MAX(0.01,D28)</f>
        <v>0.829010317787473</v>
      </c>
      <c r="E30" s="74" t="n">
        <f aca="false">E21/MAX(0.01,E28)</f>
        <v>0.863942199982747</v>
      </c>
      <c r="F30" s="74" t="n">
        <f aca="false">F21/MAX(0.01,F28)</f>
        <v>1</v>
      </c>
      <c r="G30" s="74" t="n">
        <f aca="false">G21/MAX(0.01,G28)</f>
        <v>1</v>
      </c>
      <c r="I30" s="7" t="s">
        <v>1052</v>
      </c>
    </row>
    <row r="31" customFormat="false" ht="15" hidden="false" customHeight="false" outlineLevel="1" collapsed="false">
      <c r="A31" s="3" t="s">
        <v>1053</v>
      </c>
      <c r="B31" s="12" t="s">
        <v>130</v>
      </c>
      <c r="C31" s="75" t="n">
        <f aca="false">C21/MAX(0.01,損益!C19/輸入與假設!C$24)</f>
        <v>4.77393700786694</v>
      </c>
      <c r="D31" s="75" t="n">
        <f aca="false">D21/MAX(0.01,損益!D19/輸入與假設!D$24)</f>
        <v>4.67417565768812</v>
      </c>
      <c r="E31" s="75" t="n">
        <f aca="false">E21/MAX(0.01,損益!E19/輸入與假設!E$24)</f>
        <v>3.79633898511342</v>
      </c>
      <c r="F31" s="75" t="n">
        <f aca="false">F21/MAX(0.01,損益!F19/輸入與假設!F$24)</f>
        <v>3.2351245979566</v>
      </c>
      <c r="G31" s="75" t="n">
        <f aca="false">G21/MAX(0.01,損益!G19/輸入與假設!G$24)</f>
        <v>3.11105062052045</v>
      </c>
      <c r="I31" s="12" t="s">
        <v>1054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6" t="s">
        <v>1055</v>
      </c>
    </row>
    <row r="2" customFormat="false" ht="15" hidden="false" customHeight="false" outlineLevel="0" collapsed="false">
      <c r="A2" s="7" t="s">
        <v>1056</v>
      </c>
    </row>
    <row r="4" customFormat="false" ht="15" hidden="false" customHeight="false" outlineLevel="0" collapsed="false">
      <c r="A4" s="2" t="s">
        <v>1057</v>
      </c>
    </row>
    <row r="5" customFormat="false" ht="15" hidden="false" customHeight="false" outlineLevel="0" collapsed="false">
      <c r="A5" s="15" t="s">
        <v>85</v>
      </c>
      <c r="B5" s="15" t="s">
        <v>86</v>
      </c>
      <c r="C5" s="16" t="s">
        <v>1058</v>
      </c>
      <c r="D5" s="16" t="s">
        <v>1059</v>
      </c>
      <c r="E5" s="16" t="s">
        <v>1060</v>
      </c>
      <c r="F5" s="16" t="s">
        <v>1061</v>
      </c>
      <c r="G5" s="16" t="s">
        <v>1062</v>
      </c>
      <c r="H5" s="15" t="s">
        <v>1063</v>
      </c>
    </row>
    <row r="6" customFormat="false" ht="15" hidden="false" customHeight="false" outlineLevel="0" collapsed="false">
      <c r="A6" s="3" t="s">
        <v>1064</v>
      </c>
      <c r="B6" s="12" t="s">
        <v>91</v>
      </c>
      <c r="C6" s="24" t="n">
        <v>1.028</v>
      </c>
      <c r="D6" s="24" t="n">
        <v>2.116</v>
      </c>
      <c r="E6" s="24" t="n">
        <v>2.306</v>
      </c>
      <c r="F6" s="24" t="n">
        <v>2.373</v>
      </c>
      <c r="G6" s="24" t="n">
        <v>2.289</v>
      </c>
      <c r="H6" s="24" t="n">
        <v>19.023</v>
      </c>
    </row>
    <row r="7" customFormat="false" ht="15" hidden="false" customHeight="false" outlineLevel="0" collapsed="false">
      <c r="A7" s="3" t="s">
        <v>1065</v>
      </c>
      <c r="B7" s="12" t="s">
        <v>91</v>
      </c>
      <c r="C7" s="24" t="n">
        <v>0.012</v>
      </c>
      <c r="D7" s="24" t="n">
        <v>0.223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1066</v>
      </c>
      <c r="C8" s="53" t="n">
        <f aca="false">SUM(C6:C7)</f>
        <v>1.04</v>
      </c>
      <c r="D8" s="53" t="n">
        <f aca="false">SUM(D6:D7)</f>
        <v>2.339</v>
      </c>
      <c r="E8" s="53" t="n">
        <f aca="false">SUM(E6:E7)</f>
        <v>2.306</v>
      </c>
      <c r="F8" s="53" t="n">
        <f aca="false">SUM(F6:F7)</f>
        <v>2.373</v>
      </c>
      <c r="G8" s="53" t="n">
        <f aca="false">SUM(G6:G7)</f>
        <v>2.289</v>
      </c>
      <c r="H8" s="53" t="n">
        <f aca="false">SUM(H6:H7)</f>
        <v>19.023</v>
      </c>
      <c r="I8" s="7" t="s">
        <v>1067</v>
      </c>
    </row>
    <row r="10" customFormat="false" ht="15" hidden="false" customHeight="false" outlineLevel="0" collapsed="false">
      <c r="A10" s="2" t="s">
        <v>1068</v>
      </c>
    </row>
    <row r="11" customFormat="false" ht="15" hidden="false" customHeight="false" outlineLevel="0" collapsed="false">
      <c r="A11" s="15" t="s">
        <v>85</v>
      </c>
      <c r="B11" s="15" t="s">
        <v>86</v>
      </c>
      <c r="C11" s="16" t="s">
        <v>1058</v>
      </c>
      <c r="D11" s="16" t="s">
        <v>1059</v>
      </c>
      <c r="E11" s="16" t="s">
        <v>1060</v>
      </c>
      <c r="F11" s="16" t="s">
        <v>1061</v>
      </c>
      <c r="G11" s="16" t="s">
        <v>1062</v>
      </c>
      <c r="H11" s="15" t="s">
        <v>1063</v>
      </c>
    </row>
    <row r="12" customFormat="false" ht="15" hidden="false" customHeight="false" outlineLevel="0" collapsed="false">
      <c r="A12" s="3" t="s">
        <v>1069</v>
      </c>
      <c r="B12" s="12" t="s">
        <v>91</v>
      </c>
      <c r="C12" s="24" t="n">
        <v>4.413</v>
      </c>
      <c r="D12" s="24" t="n">
        <v>6.184</v>
      </c>
      <c r="E12" s="24" t="n">
        <v>4.416</v>
      </c>
      <c r="F12" s="24" t="n">
        <v>2.421</v>
      </c>
      <c r="G12" s="24" t="n">
        <v>3.221</v>
      </c>
      <c r="H12" s="24" t="n">
        <v>14.896</v>
      </c>
      <c r="I12" s="7" t="s">
        <v>1070</v>
      </c>
    </row>
    <row r="13" customFormat="false" ht="15" hidden="false" customHeight="false" outlineLevel="0" collapsed="false">
      <c r="A13" s="2" t="s">
        <v>1071</v>
      </c>
      <c r="C13" s="53" t="n">
        <f aca="false">SUM(C12:H12)</f>
        <v>35.551</v>
      </c>
    </row>
    <row r="15" customFormat="false" ht="15" hidden="false" customHeight="false" outlineLevel="0" collapsed="false">
      <c r="A15" s="2" t="s">
        <v>1072</v>
      </c>
    </row>
    <row r="16" customFormat="false" ht="15" hidden="false" customHeight="false" outlineLevel="0" collapsed="false">
      <c r="A16" s="15" t="s">
        <v>85</v>
      </c>
      <c r="B16" s="15" t="s">
        <v>86</v>
      </c>
      <c r="C16" s="15" t="s">
        <v>1073</v>
      </c>
      <c r="D16" s="15" t="s">
        <v>1074</v>
      </c>
      <c r="E16" s="15" t="s">
        <v>1075</v>
      </c>
      <c r="F16" s="15" t="s">
        <v>1076</v>
      </c>
    </row>
    <row r="17" customFormat="false" ht="15" hidden="false" customHeight="false" outlineLevel="0" collapsed="false">
      <c r="A17" s="3" t="s">
        <v>1077</v>
      </c>
      <c r="B17" s="12" t="s">
        <v>91</v>
      </c>
      <c r="C17" s="76" t="n">
        <v>35.5</v>
      </c>
      <c r="D17" s="12" t="s">
        <v>1078</v>
      </c>
      <c r="E17" s="7" t="s">
        <v>1079</v>
      </c>
      <c r="F17" s="7" t="s">
        <v>1080</v>
      </c>
    </row>
    <row r="18" customFormat="false" ht="15" hidden="false" customHeight="false" outlineLevel="0" collapsed="false">
      <c r="A18" s="3" t="s">
        <v>1081</v>
      </c>
      <c r="B18" s="12" t="s">
        <v>91</v>
      </c>
      <c r="C18" s="76" t="n">
        <v>14.7</v>
      </c>
      <c r="D18" s="12" t="s">
        <v>1082</v>
      </c>
      <c r="E18" s="7" t="s">
        <v>1079</v>
      </c>
      <c r="F18" s="7" t="s">
        <v>1080</v>
      </c>
    </row>
    <row r="19" customFormat="false" ht="15" hidden="false" customHeight="false" outlineLevel="0" collapsed="false">
      <c r="A19" s="3" t="s">
        <v>1083</v>
      </c>
      <c r="B19" s="12" t="s">
        <v>91</v>
      </c>
      <c r="C19" s="77" t="s">
        <v>1084</v>
      </c>
      <c r="D19" s="12" t="s">
        <v>1085</v>
      </c>
      <c r="E19" s="7" t="s">
        <v>1079</v>
      </c>
      <c r="F19" s="7" t="s">
        <v>1080</v>
      </c>
    </row>
    <row r="20" customFormat="false" ht="15" hidden="false" customHeight="false" outlineLevel="0" collapsed="false">
      <c r="A20" s="3" t="s">
        <v>1086</v>
      </c>
      <c r="B20" s="12" t="s">
        <v>91</v>
      </c>
      <c r="C20" s="76" t="n">
        <v>1.2</v>
      </c>
      <c r="D20" s="12" t="s">
        <v>1087</v>
      </c>
      <c r="E20" s="7" t="s">
        <v>1079</v>
      </c>
      <c r="F20" s="7" t="s">
        <v>1088</v>
      </c>
    </row>
    <row r="21" customFormat="false" ht="15" hidden="false" customHeight="false" outlineLevel="0" collapsed="false">
      <c r="A21" s="4" t="s">
        <v>1089</v>
      </c>
      <c r="B21" s="12" t="s">
        <v>91</v>
      </c>
      <c r="C21" s="76" t="n">
        <v>1.7</v>
      </c>
      <c r="D21" s="7" t="s">
        <v>1090</v>
      </c>
      <c r="E21" s="7" t="s">
        <v>1079</v>
      </c>
      <c r="F21" s="12" t="s">
        <v>1091</v>
      </c>
    </row>
    <row r="22" customFormat="false" ht="15" hidden="false" customHeight="false" outlineLevel="0" collapsed="false">
      <c r="A22" s="4" t="s">
        <v>1092</v>
      </c>
      <c r="B22" s="12" t="s">
        <v>91</v>
      </c>
      <c r="C22" s="76" t="n">
        <v>0.108</v>
      </c>
      <c r="D22" s="12" t="s">
        <v>1093</v>
      </c>
      <c r="E22" s="7" t="s">
        <v>1079</v>
      </c>
      <c r="F22" s="7" t="s">
        <v>1094</v>
      </c>
    </row>
    <row r="23" customFormat="false" ht="15" hidden="false" customHeight="false" outlineLevel="0" collapsed="false">
      <c r="A23" s="3" t="s">
        <v>1095</v>
      </c>
      <c r="B23" s="12" t="s">
        <v>91</v>
      </c>
      <c r="C23" s="76" t="n">
        <v>10.014</v>
      </c>
      <c r="D23" s="12" t="s">
        <v>1096</v>
      </c>
      <c r="E23" s="7" t="s">
        <v>1097</v>
      </c>
      <c r="F23" s="7" t="s">
        <v>1098</v>
      </c>
    </row>
    <row r="24" customFormat="false" ht="15" hidden="false" customHeight="false" outlineLevel="0" collapsed="false">
      <c r="A24" s="2" t="s">
        <v>1099</v>
      </c>
      <c r="C24" s="53" t="n">
        <f aca="false">C17+C18</f>
        <v>50.2</v>
      </c>
    </row>
    <row r="25" customFormat="false" ht="15" hidden="false" customHeight="false" outlineLevel="0" collapsed="false">
      <c r="A25" s="3" t="s">
        <v>1100</v>
      </c>
      <c r="C25" s="78" t="n">
        <f aca="false">SUM(各期收支!C11:G11)</f>
        <v>9.97089330024814</v>
      </c>
    </row>
    <row r="26" customFormat="false" ht="15" hidden="false" customHeight="false" outlineLevel="0" collapsed="false">
      <c r="A26" s="3" t="s">
        <v>1101</v>
      </c>
      <c r="C26" s="52" t="n">
        <f aca="false">各期收支!G11*12</f>
        <v>34.8184615384615</v>
      </c>
    </row>
    <row r="27" customFormat="false" ht="15" hidden="false" customHeight="false" outlineLevel="0" collapsed="false">
      <c r="A27" s="2" t="s">
        <v>1102</v>
      </c>
      <c r="C27" s="79" t="n">
        <f aca="false">(C25+C26)/C24</f>
        <v>0.892218223878679</v>
      </c>
      <c r="I27" s="12" t="s">
        <v>1103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1104</v>
      </c>
    </row>
    <row r="2" customFormat="false" ht="15" hidden="false" customHeight="false" outlineLevel="0" collapsed="false">
      <c r="A2" s="7" t="s">
        <v>1105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166</v>
      </c>
      <c r="G4" s="27" t="s">
        <v>167</v>
      </c>
      <c r="I4" s="15" t="s">
        <v>561</v>
      </c>
    </row>
    <row r="5" customFormat="false" ht="15" hidden="false" customHeight="false" outlineLevel="0" collapsed="false">
      <c r="A5" s="46" t="s">
        <v>1106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1107</v>
      </c>
      <c r="B6" s="12" t="s">
        <v>91</v>
      </c>
      <c r="C6" s="39" t="n">
        <f aca="false">運營_產能與收入!C25</f>
        <v>8.113</v>
      </c>
      <c r="D6" s="39" t="n">
        <f aca="false">運營_產能與收入!D25</f>
        <v>25.1275</v>
      </c>
      <c r="E6" s="39" t="n">
        <f aca="false">運營_產能與收入!E25</f>
        <v>34.8694155</v>
      </c>
      <c r="F6" s="39" t="n">
        <f aca="false">運營_產能與收入!F25</f>
        <v>39.5638485</v>
      </c>
      <c r="G6" s="39" t="n">
        <f aca="false">運營_產能與收入!G25</f>
        <v>41.19393</v>
      </c>
      <c r="I6" s="7" t="s">
        <v>1108</v>
      </c>
    </row>
    <row r="7" customFormat="false" ht="15" hidden="false" customHeight="false" outlineLevel="1" collapsed="false">
      <c r="A7" s="3" t="s">
        <v>1109</v>
      </c>
      <c r="B7" s="12" t="s">
        <v>91</v>
      </c>
      <c r="C7" s="39" t="n">
        <f aca="false">輸入與假設!C$33</f>
        <v>0.3</v>
      </c>
      <c r="D7" s="39" t="n">
        <f aca="false">輸入與假設!D$33</f>
        <v>1</v>
      </c>
      <c r="E7" s="39" t="n">
        <f aca="false">輸入與假設!E$33</f>
        <v>1.8</v>
      </c>
      <c r="F7" s="39" t="n">
        <f aca="false">輸入與假設!F$33</f>
        <v>2.8</v>
      </c>
      <c r="G7" s="39" t="n">
        <f aca="false">輸入與假設!G$33</f>
        <v>3.8</v>
      </c>
    </row>
    <row r="8" customFormat="false" ht="15" hidden="false" customHeight="false" outlineLevel="1" collapsed="false">
      <c r="A8" s="2" t="s">
        <v>1110</v>
      </c>
      <c r="B8" s="12" t="s">
        <v>91</v>
      </c>
      <c r="C8" s="36" t="n">
        <f aca="false">C6+C7</f>
        <v>8.413</v>
      </c>
      <c r="D8" s="36" t="n">
        <f aca="false">D6+D7</f>
        <v>26.1275</v>
      </c>
      <c r="E8" s="36" t="n">
        <f aca="false">E6+E7</f>
        <v>36.6694155</v>
      </c>
      <c r="F8" s="36" t="n">
        <f aca="false">F6+F7</f>
        <v>42.3638485</v>
      </c>
      <c r="G8" s="36" t="n">
        <f aca="false">G6+G7</f>
        <v>44.99393</v>
      </c>
    </row>
    <row r="9" customFormat="false" ht="15" hidden="false" customHeight="false" outlineLevel="1" collapsed="false">
      <c r="A9" s="4" t="s">
        <v>224</v>
      </c>
      <c r="B9" s="12" t="s">
        <v>77</v>
      </c>
      <c r="C9" s="47" t="n">
        <f aca="false">輸入與假設!C$39</f>
        <v>0.59</v>
      </c>
      <c r="D9" s="47" t="n">
        <f aca="false">輸入與假設!D$39</f>
        <v>0.605</v>
      </c>
      <c r="E9" s="47" t="n">
        <f aca="false">輸入與假設!E$39</f>
        <v>0.62</v>
      </c>
      <c r="F9" s="47" t="n">
        <f aca="false">輸入與假設!F$39</f>
        <v>0.635</v>
      </c>
      <c r="G9" s="47" t="n">
        <f aca="false">輸入與假設!G$39</f>
        <v>0.65</v>
      </c>
    </row>
    <row r="10" customFormat="false" ht="15" hidden="false" customHeight="false" outlineLevel="1" collapsed="false">
      <c r="A10" s="3" t="s">
        <v>1111</v>
      </c>
      <c r="B10" s="12" t="s">
        <v>91</v>
      </c>
      <c r="C10" s="62" t="n">
        <f aca="false">C8*輸入與假設!C$39-輸入與假設!C$74</f>
        <v>0.200836666666667</v>
      </c>
      <c r="D10" s="62" t="n">
        <f aca="false">D8*輸入與假設!D$39-輸入與假設!D$74</f>
        <v>1.35055416666666</v>
      </c>
      <c r="E10" s="62" t="n">
        <f aca="false">E8*輸入與假設!E$39-輸入與假設!E$74</f>
        <v>2.63303761</v>
      </c>
      <c r="F10" s="62" t="n">
        <f aca="false">F8*輸入與假設!F$39-輸入與假設!F$74</f>
        <v>2.0815437975</v>
      </c>
      <c r="G10" s="62" t="n">
        <f aca="false">G8*輸入與假設!G$39-輸入與假設!G$74</f>
        <v>0.19072116666667</v>
      </c>
      <c r="I10" s="7" t="s">
        <v>1112</v>
      </c>
    </row>
    <row r="11" customFormat="false" ht="15" hidden="false" customHeight="false" outlineLevel="1" collapsed="false">
      <c r="A11" s="3" t="s">
        <v>1113</v>
      </c>
      <c r="B11" s="12" t="s">
        <v>91</v>
      </c>
      <c r="C11" s="39" t="n">
        <f aca="false">各期收支!C17</f>
        <v>2.37084859865945</v>
      </c>
      <c r="D11" s="39" t="n">
        <f aca="false">各期收支!D17</f>
        <v>6.53682712051508</v>
      </c>
      <c r="E11" s="39" t="n">
        <f aca="false">各期收支!E17</f>
        <v>7.60656661258536</v>
      </c>
      <c r="F11" s="39" t="n">
        <f aca="false">各期收支!F17</f>
        <v>7.60149206411395</v>
      </c>
      <c r="G11" s="39" t="n">
        <f aca="false">各期收支!G17</f>
        <v>8.01023455973222</v>
      </c>
    </row>
    <row r="12" customFormat="false" ht="15" hidden="false" customHeight="false" outlineLevel="1" collapsed="false">
      <c r="A12" s="3" t="s">
        <v>1114</v>
      </c>
      <c r="B12" s="12" t="s">
        <v>91</v>
      </c>
      <c r="C12" s="62" t="n">
        <f aca="false">C10-C11</f>
        <v>-2.17001193199279</v>
      </c>
      <c r="D12" s="62" t="n">
        <f aca="false">D10-D11</f>
        <v>-5.18627295384842</v>
      </c>
      <c r="E12" s="62" t="n">
        <f aca="false">E10-E11</f>
        <v>-4.97352900258536</v>
      </c>
      <c r="F12" s="62" t="n">
        <f aca="false">F10-F11</f>
        <v>-5.51994826661395</v>
      </c>
      <c r="G12" s="62" t="n">
        <f aca="false">G10-G11</f>
        <v>-7.81951339306555</v>
      </c>
    </row>
    <row r="13" customFormat="false" ht="15" hidden="false" customHeight="false" outlineLevel="1" collapsed="false">
      <c r="A13" s="4" t="s">
        <v>1115</v>
      </c>
      <c r="B13" s="12" t="s">
        <v>91</v>
      </c>
      <c r="C13" s="62" t="n">
        <f aca="false">輸入與假設!$C$105</f>
        <v>4</v>
      </c>
      <c r="D13" s="62" t="n">
        <f aca="false">C15</f>
        <v>6.17001193199279</v>
      </c>
      <c r="E13" s="62" t="n">
        <f aca="false">D15</f>
        <v>11.3562848858412</v>
      </c>
      <c r="F13" s="62" t="n">
        <f aca="false">E15</f>
        <v>16.3298138884266</v>
      </c>
      <c r="G13" s="62" t="n">
        <f aca="false">F15</f>
        <v>21.8497621550405</v>
      </c>
      <c r="I13" s="12" t="s">
        <v>1116</v>
      </c>
    </row>
    <row r="14" customFormat="false" ht="15" hidden="false" customHeight="false" outlineLevel="1" collapsed="false">
      <c r="A14" s="3" t="s">
        <v>1117</v>
      </c>
      <c r="B14" s="12" t="s">
        <v>91</v>
      </c>
      <c r="C14" s="62" t="n">
        <f aca="false">MIN(C13,MAX(0,C12)*0.8)</f>
        <v>0</v>
      </c>
      <c r="D14" s="62" t="n">
        <f aca="false">MIN(D13,MAX(0,D12)*0.8)</f>
        <v>0</v>
      </c>
      <c r="E14" s="62" t="n">
        <f aca="false">MIN(E13,MAX(0,E12)*0.8)</f>
        <v>0</v>
      </c>
      <c r="F14" s="62" t="n">
        <f aca="false">MIN(F13,MAX(0,F12)*0.8)</f>
        <v>0</v>
      </c>
      <c r="G14" s="62" t="n">
        <f aca="false">MIN(G13,MAX(0,G12)*0.8)</f>
        <v>0</v>
      </c>
      <c r="I14" s="7" t="s">
        <v>1118</v>
      </c>
    </row>
    <row r="15" customFormat="false" ht="15" hidden="false" customHeight="false" outlineLevel="1" collapsed="false">
      <c r="A15" s="4" t="s">
        <v>1119</v>
      </c>
      <c r="B15" s="12" t="s">
        <v>91</v>
      </c>
      <c r="C15" s="62" t="n">
        <f aca="false">C13-C14+MAX(0,-C12)</f>
        <v>6.17001193199279</v>
      </c>
      <c r="D15" s="62" t="n">
        <f aca="false">D13-D14+MAX(0,-D12)</f>
        <v>11.3562848858412</v>
      </c>
      <c r="E15" s="62" t="n">
        <f aca="false">E13-E14+MAX(0,-E12)</f>
        <v>16.3298138884266</v>
      </c>
      <c r="F15" s="62" t="n">
        <f aca="false">F13-F14+MAX(0,-F12)</f>
        <v>21.8497621550405</v>
      </c>
      <c r="G15" s="62" t="n">
        <f aca="false">G13-G14+MAX(0,-G12)</f>
        <v>29.6692755481061</v>
      </c>
    </row>
    <row r="16" customFormat="false" ht="15" hidden="false" customHeight="false" outlineLevel="1" collapsed="false">
      <c r="A16" s="3" t="s">
        <v>1120</v>
      </c>
      <c r="B16" s="12" t="s">
        <v>91</v>
      </c>
      <c r="C16" s="62" t="n">
        <f aca="false">MAX(0,C12-C14)*輸入與假設!$C$104</f>
        <v>0</v>
      </c>
      <c r="D16" s="62" t="n">
        <f aca="false">MAX(0,D12-D14)*輸入與假設!$C$104</f>
        <v>0</v>
      </c>
      <c r="E16" s="62" t="n">
        <f aca="false">MAX(0,E12-E14)*輸入與假設!$C$104</f>
        <v>0</v>
      </c>
      <c r="F16" s="62" t="n">
        <f aca="false">MAX(0,F12-F14)*輸入與假設!$C$104</f>
        <v>0</v>
      </c>
      <c r="G16" s="62" t="n">
        <f aca="false">MAX(0,G12-G14)*輸入與假設!$C$104</f>
        <v>0</v>
      </c>
      <c r="I16" s="7" t="s">
        <v>1121</v>
      </c>
    </row>
    <row r="17" customFormat="false" ht="15" hidden="false" customHeight="false" outlineLevel="1" collapsed="false">
      <c r="A17" s="2" t="s">
        <v>1122</v>
      </c>
      <c r="B17" s="12" t="s">
        <v>91</v>
      </c>
      <c r="C17" s="36" t="n">
        <f aca="false">C12-C16</f>
        <v>-2.17001193199279</v>
      </c>
      <c r="D17" s="36" t="n">
        <f aca="false">D12-D16</f>
        <v>-5.18627295384842</v>
      </c>
      <c r="E17" s="36" t="n">
        <f aca="false">E12-E16</f>
        <v>-4.97352900258536</v>
      </c>
      <c r="F17" s="36" t="n">
        <f aca="false">F12-F16</f>
        <v>-5.51994826661395</v>
      </c>
      <c r="G17" s="36" t="n">
        <f aca="false">G12-G16</f>
        <v>-7.81951339306555</v>
      </c>
    </row>
    <row r="18" customFormat="false" ht="15" hidden="false" customHeight="false" outlineLevel="1" collapsed="false">
      <c r="A18" s="4" t="s">
        <v>406</v>
      </c>
      <c r="B18" s="12" t="s">
        <v>91</v>
      </c>
      <c r="C18" s="39" t="n">
        <f aca="false">輸入與假設!C$74</f>
        <v>4.76283333333333</v>
      </c>
      <c r="D18" s="39" t="n">
        <f aca="false">輸入與假設!D$74</f>
        <v>14.4565833333333</v>
      </c>
      <c r="E18" s="39" t="n">
        <f aca="false">輸入與假設!E$74</f>
        <v>20.102</v>
      </c>
      <c r="F18" s="39" t="n">
        <f aca="false">輸入與假設!F$74</f>
        <v>24.8195</v>
      </c>
      <c r="G18" s="39" t="n">
        <f aca="false">輸入與假設!G$74</f>
        <v>29.0553333333333</v>
      </c>
      <c r="I18" s="7" t="s">
        <v>1123</v>
      </c>
    </row>
    <row r="19" customFormat="false" ht="15" hidden="false" customHeight="false" outlineLevel="1" collapsed="false">
      <c r="A19" s="5" t="s">
        <v>1124</v>
      </c>
      <c r="B19" s="12" t="s">
        <v>91</v>
      </c>
      <c r="C19" s="36" t="n">
        <f aca="false">C10+C18</f>
        <v>4.96367</v>
      </c>
      <c r="D19" s="36" t="n">
        <f aca="false">D10+D18</f>
        <v>15.8071375</v>
      </c>
      <c r="E19" s="36" t="n">
        <f aca="false">E10+E18</f>
        <v>22.73503761</v>
      </c>
      <c r="F19" s="36" t="n">
        <f aca="false">F10+F18</f>
        <v>26.9010437975</v>
      </c>
      <c r="G19" s="36" t="n">
        <f aca="false">G10+G18</f>
        <v>29.2460545</v>
      </c>
    </row>
    <row r="20" customFormat="false" ht="15" hidden="false" customHeight="false" outlineLevel="1" collapsed="false">
      <c r="A20" s="3" t="s">
        <v>1125</v>
      </c>
      <c r="B20" s="12" t="s">
        <v>329</v>
      </c>
      <c r="C20" s="80" t="n">
        <f aca="false">輸入與假設!$C$99</f>
        <v>0.587</v>
      </c>
      <c r="D20" s="80" t="n">
        <f aca="false">C20*(1+輸入與假設!$C$112)</f>
        <v>0.59287</v>
      </c>
      <c r="E20" s="80" t="n">
        <f aca="false">D20*(1+輸入與假設!$C$112)</f>
        <v>0.5987987</v>
      </c>
      <c r="F20" s="80" t="n">
        <f aca="false">E20*(1+輸入與假設!$C$112)</f>
        <v>0.604786687</v>
      </c>
      <c r="G20" s="80" t="n">
        <f aca="false">F20*(1+輸入與假設!$C$112)</f>
        <v>0.61083455387</v>
      </c>
      <c r="I20" s="12" t="s">
        <v>1126</v>
      </c>
    </row>
    <row r="21" customFormat="false" ht="15" hidden="false" customHeight="false" outlineLevel="1" collapsed="false">
      <c r="A21" s="3" t="s">
        <v>1127</v>
      </c>
      <c r="B21" s="12" t="s">
        <v>329</v>
      </c>
      <c r="C21" s="80" t="n">
        <f aca="false">C20+各期收支!C66</f>
        <v>0.587</v>
      </c>
      <c r="D21" s="80" t="n">
        <f aca="false">D20+各期收支!D66</f>
        <v>0.59287</v>
      </c>
      <c r="E21" s="80" t="n">
        <f aca="false">E20+各期收支!E66</f>
        <v>0.5987987</v>
      </c>
      <c r="F21" s="80" t="n">
        <f aca="false">F20+各期收支!F66</f>
        <v>0.711215719277325</v>
      </c>
      <c r="G21" s="80" t="n">
        <f aca="false">G20+各期收支!G66</f>
        <v>0.78226790498184</v>
      </c>
      <c r="I21" s="7" t="s">
        <v>1128</v>
      </c>
    </row>
    <row r="22" customFormat="false" ht="15" hidden="false" customHeight="false" outlineLevel="1" collapsed="false">
      <c r="A22" s="3" t="s">
        <v>1129</v>
      </c>
      <c r="B22" s="12" t="s">
        <v>74</v>
      </c>
      <c r="C22" s="49" t="n">
        <f aca="false">C17/C21</f>
        <v>-3.69678352980032</v>
      </c>
      <c r="D22" s="49" t="n">
        <f aca="false">D17/D21</f>
        <v>-8.74774057356321</v>
      </c>
      <c r="E22" s="49" t="n">
        <f aca="false">E17/E21</f>
        <v>-8.30584468968513</v>
      </c>
      <c r="F22" s="49" t="n">
        <f aca="false">F17/F21</f>
        <v>-7.76128552420472</v>
      </c>
      <c r="G22" s="49" t="n">
        <f aca="false">G17/G21</f>
        <v>-9.99595323196479</v>
      </c>
      <c r="I22" s="12" t="s">
        <v>1130</v>
      </c>
    </row>
    <row r="24" customFormat="false" ht="15" hidden="false" customHeight="false" outlineLevel="0" collapsed="false">
      <c r="A24" s="46" t="s">
        <v>1131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1132</v>
      </c>
      <c r="B25" s="12" t="s">
        <v>91</v>
      </c>
      <c r="C25" s="39" t="n">
        <f aca="false">輸入與假設!$C$140</f>
        <v>4.653</v>
      </c>
      <c r="D25" s="39" t="n">
        <f aca="false">0</f>
        <v>0</v>
      </c>
      <c r="E25" s="39" t="n">
        <f aca="false">0</f>
        <v>0</v>
      </c>
      <c r="F25" s="39" t="n">
        <f aca="false">0</f>
        <v>0</v>
      </c>
      <c r="G25" s="39" t="n">
        <f aca="false">0</f>
        <v>0</v>
      </c>
    </row>
    <row r="26" customFormat="false" ht="15" hidden="false" customHeight="false" outlineLevel="1" collapsed="false">
      <c r="A26" s="2" t="s">
        <v>1133</v>
      </c>
      <c r="B26" s="12" t="s">
        <v>91</v>
      </c>
      <c r="C26" s="36" t="n">
        <f aca="false">C25+C8</f>
        <v>13.066</v>
      </c>
      <c r="D26" s="36" t="n">
        <f aca="false">D25+D8</f>
        <v>26.1275</v>
      </c>
      <c r="E26" s="36" t="n">
        <f aca="false">E25+E8</f>
        <v>36.6694155</v>
      </c>
      <c r="F26" s="36" t="n">
        <f aca="false">F25+F8</f>
        <v>42.3638485</v>
      </c>
      <c r="G26" s="36" t="n">
        <f aca="false">G25+G8</f>
        <v>44.99393</v>
      </c>
      <c r="I26" s="12" t="s">
        <v>1134</v>
      </c>
    </row>
    <row r="27" customFormat="false" ht="15" hidden="false" customHeight="false" outlineLevel="1" collapsed="false">
      <c r="A27" s="3" t="s">
        <v>1135</v>
      </c>
      <c r="B27" s="12" t="s">
        <v>77</v>
      </c>
      <c r="C27" s="63" t="n">
        <f aca="false">C26/5.131-1</f>
        <v>1.54648216721887</v>
      </c>
      <c r="D27" s="63" t="n">
        <f aca="false">D26/C26-1</f>
        <v>0.999655594673198</v>
      </c>
      <c r="E27" s="63" t="n">
        <f aca="false">E26/D26-1</f>
        <v>0.403479686154435</v>
      </c>
      <c r="F27" s="63" t="n">
        <f aca="false">F26/E26-1</f>
        <v>0.155291076292176</v>
      </c>
      <c r="G27" s="63" t="n">
        <f aca="false">G26/F26-1</f>
        <v>0.0620831580020405</v>
      </c>
      <c r="I27" s="12" t="s">
        <v>1136</v>
      </c>
    </row>
    <row r="28" customFormat="false" ht="15" hidden="false" customHeight="false" outlineLevel="1" collapsed="false">
      <c r="A28" s="3" t="s">
        <v>1137</v>
      </c>
      <c r="B28" s="12" t="s">
        <v>91</v>
      </c>
      <c r="C28" s="62" t="n">
        <f aca="false">輸入與假設!$C$141+C10</f>
        <v>0.00783666666666655</v>
      </c>
      <c r="D28" s="62" t="n">
        <f aca="false">D10</f>
        <v>1.35055416666666</v>
      </c>
      <c r="E28" s="62" t="n">
        <f aca="false">E10</f>
        <v>2.63303761</v>
      </c>
      <c r="F28" s="62" t="n">
        <f aca="false">F10</f>
        <v>2.0815437975</v>
      </c>
      <c r="G28" s="62" t="n">
        <f aca="false">G10</f>
        <v>0.19072116666667</v>
      </c>
    </row>
    <row r="29" customFormat="false" ht="15" hidden="false" customHeight="false" outlineLevel="1" collapsed="false">
      <c r="A29" s="3" t="s">
        <v>1138</v>
      </c>
      <c r="B29" s="12" t="s">
        <v>77</v>
      </c>
      <c r="C29" s="63" t="n">
        <f aca="false">C28/C26</f>
        <v>0.000599775498749927</v>
      </c>
      <c r="D29" s="63" t="n">
        <f aca="false">D28/D26</f>
        <v>0.0516909067712817</v>
      </c>
      <c r="E29" s="63" t="n">
        <f aca="false">E28/E26</f>
        <v>0.0718047335660422</v>
      </c>
      <c r="F29" s="63" t="n">
        <f aca="false">F28/F26</f>
        <v>0.0491349079746615</v>
      </c>
      <c r="G29" s="63" t="n">
        <f aca="false">G28/G26</f>
        <v>0.00423881991785714</v>
      </c>
    </row>
    <row r="30" customFormat="false" ht="15" hidden="false" customHeight="false" outlineLevel="1" collapsed="false">
      <c r="A30" s="3" t="s">
        <v>1139</v>
      </c>
      <c r="B30" s="12" t="s">
        <v>91</v>
      </c>
      <c r="C30" s="62" t="n">
        <f aca="false">輸入與假設!$C$144+C18</f>
        <v>7.30283333333333</v>
      </c>
      <c r="D30" s="62" t="n">
        <f aca="false">D18</f>
        <v>14.4565833333333</v>
      </c>
      <c r="E30" s="62" t="n">
        <f aca="false">E18</f>
        <v>20.102</v>
      </c>
      <c r="F30" s="62" t="n">
        <f aca="false">F18</f>
        <v>24.8195</v>
      </c>
      <c r="G30" s="62" t="n">
        <f aca="false">G18</f>
        <v>29.0553333333333</v>
      </c>
      <c r="I30" s="12" t="s">
        <v>1140</v>
      </c>
    </row>
    <row r="31" customFormat="false" ht="15" hidden="false" customHeight="false" outlineLevel="1" collapsed="false">
      <c r="A31" s="2" t="s">
        <v>1141</v>
      </c>
      <c r="B31" s="12" t="s">
        <v>91</v>
      </c>
      <c r="C31" s="36" t="n">
        <f aca="false">C28+C30</f>
        <v>7.31067</v>
      </c>
      <c r="D31" s="36" t="n">
        <f aca="false">D28+D30</f>
        <v>15.8071375</v>
      </c>
      <c r="E31" s="36" t="n">
        <f aca="false">E28+E30</f>
        <v>22.73503761</v>
      </c>
      <c r="F31" s="36" t="n">
        <f aca="false">F28+F30</f>
        <v>26.9010437975</v>
      </c>
      <c r="G31" s="36" t="n">
        <f aca="false">G28+G30</f>
        <v>29.2460545</v>
      </c>
    </row>
    <row r="32" customFormat="false" ht="15" hidden="false" customHeight="false" outlineLevel="1" collapsed="false">
      <c r="A32" s="3" t="s">
        <v>1142</v>
      </c>
      <c r="B32" s="12" t="s">
        <v>91</v>
      </c>
      <c r="C32" s="62" t="n">
        <f aca="false">輸入與假設!$C$138+C11</f>
        <v>3.54684859865945</v>
      </c>
      <c r="D32" s="62" t="n">
        <f aca="false">D11</f>
        <v>6.53682712051508</v>
      </c>
      <c r="E32" s="62" t="n">
        <f aca="false">E11</f>
        <v>7.60656661258536</v>
      </c>
      <c r="F32" s="62" t="n">
        <f aca="false">F11</f>
        <v>7.60149206411395</v>
      </c>
      <c r="G32" s="62" t="n">
        <f aca="false">G11</f>
        <v>8.01023455973222</v>
      </c>
      <c r="I32" s="12" t="s">
        <v>1143</v>
      </c>
    </row>
    <row r="33" customFormat="false" ht="15" hidden="false" customHeight="false" outlineLevel="1" collapsed="false">
      <c r="A33" s="2" t="s">
        <v>1144</v>
      </c>
      <c r="B33" s="12" t="s">
        <v>91</v>
      </c>
      <c r="C33" s="36" t="n">
        <f aca="false">輸入與假設!$C$142+C17</f>
        <v>-3.53601193199279</v>
      </c>
      <c r="D33" s="36" t="n">
        <f aca="false">D17</f>
        <v>-5.18627295384842</v>
      </c>
      <c r="E33" s="36" t="n">
        <f aca="false">E17</f>
        <v>-4.97352900258536</v>
      </c>
      <c r="F33" s="36" t="n">
        <f aca="false">F17</f>
        <v>-5.51994826661395</v>
      </c>
      <c r="G33" s="36" t="n">
        <f aca="false">G17</f>
        <v>-7.81951339306555</v>
      </c>
    </row>
    <row r="34" customFormat="false" ht="15" hidden="false" customHeight="false" outlineLevel="1" collapsed="false">
      <c r="A34" s="3" t="s">
        <v>1145</v>
      </c>
      <c r="B34" s="12" t="s">
        <v>77</v>
      </c>
      <c r="C34" s="63" t="n">
        <f aca="false">C33/C26</f>
        <v>-0.270626965558915</v>
      </c>
      <c r="D34" s="63" t="n">
        <f aca="false">D33/D26</f>
        <v>-0.198498629943486</v>
      </c>
      <c r="E34" s="63" t="n">
        <f aca="false">E33/E26</f>
        <v>-0.135631532021157</v>
      </c>
      <c r="F34" s="63" t="n">
        <f aca="false">F33/F26</f>
        <v>-0.130298555538786</v>
      </c>
      <c r="G34" s="63" t="n">
        <f aca="false">G33/G26</f>
        <v>-0.173790406685203</v>
      </c>
    </row>
    <row r="35" customFormat="false" ht="15" hidden="false" customHeight="false" outlineLevel="1" collapsed="false">
      <c r="A35" s="2" t="s">
        <v>1146</v>
      </c>
      <c r="B35" s="12" t="s">
        <v>74</v>
      </c>
      <c r="C35" s="81" t="n">
        <f aca="false">輸入與假設!$C$146+C17/C21</f>
        <v>-6.22678352980032</v>
      </c>
      <c r="D35" s="81" t="n">
        <f aca="false">D17/D21</f>
        <v>-8.74774057356321</v>
      </c>
      <c r="E35" s="81" t="n">
        <f aca="false">E17/E21</f>
        <v>-8.30584468968513</v>
      </c>
      <c r="F35" s="81" t="n">
        <f aca="false">F17/F21</f>
        <v>-7.76128552420472</v>
      </c>
      <c r="G35" s="81" t="n">
        <f aca="false">G17/G21</f>
        <v>-9.99595323196479</v>
      </c>
      <c r="I35" s="12" t="s">
        <v>1147</v>
      </c>
    </row>
    <row r="36" customFormat="false" ht="15" hidden="false" customHeight="false" outlineLevel="1" collapsed="false">
      <c r="A36" s="3" t="s">
        <v>1148</v>
      </c>
      <c r="B36" s="12" t="s">
        <v>74</v>
      </c>
      <c r="C36" s="49" t="n">
        <f aca="false">輸入與假設!$C$147+(C17+輸入與假設!$C$113*輸入與假設!C$24)/C21</f>
        <v>-5.04053140032843</v>
      </c>
      <c r="D36" s="49" t="n">
        <f aca="false">(D17+輸入與假設!$C$113*輸入與假設!D$24)/D21</f>
        <v>-7.56704328748026</v>
      </c>
      <c r="E36" s="49" t="n">
        <f aca="false">(E17+輸入與假設!$C$113*輸入與假設!E$24)/E21</f>
        <v>-7.13683747574161</v>
      </c>
      <c r="F36" s="49" t="n">
        <f aca="false">(F17+輸入與假設!$C$113*輸入與假設!F$24)/F21</f>
        <v>-6.77705530962049</v>
      </c>
      <c r="G36" s="49" t="n">
        <f aca="false">(G17+輸入與假設!$C$113*輸入與假設!G$24)/G21</f>
        <v>-9.1011191277633</v>
      </c>
      <c r="I36" s="7" t="s">
        <v>1149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6" t="s">
        <v>1150</v>
      </c>
    </row>
    <row r="2" customFormat="false" ht="15" hidden="false" customHeight="false" outlineLevel="0" collapsed="false">
      <c r="A2" s="7" t="s">
        <v>1151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166</v>
      </c>
      <c r="G4" s="27" t="s">
        <v>167</v>
      </c>
      <c r="I4" s="15" t="s">
        <v>561</v>
      </c>
    </row>
    <row r="5" customFormat="false" ht="15" hidden="false" customHeight="false" outlineLevel="0" collapsed="false">
      <c r="A5" s="8" t="s">
        <v>1152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1153</v>
      </c>
      <c r="B6" s="12" t="s">
        <v>91</v>
      </c>
      <c r="C6" s="62" t="n">
        <f aca="false">輸入與假設!C$73-各期收支!C8</f>
        <v>19.16912</v>
      </c>
      <c r="D6" s="62" t="n">
        <f aca="false">輸入與假設!D$73-各期收支!D8</f>
        <v>35.2682</v>
      </c>
      <c r="E6" s="62" t="n">
        <f aca="false">輸入與假設!E$73-各期收支!E8</f>
        <v>27.0572</v>
      </c>
      <c r="F6" s="62" t="n">
        <f aca="false">輸入與假設!F$73-各期收支!F8</f>
        <v>28.152</v>
      </c>
      <c r="G6" s="62" t="n">
        <f aca="false">輸入與假設!G$73-各期收支!G8</f>
        <v>29.8724</v>
      </c>
      <c r="I6" s="12" t="s">
        <v>1154</v>
      </c>
    </row>
    <row r="7" customFormat="false" ht="15" hidden="false" customHeight="false" outlineLevel="1" collapsed="false">
      <c r="A7" s="3" t="s">
        <v>1155</v>
      </c>
      <c r="B7" s="12" t="s">
        <v>91</v>
      </c>
      <c r="C7" s="62" t="n">
        <f aca="false">5.131</f>
        <v>5.131</v>
      </c>
      <c r="D7" s="62" t="n">
        <f aca="false">4.653+損益!C8</f>
        <v>13.066</v>
      </c>
      <c r="E7" s="62" t="n">
        <f aca="false">損益!D8</f>
        <v>26.1275</v>
      </c>
      <c r="F7" s="62" t="n">
        <f aca="false">損益!E8</f>
        <v>36.6694155</v>
      </c>
      <c r="G7" s="62" t="n">
        <f aca="false">損益!F8</f>
        <v>42.3638485</v>
      </c>
      <c r="I7" s="12" t="s">
        <v>1156</v>
      </c>
    </row>
    <row r="8" customFormat="false" ht="15" hidden="false" customHeight="false" outlineLevel="1" collapsed="false">
      <c r="A8" s="3" t="s">
        <v>1157</v>
      </c>
      <c r="B8" s="12" t="s">
        <v>91</v>
      </c>
      <c r="C8" s="62" t="n">
        <f aca="false">0.02*MAX(0,損益!C8-C7)</f>
        <v>0.06564</v>
      </c>
      <c r="D8" s="62" t="n">
        <f aca="false">0.02*MAX(0,損益!D8-D7)</f>
        <v>0.26123</v>
      </c>
      <c r="E8" s="62" t="n">
        <f aca="false">0.02*MAX(0,損益!E8-E7)</f>
        <v>0.21083831</v>
      </c>
      <c r="F8" s="62" t="n">
        <f aca="false">0.02*MAX(0,損益!F8-F7)</f>
        <v>0.11388866</v>
      </c>
      <c r="G8" s="62" t="n">
        <f aca="false">0.02*MAX(0,損益!G8-G7)</f>
        <v>0.0526016300000001</v>
      </c>
      <c r="I8" s="7" t="s">
        <v>1158</v>
      </c>
    </row>
    <row r="9" customFormat="false" ht="15" hidden="false" customHeight="false" outlineLevel="1" collapsed="false">
      <c r="A9" s="3" t="s">
        <v>1159</v>
      </c>
      <c r="B9" s="12" t="s">
        <v>91</v>
      </c>
      <c r="C9" s="62" t="n">
        <f aca="false">輸入與假設!$C$105</f>
        <v>4</v>
      </c>
      <c r="D9" s="62" t="n">
        <f aca="false">C11</f>
        <v>3.83933066666667</v>
      </c>
      <c r="E9" s="62" t="n">
        <f aca="false">D11</f>
        <v>2.75888733333334</v>
      </c>
      <c r="F9" s="62" t="n">
        <f aca="false">E11</f>
        <v>0.652457245333336</v>
      </c>
      <c r="G9" s="62" t="n">
        <f aca="false">F11</f>
        <v>0</v>
      </c>
      <c r="I9" s="12" t="s">
        <v>1160</v>
      </c>
    </row>
    <row r="10" customFormat="false" ht="15" hidden="false" customHeight="false" outlineLevel="1" collapsed="false">
      <c r="A10" s="3" t="s">
        <v>1161</v>
      </c>
      <c r="B10" s="12" t="s">
        <v>91</v>
      </c>
      <c r="C10" s="62" t="n">
        <f aca="false">MIN(C9,MAX(0,損益!C10)*0.8)</f>
        <v>0.160669333333333</v>
      </c>
      <c r="D10" s="62" t="n">
        <f aca="false">MIN(D9,MAX(0,損益!D10)*0.8)</f>
        <v>1.08044333333333</v>
      </c>
      <c r="E10" s="62" t="n">
        <f aca="false">MIN(E9,MAX(0,損益!E10)*0.8)</f>
        <v>2.106430088</v>
      </c>
      <c r="F10" s="62" t="n">
        <f aca="false">MIN(F9,MAX(0,損益!F10)*0.8)</f>
        <v>0.652457245333336</v>
      </c>
      <c r="G10" s="62" t="n">
        <f aca="false">MIN(G9,MAX(0,損益!G10)*0.8)</f>
        <v>0</v>
      </c>
    </row>
    <row r="11" customFormat="false" ht="15" hidden="false" customHeight="false" outlineLevel="1" collapsed="false">
      <c r="A11" s="3" t="s">
        <v>1162</v>
      </c>
      <c r="B11" s="12" t="s">
        <v>91</v>
      </c>
      <c r="C11" s="62" t="n">
        <f aca="false">C9-C10+MAX(0,-損益!C10)</f>
        <v>3.83933066666667</v>
      </c>
      <c r="D11" s="62" t="n">
        <f aca="false">D9-D10+MAX(0,-損益!D10)</f>
        <v>2.75888733333334</v>
      </c>
      <c r="E11" s="62" t="n">
        <f aca="false">E9-E10+MAX(0,-損益!E10)</f>
        <v>0.652457245333336</v>
      </c>
      <c r="F11" s="62" t="n">
        <f aca="false">F9-F10+MAX(0,-損益!F10)</f>
        <v>0</v>
      </c>
      <c r="G11" s="62" t="n">
        <f aca="false">G9-G10+MAX(0,-損益!G10)</f>
        <v>0</v>
      </c>
    </row>
    <row r="12" customFormat="false" ht="15" hidden="false" customHeight="false" outlineLevel="1" collapsed="false">
      <c r="A12" s="3" t="s">
        <v>1163</v>
      </c>
      <c r="B12" s="12" t="s">
        <v>91</v>
      </c>
      <c r="C12" s="62" t="n">
        <f aca="false">MAX(0,損益!C10-C10)*輸入與假設!$C$104</f>
        <v>0.00843513999999999</v>
      </c>
      <c r="D12" s="62" t="n">
        <f aca="false">MAX(0,損益!D10-D10)*輸入與假設!$C$104</f>
        <v>0.0567232749999999</v>
      </c>
      <c r="E12" s="62" t="n">
        <f aca="false">MAX(0,損益!E10-E10)*輸入與假設!$C$104</f>
        <v>0.11058757962</v>
      </c>
      <c r="F12" s="62" t="n">
        <f aca="false">MAX(0,損益!F10-F10)*輸入與假設!$C$104</f>
        <v>0.300108175954999</v>
      </c>
      <c r="G12" s="62" t="n">
        <f aca="false">MAX(0,損益!G10-G10)*輸入與假設!$C$104</f>
        <v>0.0400514450000006</v>
      </c>
      <c r="I12" s="7" t="s">
        <v>1164</v>
      </c>
    </row>
    <row r="13" customFormat="false" ht="15" hidden="false" customHeight="false" outlineLevel="1" collapsed="false">
      <c r="A13" s="5" t="s">
        <v>1165</v>
      </c>
      <c r="B13" s="12" t="s">
        <v>91</v>
      </c>
      <c r="C13" s="36" t="n">
        <f aca="false">損益!C10-C12+損益!C18-C6-C8</f>
        <v>-14.27952514</v>
      </c>
      <c r="D13" s="36" t="n">
        <f aca="false">損益!D10-D12+損益!D18-D6-D8</f>
        <v>-19.779015775</v>
      </c>
      <c r="E13" s="36" t="n">
        <f aca="false">損益!E10-E12+損益!E18-E6-E8</f>
        <v>-4.64358827962</v>
      </c>
      <c r="F13" s="36" t="n">
        <f aca="false">損益!F10-F12+損益!F18-F6-F8</f>
        <v>-1.664953038455</v>
      </c>
      <c r="G13" s="36" t="n">
        <f aca="false">損益!G10-G12+損益!G18-G6-G8</f>
        <v>-0.718998574999995</v>
      </c>
      <c r="I13" s="7" t="s">
        <v>1166</v>
      </c>
    </row>
    <row r="14" customFormat="false" ht="15" hidden="false" customHeight="false" outlineLevel="1" collapsed="false">
      <c r="A14" s="3" t="s">
        <v>1167</v>
      </c>
      <c r="B14" s="7" t="s">
        <v>245</v>
      </c>
      <c r="C14" s="82" t="n">
        <f aca="false">0.5</f>
        <v>0.5</v>
      </c>
      <c r="D14" s="82" t="n">
        <f aca="false">1.5</f>
        <v>1.5</v>
      </c>
      <c r="E14" s="82" t="n">
        <f aca="false">2.5</f>
        <v>2.5</v>
      </c>
      <c r="F14" s="82" t="n">
        <f aca="false">3.5</f>
        <v>3.5</v>
      </c>
      <c r="G14" s="82" t="n">
        <f aca="false">4.5</f>
        <v>4.5</v>
      </c>
      <c r="I14" s="7" t="s">
        <v>1168</v>
      </c>
    </row>
    <row r="15" customFormat="false" ht="15" hidden="false" customHeight="false" outlineLevel="1" collapsed="false">
      <c r="A15" s="3" t="s">
        <v>1169</v>
      </c>
      <c r="B15" s="7"/>
      <c r="C15" s="50" t="n">
        <f aca="false">1/(1+輸入與假設!$C$101)^C14</f>
        <v>0.949157995752499</v>
      </c>
      <c r="D15" s="50" t="n">
        <f aca="false">1/(1+輸入與假設!$C$101)^D14</f>
        <v>0.85509729347072</v>
      </c>
      <c r="E15" s="50" t="n">
        <f aca="false">1/(1+輸入與假設!$C$101)^E14</f>
        <v>0.770357922045693</v>
      </c>
      <c r="F15" s="50" t="n">
        <f aca="false">1/(1+輸入與假設!$C$101)^F14</f>
        <v>0.694016145987111</v>
      </c>
      <c r="G15" s="50" t="n">
        <f aca="false">1/(1+輸入與假設!$C$101)^G14</f>
        <v>0.62523977115956</v>
      </c>
    </row>
    <row r="16" customFormat="false" ht="15" hidden="false" customHeight="false" outlineLevel="1" collapsed="false">
      <c r="A16" s="4" t="s">
        <v>1170</v>
      </c>
      <c r="B16" s="12" t="s">
        <v>91</v>
      </c>
      <c r="C16" s="62" t="n">
        <f aca="false">C13*C15</f>
        <v>-13.5535254621798</v>
      </c>
      <c r="D16" s="62" t="n">
        <f aca="false">D13*D15</f>
        <v>-16.9129828567172</v>
      </c>
      <c r="E16" s="62" t="n">
        <f aca="false">E13*E15</f>
        <v>-3.5772250179238</v>
      </c>
      <c r="F16" s="62" t="n">
        <f aca="false">F13*F15</f>
        <v>-1.15550429099807</v>
      </c>
      <c r="G16" s="62" t="n">
        <f aca="false">G13*G15</f>
        <v>-0.449546504497047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1171</v>
      </c>
      <c r="C18" s="11" t="n">
        <f aca="false">SUM(C16:G16)</f>
        <v>-35.6487841323159</v>
      </c>
      <c r="I18" s="7" t="s">
        <v>1172</v>
      </c>
    </row>
    <row r="19" customFormat="false" ht="15" hidden="false" customHeight="false" outlineLevel="1" collapsed="false">
      <c r="A19" s="3" t="s">
        <v>1173</v>
      </c>
      <c r="C19" s="11" t="n">
        <f aca="false">損益!G10*(1-輸入與假設!$C$104)+損益!G18-損益!G18*輸入與假設!$C$103</f>
        <v>5.96173638833334</v>
      </c>
      <c r="I19" s="7" t="s">
        <v>1174</v>
      </c>
    </row>
    <row r="20" customFormat="false" ht="15" hidden="false" customHeight="false" outlineLevel="1" collapsed="false">
      <c r="A20" s="3" t="s">
        <v>1175</v>
      </c>
      <c r="C20" s="52" t="n">
        <f aca="false">IF(C29=1,0,C19*(1+輸入與假設!$C$102)/(輸入與假設!$C$101-輸入與假設!$C$102))</f>
        <v>76.7573559997917</v>
      </c>
      <c r="I20" s="7" t="s">
        <v>1176</v>
      </c>
    </row>
    <row r="21" customFormat="false" ht="15" hidden="false" customHeight="false" outlineLevel="1" collapsed="false">
      <c r="A21" s="3" t="s">
        <v>1177</v>
      </c>
      <c r="C21" s="52" t="n">
        <f aca="false">C20*G15</f>
        <v>47.9917517001226</v>
      </c>
    </row>
    <row r="22" customFormat="false" ht="15" hidden="false" customHeight="false" outlineLevel="1" collapsed="false">
      <c r="A22" s="3" t="s">
        <v>1178</v>
      </c>
      <c r="C22" s="52" t="n">
        <f aca="false">C18+C21</f>
        <v>12.3429675678067</v>
      </c>
    </row>
    <row r="23" customFormat="false" ht="15" hidden="false" customHeight="false" outlineLevel="1" collapsed="false">
      <c r="A23" s="3" t="s">
        <v>1179</v>
      </c>
      <c r="C23" s="11" t="n">
        <f aca="false">-輸入與假設!$C$100</f>
        <v>-30</v>
      </c>
      <c r="I23" s="12" t="s">
        <v>1180</v>
      </c>
    </row>
    <row r="24" customFormat="false" ht="15" hidden="false" customHeight="false" outlineLevel="1" collapsed="false">
      <c r="A24" s="3" t="s">
        <v>1181</v>
      </c>
      <c r="C24" s="52" t="n">
        <f aca="false">C22+C23</f>
        <v>-17.6570324321933</v>
      </c>
    </row>
    <row r="25" customFormat="false" ht="15" hidden="false" customHeight="false" outlineLevel="1" collapsed="false">
      <c r="A25" s="5" t="s">
        <v>1182</v>
      </c>
      <c r="C25" s="83" t="n">
        <f aca="false">IF(C29=1,0,IF(輸入與假設!$C$115=2,C31,C30))</f>
        <v>0</v>
      </c>
      <c r="I25" s="7" t="s">
        <v>1183</v>
      </c>
    </row>
    <row r="26" customFormat="false" ht="15" hidden="false" customHeight="false" outlineLevel="1" collapsed="false">
      <c r="A26" s="3" t="s">
        <v>1184</v>
      </c>
      <c r="C26" s="28" t="n">
        <f aca="false">C21/C22</f>
        <v>3.88818583833082</v>
      </c>
      <c r="I26" s="7" t="str">
        <f aca="false">"超過 "&amp;IF(ROUND(ABS(輸入與假設!$C$126)*100,4)=INT(ROUND(ABS(輸入與假設!$C$126)*100,4)),TEXT(ROUND(ABS(輸入與假設!$C$126)*100,4),"0"),TEXT(ROUND(ABS(輸入與假設!$C$126)*100,4),"0.0"))&amp;"%"&amp;"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1185</v>
      </c>
      <c r="C27" s="52" t="n">
        <f aca="false">各期收支!C61/(1+輸入與假設!$C$101)^0+各期收支!D61/(1+輸入與假設!$C$101)^0.5+各期收支!E61/(1+輸入與假設!$C$101)^1.5+各期收支!F61/(1+輸入與假設!$C$101)^2.5+各期收支!G61/(1+輸入與假設!$C$101)^3.5</f>
        <v>10.3101730853366</v>
      </c>
      <c r="I27" s="7" t="s">
        <v>1186</v>
      </c>
    </row>
    <row r="28" customFormat="false" ht="15" hidden="false" customHeight="false" outlineLevel="1" collapsed="false">
      <c r="A28" s="3" t="s">
        <v>1187</v>
      </c>
      <c r="C28" s="84" t="n">
        <f aca="false">輸入與假設!$C$99+各期收支!G66</f>
        <v>0.75843335111184</v>
      </c>
    </row>
    <row r="29" customFormat="false" ht="15" hidden="false" customHeight="false" outlineLevel="1" collapsed="false">
      <c r="A29" s="4" t="s">
        <v>1188</v>
      </c>
      <c r="C29" s="43" t="n">
        <f aca="false">IF(OR(輸入與假設!$C$101&lt;=輸入與假設!$C$102,C19&lt;=0),1,0)</f>
        <v>0</v>
      </c>
      <c r="I29" s="12" t="s">
        <v>1189</v>
      </c>
    </row>
    <row r="30" customFormat="false" ht="15" hidden="false" customHeight="false" outlineLevel="1" collapsed="false">
      <c r="A30" s="5" t="s">
        <v>1190</v>
      </c>
      <c r="C30" s="42" t="n">
        <f aca="false">MAX(0,(C24+C27)/C28)</f>
        <v>0</v>
      </c>
    </row>
    <row r="31" customFormat="false" ht="15" hidden="false" customHeight="false" outlineLevel="1" collapsed="false">
      <c r="A31" s="5" t="s">
        <v>1191</v>
      </c>
      <c r="C31" s="42" t="n">
        <f aca="false">IF((C22+C27)&lt;=0,0,((C22+C27)*NORMSDIST(C32)-輸入與假設!$C$100*EXP(-輸入與假設!$C$117*輸入與假設!$C$118)*NORMSDIST(C33))/C28)</f>
        <v>11.177762922225</v>
      </c>
      <c r="I31" s="12" t="s">
        <v>1192</v>
      </c>
    </row>
    <row r="32" customFormat="false" ht="15" hidden="false" customHeight="false" outlineLevel="1" collapsed="false">
      <c r="A32" s="3" t="s">
        <v>1193</v>
      </c>
      <c r="C32" s="84" t="n">
        <f aca="false">IF((C22+C27)&lt;=0,0,(LN((C22+C27)/輸入與假設!$C$100)+(輸入與假設!$C$117+輸入與假設!$C$116^2/2)*輸入與假設!$C$118)/(輸入與假設!$C$116*SQRT(輸入與假設!$C$118)))</f>
        <v>0.435201710329897</v>
      </c>
    </row>
    <row r="33" customFormat="false" ht="15" hidden="false" customHeight="false" outlineLevel="1" collapsed="false">
      <c r="A33" s="3" t="s">
        <v>1194</v>
      </c>
      <c r="C33" s="84" t="n">
        <f aca="false">C32-輸入與假設!$C$116*SQRT(輸入與假設!$C$118)</f>
        <v>-0.625458461449925</v>
      </c>
    </row>
    <row r="35" customFormat="false" ht="15" hidden="false" customHeight="false" outlineLevel="0" collapsed="false">
      <c r="A35" s="46" t="s">
        <v>1195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1196</v>
      </c>
      <c r="C36" s="85" t="str">
        <f aca="false">CHOOSE(輸入與假設!$C$107,"FY27","FY28","FY29","FY30")</f>
        <v>FY29</v>
      </c>
      <c r="I36" s="7" t="s">
        <v>1197</v>
      </c>
    </row>
    <row r="37" customFormat="false" ht="15" hidden="false" customHeight="false" outlineLevel="1" collapsed="false">
      <c r="A37" s="3" t="s">
        <v>1198</v>
      </c>
      <c r="C37" s="11" t="n">
        <f aca="false">INDEX(損益!$D$19:$G$19,1,輸入與假設!$C$107)</f>
        <v>26.9010437975</v>
      </c>
    </row>
    <row r="38" customFormat="false" ht="15" hidden="false" customHeight="false" outlineLevel="1" collapsed="false">
      <c r="A38" s="3" t="s">
        <v>1199</v>
      </c>
      <c r="C38" s="52" t="n">
        <f aca="false">C37*輸入與假設!$C$106</f>
        <v>161.406262785</v>
      </c>
    </row>
    <row r="39" customFormat="false" ht="15" hidden="false" customHeight="false" outlineLevel="1" collapsed="false">
      <c r="A39" s="3" t="s">
        <v>1200</v>
      </c>
      <c r="C39" s="11" t="n">
        <f aca="false">INDEX(各期收支!$D$70:$G$70,1,輸入與假設!$C$107)-INDEX(各期收支!$D$41:$G$41,1,輸入與假設!$C$107)</f>
        <v>85.0282285</v>
      </c>
      <c r="I39" s="7" t="s">
        <v>1201</v>
      </c>
    </row>
    <row r="40" customFormat="false" ht="15" hidden="false" customHeight="false" outlineLevel="1" collapsed="false">
      <c r="A40" s="3" t="s">
        <v>1202</v>
      </c>
      <c r="C40" s="86" t="n">
        <f aca="false">INDEX(損益!$D$21:$G$21,1,輸入與假設!$C$107)</f>
        <v>0.711215719277325</v>
      </c>
      <c r="I40" s="7" t="s">
        <v>1203</v>
      </c>
    </row>
    <row r="41" customFormat="false" ht="15" hidden="false" customHeight="false" outlineLevel="1" collapsed="false">
      <c r="A41" s="3" t="s">
        <v>1204</v>
      </c>
      <c r="C41" s="86" t="n">
        <f aca="false">1/(1+輸入與假設!$C$101)^(輸入與假設!$C$107-1)</f>
        <v>0.811622433244055</v>
      </c>
      <c r="I41" s="7" t="s">
        <v>1205</v>
      </c>
    </row>
    <row r="42" customFormat="false" ht="15" hidden="false" customHeight="false" outlineLevel="1" collapsed="false">
      <c r="A42" s="4" t="s">
        <v>1206</v>
      </c>
      <c r="C42" s="42" t="n">
        <f aca="false">MAX(0,(C38-C39)/C40)*C41</f>
        <v>87.1607929247943</v>
      </c>
      <c r="I42" s="7" t="s">
        <v>1207</v>
      </c>
    </row>
    <row r="44" customFormat="false" ht="15" hidden="false" customHeight="false" outlineLevel="0" collapsed="false">
      <c r="A44" s="46" t="s">
        <v>1208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1209</v>
      </c>
      <c r="C45" s="13" t="n">
        <f aca="false">C25*IF(C29=1,0,輸入與假設!$C$108)</f>
        <v>0</v>
      </c>
    </row>
    <row r="46" customFormat="false" ht="15" hidden="false" customHeight="false" outlineLevel="1" collapsed="false">
      <c r="A46" s="4" t="s">
        <v>1210</v>
      </c>
      <c r="C46" s="13" t="n">
        <f aca="false">C42*IF(C29=1,1,1-輸入與假設!$C$108)</f>
        <v>47.9384361086369</v>
      </c>
    </row>
    <row r="47" customFormat="false" ht="15" hidden="false" customHeight="false" outlineLevel="1" collapsed="false">
      <c r="A47" s="2" t="s">
        <v>1208</v>
      </c>
      <c r="C47" s="87" t="n">
        <f aca="false">SUM(C45:C46)</f>
        <v>47.9384361086369</v>
      </c>
      <c r="I47" s="7" t="s">
        <v>1211</v>
      </c>
    </row>
    <row r="48" customFormat="false" ht="15" hidden="false" customHeight="false" outlineLevel="1" collapsed="false">
      <c r="A48" s="3" t="s">
        <v>1212</v>
      </c>
      <c r="C48" s="13" t="n">
        <f aca="false">輸入與假設!$C$98</f>
        <v>90.13</v>
      </c>
    </row>
    <row r="49" customFormat="false" ht="15" hidden="false" customHeight="false" outlineLevel="1" collapsed="false">
      <c r="A49" s="3" t="s">
        <v>1213</v>
      </c>
      <c r="C49" s="28" t="n">
        <f aca="false">C47/C48-1</f>
        <v>-0.46811898248489</v>
      </c>
    </row>
    <row r="50" customFormat="false" ht="15" hidden="false" customHeight="false" outlineLevel="1" collapsed="false">
      <c r="A50" s="4" t="s">
        <v>1214</v>
      </c>
      <c r="C50" s="3" t="str">
        <f aca="false">IF(C29=1,"DCF 失效，已以 EV/EBITDA 100% 計。",IF(AND(輸入與假設!$C$115&lt;&gt;2,C65&lt;0),"DCF 為 $0 仍計 "&amp;TEXT(輸入與假設!$C$108,"0%")&amp;" 權重的原因：DCF 沒有失效，而是算出的股權價值為負（每股約 −$"&amp;TEXT(ABS(C65),"0.0")&amp;"），代表自由現金流折現後的企業價值不足以償還淨負債。EV/EBITDA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$"&amp;TEXT(C42,"0.0")&amp;"（"&amp;CHOOSE(D64+2,"賣出","中立","買進")&amp;"）；"&amp;TEXT(輸入與假設!$C$108,"0%")&amp;"／"&amp;TEXT(1-輸入與假設!$C$108,"0%")&amp;" 為判斷值。",""))</f>
        <v>DCF 為 $0 仍計 45% 權重的原因：DCF 沒有失效，而是算出的股權價值為負（每股約 −$9.7），代表自由現金流折現後的企業價值不足以償還淨負債。EV/EBITDA 沒有扣除 GPU 汰換與擴張支出，保留 DCF 權重，是為了讓目標價反映「EBITDA 付不起資本成本」。若不計 DCF，目標價為 $87.2（中立）；45%／55% 為判斷值。</v>
      </c>
      <c r="I50" s="7" t="s">
        <v>1215</v>
      </c>
    </row>
    <row r="52" customFormat="false" ht="15" hidden="false" customHeight="false" outlineLevel="0" collapsed="false">
      <c r="A52" s="46" t="s">
        <v>1216</v>
      </c>
      <c r="B52" s="9"/>
      <c r="C52" s="9"/>
      <c r="D52" s="9"/>
      <c r="E52" s="9"/>
      <c r="F52" s="9"/>
      <c r="G52" s="9"/>
      <c r="H52" s="9"/>
    </row>
    <row r="53" customFormat="false" ht="15" hidden="false" customHeight="false" outlineLevel="1" collapsed="false">
      <c r="A53" s="3" t="s">
        <v>1217</v>
      </c>
      <c r="C53" s="13" t="n">
        <f aca="false">C47</f>
        <v>47.9384361086369</v>
      </c>
      <c r="I53" s="7" t="str">
        <f aca="false">"評等規則不變：空間 ≥"&amp;IF(ROUND(ABS(輸入與假設!$C$120)*100,4)=INT(ROUND(ABS(輸入與假設!$C$120)*100,4)),TEXT(ROUND(ABS(輸入與假設!$C$120)*100,4),"0"),TEXT(ROUND(ABS(輸入與假設!$C$120)*100,4),"0.0"))&amp;"%"&amp;" 且終值占比 &lt;"&amp;IF(ROUND(ABS(輸入與假設!$C$121)*100,4)=INT(ROUND(ABS(輸入與假設!$C$121)*100,4)),TEXT(ROUND(ABS(輸入與假設!$C$121)*100,4),"0"),TEXT(ROUND(ABS(輸入與假設!$C$121)*100,4),"0.0"))&amp;"%"&amp;"、股權募資 ≤"&amp;IF(輸入與假設!$C$123=INT(輸入與假設!$C$123),TEXT(輸入與假設!$C$123,"0"),TEXT(輸入與假設!$C$123,"0.0"))&amp;" 倍現市值 → 買進；空間 ≤−"&amp;IF(ROUND(ABS(輸入與假設!$C$122)*100,4)=INT(ROUND(ABS(輸入與假設!$C$122)*100,4)),TEXT(ROUND(ABS(輸入與假設!$C$122)*100,4),"0"),TEXT(ROUND(ABS(輸入與假設!$C$122)*100,4),"0.0"))&amp;"%"&amp;"，或股權募資 &gt;"&amp;IF(輸入與假設!$C$123=INT(輸入與假設!$C$123),TEXT(輸入與假設!$C$123,"0"),TEXT(輸入與假設!$C$123,"0.0"))&amp;" 倍且空間 ≤−"&amp;IF(ROUND(ABS(輸入與假設!$C$124)*100,4)=INT(ROUND(ABS(輸入與假設!$C$124)*100,4)),TEXT(ROUND(ABS(輸入與假設!$C$124)*100,4),"0"),TEXT(ROUND(ABS(輸入與假設!$C$124)*100,4),"0.0"))&amp;"%"&amp;"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4" customFormat="false" ht="15" hidden="false" customHeight="false" outlineLevel="1" collapsed="false">
      <c r="A54" s="3" t="s">
        <v>1218</v>
      </c>
      <c r="C54" s="14" t="n">
        <f aca="false">C21/MAX(ABS(C22),1)*IF(C22=0,1,SIGN(C22))</f>
        <v>3.88818583833082</v>
      </c>
    </row>
    <row r="55" customFormat="false" ht="15" hidden="false" customHeight="false" outlineLevel="1" collapsed="false">
      <c r="A55" s="3" t="s">
        <v>1219</v>
      </c>
      <c r="C55" s="17" t="n">
        <f aca="false">SUM(各期收支!C61:G61)/(輸入與假設!$C$98*輸入與假設!$C$99)</f>
        <v>0.262845001704695</v>
      </c>
    </row>
    <row r="56" customFormat="false" ht="15" hidden="false" customHeight="false" outlineLevel="1" collapsed="false">
      <c r="A56" s="3" t="s">
        <v>1220</v>
      </c>
      <c r="C56" s="10" t="n">
        <f aca="false">IF(AND((C47/MAX(輸入與假設!$C$98,0.01)-1)&gt;=輸入與假設!$C$120,$C$54&lt;輸入與假設!$C$121,$C$55&lt;=輸入與假設!$C$123),1,IF(OR((C47/MAX(輸入與假設!$C$98,0.01)-1)&lt;=輸入與假設!$C$122,AND($C$55&gt;輸入與假設!$C$123,(C47/MAX(輸入與假設!$C$98,0.01)-1)&lt;=輸入與假設!$C$124)),-1,0))</f>
        <v>-1</v>
      </c>
      <c r="D56" s="10" t="str">
        <f aca="false">CHOOSE(C56+2,"賣出","中立","買進")</f>
        <v>賣出</v>
      </c>
    </row>
    <row r="57" customFormat="false" ht="15" hidden="false" customHeight="false" outlineLevel="1" collapsed="false">
      <c r="A57" s="3" t="s">
        <v>1221</v>
      </c>
      <c r="C57" s="13" t="n">
        <f aca="false">輸入與假設!$C$98*(1+輸入與假設!$C$122)</f>
        <v>76.6105</v>
      </c>
    </row>
    <row r="58" customFormat="false" ht="15" hidden="false" customHeight="false" outlineLevel="1" collapsed="false">
      <c r="A58" s="3" t="s">
        <v>1222</v>
      </c>
      <c r="C58" s="13" t="n">
        <f aca="false">輸入與假設!D152</f>
        <v>71.6858468760584</v>
      </c>
      <c r="D58" s="10" t="n">
        <f aca="false">輸入與假設!E152</f>
        <v>-1</v>
      </c>
      <c r="E58" s="13" t="n">
        <f aca="false">C58-$C$57</f>
        <v>-4.92465312394158</v>
      </c>
      <c r="I58" s="7" t="s">
        <v>1223</v>
      </c>
    </row>
    <row r="59" customFormat="false" ht="15" hidden="false" customHeight="false" outlineLevel="1" collapsed="false">
      <c r="A59" s="3" t="s">
        <v>1224</v>
      </c>
      <c r="C59" s="13" t="n">
        <f aca="false">輸入與假設!D153</f>
        <v>47.9384361086369</v>
      </c>
      <c r="D59" s="10" t="n">
        <f aca="false">輸入與假設!E153</f>
        <v>-1</v>
      </c>
      <c r="E59" s="13" t="n">
        <f aca="false">C59-$C$57</f>
        <v>-28.6720638913631</v>
      </c>
    </row>
    <row r="60" customFormat="false" ht="15" hidden="false" customHeight="false" outlineLevel="1" collapsed="false">
      <c r="A60" s="3" t="s">
        <v>1225</v>
      </c>
      <c r="C60" s="13" t="n">
        <f aca="false">輸入與假設!D154</f>
        <v>32.6112889396302</v>
      </c>
      <c r="D60" s="10" t="n">
        <f aca="false">輸入與假設!E154</f>
        <v>-1</v>
      </c>
      <c r="E60" s="13" t="n">
        <f aca="false">C60-$C$57</f>
        <v>-43.9992110603698</v>
      </c>
    </row>
    <row r="61" customFormat="false" ht="15" hidden="false" customHeight="false" outlineLevel="1" collapsed="false">
      <c r="A61" s="3" t="s">
        <v>1226</v>
      </c>
      <c r="C61" s="13" t="n">
        <f aca="false">MIN(C58,C60)</f>
        <v>32.6112889396302</v>
      </c>
      <c r="D61" s="13" t="n">
        <f aca="false">MAX(C58,C60)</f>
        <v>71.6858468760584</v>
      </c>
    </row>
    <row r="62" customFormat="false" ht="15" hidden="false" customHeight="false" outlineLevel="1" collapsed="false">
      <c r="A62" s="3" t="s">
        <v>1227</v>
      </c>
      <c r="C62" s="17" t="n">
        <f aca="false">MIN(輸入與假設!$C$110,輸入與假設!$C$111)</f>
        <v>5</v>
      </c>
      <c r="D62" s="17" t="n">
        <f aca="false">MAX(輸入與假設!$C$110,輸入與假設!$C$111)</f>
        <v>6</v>
      </c>
    </row>
    <row r="63" customFormat="false" ht="15" hidden="false" customHeight="false" outlineLevel="1" collapsed="false">
      <c r="A63" s="3" t="s">
        <v>1228</v>
      </c>
      <c r="C63" s="13" t="n">
        <f aca="false">MIN(C25*IF(C29=1,0,輸入與假設!$C$108)+MAX(0,(C37*C62-C39)/C40)*C41*IF(C29=1,1,1-輸入與假設!$C$108),C25*IF(C29=1,0,輸入與假設!$C$108)+MAX(0,(C37*D62-C39)/C40)*C41*IF(C29=1,1,1-輸入與假設!$C$108))</f>
        <v>31.0540794815724</v>
      </c>
      <c r="D63" s="13" t="n">
        <f aca="false">MAX(C25*IF(C29=1,0,輸入與假設!$C$108)+MAX(0,(C37*C62-C39)/C40)*C41*IF(C29=1,1,1-輸入與假設!$C$108),C25*IF(C29=1,0,輸入與假設!$C$108)+MAX(0,(C37*D62-C39)/C40)*C41*IF(C29=1,1,1-輸入與假設!$C$108))</f>
        <v>47.9384361086369</v>
      </c>
      <c r="I63" s="7" t="s">
        <v>1229</v>
      </c>
    </row>
    <row r="64" customFormat="false" ht="15" hidden="false" customHeight="false" outlineLevel="1" collapsed="false">
      <c r="A64" s="3" t="s">
        <v>1230</v>
      </c>
      <c r="C64" s="13" t="n">
        <f aca="false">C42</f>
        <v>87.1607929247943</v>
      </c>
      <c r="D64" s="10" t="n">
        <f aca="false">IF(AND((C42/MAX(輸入與假設!$C$98,0.01)-1)&gt;=輸入與假設!$C$120,$C$54&lt;輸入與假設!$C$121,$C$55&lt;=輸入與假設!$C$123),1,IF(OR((C42/MAX(輸入與假設!$C$98,0.01)-1)&lt;=輸入與假設!$C$122,AND($C$55&gt;輸入與假設!$C$123,(C42/MAX(輸入與假設!$C$98,0.01)-1)&lt;=輸入與假設!$C$124)),-1,0))</f>
        <v>0</v>
      </c>
      <c r="E64" s="13" t="str">
        <f aca="false">CHOOSE(D64+2,"賣出","中立","買進")</f>
        <v>中立</v>
      </c>
    </row>
    <row r="65" customFormat="false" ht="15" hidden="false" customHeight="false" outlineLevel="1" collapsed="false">
      <c r="A65" s="3" t="s">
        <v>1231</v>
      </c>
      <c r="C65" s="13" t="n">
        <f aca="false">(C24+C27)/C28</f>
        <v>-9.6868885526809</v>
      </c>
    </row>
    <row r="66" customFormat="false" ht="15" hidden="false" customHeight="false" outlineLevel="1" collapsed="false">
      <c r="A66" s="3" t="s">
        <v>1232</v>
      </c>
      <c r="C66" s="3" t="str">
        <f aca="false">"目標價 $"&amp;TEXT(C47,"0.0")&amp;"（情境區間 $"&amp;TEXT(C61,"0.0")&amp;"–$"&amp;TEXT(D61,"0.0")&amp;"）"</f>
        <v>目標價 $47.9（情境區間 $32.6–$71.7）</v>
      </c>
    </row>
    <row r="67" customFormat="false" ht="15" hidden="false" customHeight="false" outlineLevel="1" collapsed="false">
      <c r="A67" s="3" t="s">
        <v>1233</v>
      </c>
      <c r="C67" s="3" t="str">
        <f aca="false">"方法區間（目前情境，"&amp;IF(C62=INT(C62),TEXT(C62,"0"),TEXT(C62,"0.0"))&amp;"–"&amp;IF(D62=INT(D62),TEXT(D62,"0"),TEXT(D62,"0.0"))&amp;"x）"</f>
        <v>方法區間（目前情境，5–6x）</v>
      </c>
    </row>
    <row r="68" customFormat="false" ht="15" hidden="false" customHeight="false" outlineLevel="1" collapsed="false">
      <c r="A68" s="3" t="s">
        <v>1234</v>
      </c>
      <c r="C68" s="3" t="str">
        <f aca="false">IF(ABS(輸入與假設!$C$106-D62)&lt;0.000000001,"目前點位位於方法區間上緣（"&amp;IF(D62=INT(D62),TEXT(D62,"0"),TEXT(D62,"0.0"))&amp;"x 為穩態倍數上緣）",IF(ABS(輸入與假設!$C$106-C62)&lt;0.000000001,"目前點位位於方法區間下緣（"&amp;IF(C62=INT(C62),TEXT(C62,"0"),TEXT(C62,"0.0"))&amp;"x）","目前點位"&amp;IF(AND(輸入與假設!$C$106&gt;C62,輸入與假設!$C$106&lt;D62),"位於方法區間內",IF(輸入與假設!$C$106&gt;D62,"高於方法區間上緣","低於方法區間下緣"))&amp;"（目前倍數 "&amp;IF(輸入與假設!$C$106=INT(輸入與假設!$C$106),TEXT(輸入與假設!$C$106,"0"),TEXT(輸入與假設!$C$106,"0.0"))&amp;"x）"))</f>
        <v>目前點位位於方法區間上緣（6x 為穩態倍數上緣）</v>
      </c>
    </row>
    <row r="69" customFormat="false" ht="15" hidden="false" customHeight="false" outlineLevel="1" collapsed="false">
      <c r="A69" s="2" t="s">
        <v>1235</v>
      </c>
      <c r="C69" s="3" t="str">
        <f aca="false">IF(D61&lt;輸入與假設!$C$98,"情境區間上緣 $"&amp;TEXT(D61,"0.0")&amp;" 低於現價 $"&amp;TEXT(輸入與假設!$C$98,"0.00")&amp;IF((D58&lt;&gt;-1)+(D59&lt;&gt;-1)+(D60&lt;&gt;-1)&gt;0,"，但"&amp;SUBSTITUTE(TRIM(IF(D58&lt;&gt;-1,"保守","")&amp;" "&amp;IF(D59&lt;&gt;-1,"基準","")&amp;" "&amp;IF(D60&lt;&gt;-1,"積極",""))," ","、")&amp;"情境未達賣出門檻 $"&amp;TEXT($C$57,"0.0"),"：賣出在三個擴張情境下都成立"),"情境區間上緣 $"&amp;TEXT(D61,"0.0")&amp;" 不低於現價 $"&amp;TEXT(輸入與假設!$C$98,"0.00")&amp;"：賣出並非在三個擴張情境下都成立")&amp;"。"&amp;IF(ABS(E58)&lt;輸入與假設!$C$125*輸入與假設!$C$98,"保守情境 $"&amp;TEXT(C58,"0.0")&amp;"，"&amp;IF(E58&lt;0,"距賣出門檻","高於賣出門檻")&amp;" $"&amp;TEXT($C$57,"0.0")&amp;" 僅 $"&amp;TEXT(ABS(E58),"0.0")&amp;"。","")&amp;IF(ABS(E59)&lt;輸入與假設!$C$125*輸入與假設!$C$98,"基準情境 $"&amp;TEXT(C59,"0.0")&amp;"，"&amp;IF(E59&lt;0,"距賣出門檻","高於賣出門檻")&amp;" $"&amp;TEXT($C$57,"0.0")&amp;" 僅 $"&amp;TEXT(ABS(E59),"0.0")&amp;"。","")&amp;IF(ABS(E60)&lt;輸入與假設!$C$125*輸入與假設!$C$98,"積極情境 $"&amp;TEXT(C60,"0.0")&amp;"，"&amp;IF(E60&lt;0,"距賣出門檻","高於賣出門檻")&amp;" $"&amp;TEXT($C$57,"0.0")&amp;" 僅 $"&amp;TEXT(ABS(E60),"0.0")&amp;"。","")</f>
        <v>情境區間上緣 $71.7 低於現價 $90.13：賣出在三個擴張情境下都成立。</v>
      </c>
    </row>
    <row r="71" customFormat="false" ht="15" hidden="false" customHeight="false" outlineLevel="0" collapsed="false">
      <c r="A71" s="46" t="s">
        <v>1236</v>
      </c>
      <c r="B71" s="9"/>
      <c r="C71" s="9"/>
      <c r="D71" s="9"/>
      <c r="E71" s="9"/>
      <c r="F71" s="9"/>
      <c r="G71" s="9"/>
      <c r="H71" s="9"/>
    </row>
    <row r="72" customFormat="false" ht="15" hidden="false" customHeight="false" outlineLevel="1" collapsed="false">
      <c r="A72" s="15" t="s">
        <v>1237</v>
      </c>
      <c r="B72" s="15" t="s">
        <v>1238</v>
      </c>
      <c r="C72" s="16" t="s">
        <v>88</v>
      </c>
      <c r="D72" s="16" t="s">
        <v>89</v>
      </c>
      <c r="E72" s="16" t="s">
        <v>166</v>
      </c>
      <c r="F72" s="16" t="s">
        <v>167</v>
      </c>
      <c r="I72" s="12" t="s">
        <v>1239</v>
      </c>
    </row>
    <row r="73" customFormat="false" ht="15" hidden="false" customHeight="false" outlineLevel="1" collapsed="false">
      <c r="A73" s="3" t="s">
        <v>1240</v>
      </c>
      <c r="B73" s="88" t="n">
        <v>3.4</v>
      </c>
      <c r="C73" s="13" t="n">
        <f aca="false">MAX(0,(INDEX(損益!$D$19:$G$19,1,1)*$B73-(INDEX(各期收支!$D$70:$G$70,1,1)-INDEX(各期收支!$D$41:$G$41,1,1)))/INDEX(損益!$D$21:$G$21,1,1))/(1+輸入與假設!$C$101)^(1-1)</f>
        <v>0</v>
      </c>
      <c r="D73" s="13" t="n">
        <f aca="false">MAX(0,(INDEX(損益!$D$19:$G$19,1,2)*$B73-(INDEX(各期收支!$D$70:$G$70,1,2)-INDEX(各期收支!$D$41:$G$41,1,2)))/INDEX(損益!$D$21:$G$21,1,2))/(1+輸入與假設!$C$101)^(2-1)</f>
        <v>0</v>
      </c>
      <c r="E73" s="13" t="n">
        <f aca="false">MAX(0,(INDEX(損益!$D$19:$G$19,1,3)*$B73-(INDEX(各期收支!$D$70:$G$70,1,3)-INDEX(各期收支!$D$41:$G$41,1,3)))/INDEX(損益!$D$21:$G$21,1,3))/(1+輸入與假設!$C$101)^(3-1)</f>
        <v>7.34383432412596</v>
      </c>
      <c r="F73" s="13" t="n">
        <f aca="false">MAX(0,(INDEX(損益!$D$19:$G$19,1,4)*$B73-(INDEX(各期收支!$D$70:$G$70,1,4)-INDEX(各期收支!$D$41:$G$41,1,4)))/INDEX(損益!$D$21:$G$21,1,4))/(1+輸入與假設!$C$101)^(4-1)</f>
        <v>9.76827762543647</v>
      </c>
    </row>
    <row r="74" customFormat="false" ht="15" hidden="false" customHeight="false" outlineLevel="1" collapsed="false">
      <c r="A74" s="3" t="s">
        <v>1241</v>
      </c>
      <c r="B74" s="88" t="n">
        <v>4.5</v>
      </c>
      <c r="C74" s="13" t="n">
        <f aca="false">MAX(0,(INDEX(損益!$D$19:$G$19,1,1)*$B74-(INDEX(各期收支!$D$70:$G$70,1,1)-INDEX(各期收支!$D$41:$G$41,1,1)))/INDEX(損益!$D$21:$G$21,1,1))/(1+輸入與假設!$C$101)^(1-1)</f>
        <v>0</v>
      </c>
      <c r="D74" s="13" t="n">
        <f aca="false">MAX(0,(INDEX(損益!$D$19:$G$19,1,2)*$B74-(INDEX(各期收支!$D$70:$G$70,1,2)-INDEX(各期收支!$D$41:$G$41,1,2)))/INDEX(損益!$D$21:$G$21,1,2))/(1+輸入與假設!$C$101)^(2-1)</f>
        <v>27.0778775441492</v>
      </c>
      <c r="E74" s="13" t="n">
        <f aca="false">MAX(0,(INDEX(損益!$D$19:$G$19,1,3)*$B74-(INDEX(各期收支!$D$70:$G$70,1,3)-INDEX(各期收支!$D$41:$G$41,1,3)))/INDEX(損益!$D$21:$G$21,1,3))/(1+輸入與假設!$C$101)^(3-1)</f>
        <v>41.1125475782549</v>
      </c>
      <c r="F74" s="13" t="n">
        <f aca="false">MAX(0,(INDEX(損益!$D$19:$G$19,1,4)*$B74-(INDEX(各期收支!$D$70:$G$70,1,4)-INDEX(各期收支!$D$41:$G$41,1,4)))/INDEX(損益!$D$21:$G$21,1,4))/(1+輸入與假設!$C$101)^(4-1)</f>
        <v>39.8384225673407</v>
      </c>
    </row>
    <row r="75" customFormat="false" ht="15" hidden="false" customHeight="false" outlineLevel="1" collapsed="false">
      <c r="A75" s="3" t="s">
        <v>1242</v>
      </c>
      <c r="B75" s="88" t="n">
        <v>5</v>
      </c>
      <c r="C75" s="13" t="n">
        <f aca="false">MAX(0,(INDEX(損益!$D$19:$G$19,1,1)*$B75-(INDEX(各期收支!$D$70:$G$70,1,1)-INDEX(各期收支!$D$41:$G$41,1,1)))/INDEX(損益!$D$21:$G$21,1,1))/(1+輸入與假設!$C$101)^(1-1)</f>
        <v>12.0605700739976</v>
      </c>
      <c r="D75" s="13" t="n">
        <f aca="false">MAX(0,(INDEX(損益!$D$19:$G$19,1,2)*$B75-(INDEX(各期收支!$D$70:$G$70,1,2)-INDEX(各期收支!$D$41:$G$41,1,2)))/INDEX(損益!$D$21:$G$21,1,2))/(1+輸入與假設!$C$101)^(2-1)</f>
        <v>44.1804663313867</v>
      </c>
      <c r="E75" s="13" t="n">
        <f aca="false">MAX(0,(INDEX(損益!$D$19:$G$19,1,3)*$B75-(INDEX(各期收支!$D$70:$G$70,1,3)-INDEX(各期收支!$D$41:$G$41,1,3)))/INDEX(損益!$D$21:$G$21,1,3))/(1+輸入與假設!$C$101)^(3-1)</f>
        <v>56.461962693768</v>
      </c>
      <c r="F75" s="13" t="n">
        <f aca="false">MAX(0,(INDEX(損益!$D$19:$G$19,1,4)*$B75-(INDEX(各期收支!$D$70:$G$70,1,4)-INDEX(各期收支!$D$41:$G$41,1,4)))/INDEX(損益!$D$21:$G$21,1,4))/(1+輸入與假設!$C$101)^(4-1)</f>
        <v>53.5066702682062</v>
      </c>
    </row>
    <row r="76" customFormat="false" ht="15" hidden="false" customHeight="false" outlineLevel="1" collapsed="false">
      <c r="A76" s="3" t="s">
        <v>1243</v>
      </c>
      <c r="B76" s="88" t="n">
        <v>6</v>
      </c>
      <c r="C76" s="13" t="n">
        <f aca="false">MAX(0,(INDEX(損益!$D$19:$G$19,1,1)*$B76-(INDEX(各期收支!$D$70:$G$70,1,1)-INDEX(各期收支!$D$41:$G$41,1,1)))/INDEX(損益!$D$21:$G$21,1,1))/(1+輸入與假設!$C$101)^(1-1)</f>
        <v>38.7226334268405</v>
      </c>
      <c r="D76" s="13" t="n">
        <f aca="false">MAX(0,(INDEX(損益!$D$19:$G$19,1,2)*$B76-(INDEX(各期收支!$D$70:$G$70,1,2)-INDEX(各期收支!$D$41:$G$41,1,2)))/INDEX(損益!$D$21:$G$21,1,2))/(1+輸入與假設!$C$101)^(2-1)</f>
        <v>78.3856439058618</v>
      </c>
      <c r="E76" s="13" t="n">
        <f aca="false">MAX(0,(INDEX(損益!$D$19:$G$19,1,3)*$B76-(INDEX(各期收支!$D$70:$G$70,1,3)-INDEX(各期收支!$D$41:$G$41,1,3)))/INDEX(損益!$D$21:$G$21,1,3))/(1+輸入與假設!$C$101)^(3-1)</f>
        <v>87.1607929247943</v>
      </c>
      <c r="F76" s="13" t="n">
        <f aca="false">MAX(0,(INDEX(損益!$D$19:$G$19,1,4)*$B76-(INDEX(各期收支!$D$70:$G$70,1,4)-INDEX(各期收支!$D$41:$G$41,1,4)))/INDEX(損益!$D$21:$G$21,1,4))/(1+輸入與假設!$C$101)^(4-1)</f>
        <v>80.8431656699373</v>
      </c>
    </row>
    <row r="77" customFormat="false" ht="15" hidden="false" customHeight="false" outlineLevel="1" collapsed="false">
      <c r="A77" s="3" t="s">
        <v>1244</v>
      </c>
      <c r="B77" s="88" t="n">
        <v>7</v>
      </c>
      <c r="C77" s="13" t="n">
        <f aca="false">MAX(0,(INDEX(損益!$D$19:$G$19,1,1)*$B77-(INDEX(各期收支!$D$70:$G$70,1,1)-INDEX(各期收支!$D$41:$G$41,1,1)))/INDEX(損益!$D$21:$G$21,1,1))/(1+輸入與假設!$C$101)^(1-1)</f>
        <v>65.3846967796835</v>
      </c>
      <c r="D77" s="13" t="n">
        <f aca="false">MAX(0,(INDEX(損益!$D$19:$G$19,1,2)*$B77-(INDEX(各期收支!$D$70:$G$70,1,2)-INDEX(各期收支!$D$41:$G$41,1,2)))/INDEX(損益!$D$21:$G$21,1,2))/(1+輸入與假設!$C$101)^(2-1)</f>
        <v>112.590821480337</v>
      </c>
      <c r="E77" s="13" t="n">
        <f aca="false">MAX(0,(INDEX(損益!$D$19:$G$19,1,3)*$B77-(INDEX(各期收支!$D$70:$G$70,1,3)-INDEX(各期收支!$D$41:$G$41,1,3)))/INDEX(損益!$D$21:$G$21,1,3))/(1+輸入與假設!$C$101)^(3-1)</f>
        <v>117.859623155821</v>
      </c>
      <c r="F77" s="13" t="n">
        <f aca="false">MAX(0,(INDEX(損益!$D$19:$G$19,1,4)*$B77-(INDEX(各期收支!$D$70:$G$70,1,4)-INDEX(各期收支!$D$41:$G$41,1,4)))/INDEX(損益!$D$21:$G$21,1,4))/(1+輸入與假設!$C$101)^(4-1)</f>
        <v>108.179661071668</v>
      </c>
    </row>
    <row r="78" customFormat="false" ht="15" hidden="false" customHeight="false" outlineLevel="1" collapsed="false"/>
    <row r="79" customFormat="false" ht="15" hidden="false" customHeight="false" outlineLevel="1" collapsed="false">
      <c r="A79" s="15" t="s">
        <v>1245</v>
      </c>
      <c r="B79" s="15" t="s">
        <v>1238</v>
      </c>
      <c r="C79" s="16" t="s">
        <v>88</v>
      </c>
      <c r="D79" s="16" t="s">
        <v>89</v>
      </c>
      <c r="E79" s="16" t="s">
        <v>166</v>
      </c>
      <c r="F79" s="16" t="s">
        <v>167</v>
      </c>
    </row>
    <row r="80" customFormat="false" ht="15" hidden="false" customHeight="false" outlineLevel="1" collapsed="false">
      <c r="A80" s="3" t="s">
        <v>1246</v>
      </c>
      <c r="B80" s="88" t="n">
        <v>3.4</v>
      </c>
      <c r="C80" s="13" t="n">
        <f aca="false">C25*IF(C29=1,0,輸入與假設!$C$108)+C73*IF(C29=1,1,1-輸入與假設!$C$108)</f>
        <v>0</v>
      </c>
      <c r="D80" s="13" t="n">
        <f aca="false">C25*IF(C29=1,0,輸入與假設!$C$108)+D73*IF(C29=1,1,1-輸入與假設!$C$108)</f>
        <v>0</v>
      </c>
      <c r="E80" s="13" t="n">
        <f aca="false">C25*IF(C29=1,0,輸入與假設!$C$108)+E73*IF(C29=1,1,1-輸入與假設!$C$108)</f>
        <v>4.03910887826928</v>
      </c>
      <c r="F80" s="13" t="n">
        <f aca="false">C25*IF(C29=1,0,輸入與假設!$C$108)+F73*IF(C29=1,1,1-輸入與假設!$C$108)</f>
        <v>5.37255269399006</v>
      </c>
    </row>
    <row r="81" customFormat="false" ht="15" hidden="false" customHeight="false" outlineLevel="1" collapsed="false">
      <c r="A81" s="3" t="s">
        <v>1247</v>
      </c>
      <c r="B81" s="88" t="n">
        <v>4.5</v>
      </c>
      <c r="C81" s="13" t="n">
        <f aca="false">C25*IF(C29=1,0,輸入與假設!$C$108)+C74*IF(C29=1,1,1-輸入與假設!$C$108)</f>
        <v>0</v>
      </c>
      <c r="D81" s="13" t="n">
        <f aca="false">C25*IF(C29=1,0,輸入與假設!$C$108)+D74*IF(C29=1,1,1-輸入與假設!$C$108)</f>
        <v>14.892832649282</v>
      </c>
      <c r="E81" s="13" t="n">
        <f aca="false">C25*IF(C29=1,0,輸入與假設!$C$108)+E74*IF(C29=1,1,1-輸入與假設!$C$108)</f>
        <v>22.6119011680402</v>
      </c>
      <c r="F81" s="13" t="n">
        <f aca="false">C25*IF(C29=1,0,輸入與假設!$C$108)+F74*IF(C29=1,1,1-輸入與假設!$C$108)</f>
        <v>21.9111324120374</v>
      </c>
    </row>
    <row r="82" customFormat="false" ht="15" hidden="false" customHeight="false" outlineLevel="1" collapsed="false">
      <c r="A82" s="3" t="s">
        <v>1248</v>
      </c>
      <c r="B82" s="88" t="n">
        <v>5</v>
      </c>
      <c r="C82" s="13" t="n">
        <f aca="false">C25*IF(C29=1,0,輸入與假設!$C$108)+C75*IF(C29=1,1,1-輸入與假設!$C$108)</f>
        <v>6.63331354069866</v>
      </c>
      <c r="D82" s="13" t="n">
        <f aca="false">C25*IF(C29=1,0,輸入與假設!$C$108)+D75*IF(C29=1,1,1-輸入與假設!$C$108)</f>
        <v>24.2992564822627</v>
      </c>
      <c r="E82" s="13" t="n">
        <f aca="false">C25*IF(C29=1,0,輸入與假設!$C$108)+E75*IF(C29=1,1,1-輸入與假設!$C$108)</f>
        <v>31.0540794815724</v>
      </c>
      <c r="F82" s="13" t="n">
        <f aca="false">C25*IF(C29=1,0,輸入與假設!$C$108)+F75*IF(C29=1,1,1-輸入與假設!$C$108)</f>
        <v>29.4286686475134</v>
      </c>
    </row>
    <row r="83" customFormat="false" ht="15" hidden="false" customHeight="false" outlineLevel="1" collapsed="false">
      <c r="A83" s="3" t="s">
        <v>1249</v>
      </c>
      <c r="B83" s="88" t="n">
        <v>6</v>
      </c>
      <c r="C83" s="13" t="n">
        <f aca="false">C25*IF(C29=1,0,輸入與假設!$C$108)+C76*IF(C29=1,1,1-輸入與假設!$C$108)</f>
        <v>21.2974483847623</v>
      </c>
      <c r="D83" s="13" t="n">
        <f aca="false">C25*IF(C29=1,0,輸入與假設!$C$108)+D76*IF(C29=1,1,1-輸入與假設!$C$108)</f>
        <v>43.112104148224</v>
      </c>
      <c r="E83" s="13" t="n">
        <f aca="false">C25*IF(C29=1,0,輸入與假設!$C$108)+E76*IF(C29=1,1,1-輸入與假設!$C$108)</f>
        <v>47.9384361086369</v>
      </c>
      <c r="F83" s="13" t="n">
        <f aca="false">C25*IF(C29=1,0,輸入與假設!$C$108)+F76*IF(C29=1,1,1-輸入與假設!$C$108)</f>
        <v>44.4637411184655</v>
      </c>
    </row>
    <row r="84" customFormat="false" ht="15" hidden="false" customHeight="false" outlineLevel="1" collapsed="false">
      <c r="A84" s="3" t="s">
        <v>1250</v>
      </c>
      <c r="B84" s="88" t="n">
        <v>7</v>
      </c>
      <c r="C84" s="13" t="n">
        <f aca="false">C25*IF(C29=1,0,輸入與假設!$C$108)+C77*IF(C29=1,1,1-輸入與假設!$C$108)</f>
        <v>35.9615832288259</v>
      </c>
      <c r="D84" s="13" t="n">
        <f aca="false">C25*IF(C29=1,0,輸入與假設!$C$108)+D77*IF(C29=1,1,1-輸入與假設!$C$108)</f>
        <v>61.9249518141853</v>
      </c>
      <c r="E84" s="13" t="n">
        <f aca="false">C25*IF(C29=1,0,輸入與假設!$C$108)+E77*IF(C29=1,1,1-輸入與假設!$C$108)</f>
        <v>64.8227927357013</v>
      </c>
      <c r="F84" s="13" t="n">
        <f aca="false">C25*IF(C29=1,0,輸入與假設!$C$108)+F77*IF(C29=1,1,1-輸入與假設!$C$108)</f>
        <v>59.4988135894176</v>
      </c>
    </row>
  </sheetData>
  <conditionalFormatting sqref="C73:F77">
    <cfRule type="cellIs" priority="2" operator="greaterThanOrEqual" aboveAverage="0" equalAverage="0" bottom="0" percent="0" rank="0" text="" dxfId="0">
      <formula>輸入與假設!$C$98</formula>
    </cfRule>
  </conditionalFormatting>
  <conditionalFormatting sqref="C80:F84">
    <cfRule type="cellIs" priority="3" operator="greaterThanOrEqual" aboveAverage="0" equalAverage="0" bottom="0" percent="0" rank="0" text="" dxfId="0">
      <formula>輸入與假設!$C$98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6" t="s">
        <v>1251</v>
      </c>
    </row>
    <row r="2" customFormat="false" ht="15" hidden="false" customHeight="false" outlineLevel="0" collapsed="false">
      <c r="A2" s="7" t="s">
        <v>1252</v>
      </c>
    </row>
    <row r="4" customFormat="false" ht="15" hidden="false" customHeight="false" outlineLevel="0" collapsed="false">
      <c r="A4" s="46" t="s">
        <v>1253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1212</v>
      </c>
      <c r="B5" s="89" t="n">
        <f aca="false">輸入與假設!$C$98</f>
        <v>90.13</v>
      </c>
    </row>
    <row r="6" customFormat="false" ht="15" hidden="false" customHeight="false" outlineLevel="1" collapsed="false">
      <c r="A6" s="3" t="s">
        <v>1254</v>
      </c>
      <c r="B6" s="89" t="n">
        <f aca="false">評價_DCF與目標價!C25</f>
        <v>0</v>
      </c>
    </row>
    <row r="7" customFormat="false" ht="15" hidden="false" customHeight="false" outlineLevel="1" collapsed="false">
      <c r="A7" s="2" t="s">
        <v>1255</v>
      </c>
      <c r="B7" s="87" t="n">
        <f aca="false">B6-B5</f>
        <v>-90.13</v>
      </c>
    </row>
    <row r="8" customFormat="false" ht="15" hidden="false" customHeight="false" outlineLevel="1" collapsed="false">
      <c r="A8" s="3" t="s">
        <v>1256</v>
      </c>
      <c r="B8" s="90" t="n">
        <f aca="false">輸入與假設!$C$22</f>
        <v>1</v>
      </c>
      <c r="C8" s="90" t="n">
        <f aca="false">輸入與假設!$C$55</f>
        <v>1</v>
      </c>
    </row>
    <row r="10" customFormat="false" ht="15" hidden="false" customHeight="false" outlineLevel="0" collapsed="false">
      <c r="A10" s="46" t="s">
        <v>1257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1258</v>
      </c>
    </row>
    <row r="12" customFormat="false" ht="15" hidden="false" customHeight="false" outlineLevel="1" collapsed="false">
      <c r="A12" s="7" t="s">
        <v>1259</v>
      </c>
    </row>
    <row r="13" customFormat="false" ht="15" hidden="false" customHeight="false" outlineLevel="1" collapsed="false">
      <c r="A13" s="7" t="s">
        <v>1260</v>
      </c>
    </row>
    <row r="14" customFormat="false" ht="15" hidden="false" customHeight="false" outlineLevel="1" collapsed="false">
      <c r="A14" s="7" t="s">
        <v>1261</v>
      </c>
    </row>
    <row r="16" customFormat="false" ht="15" hidden="false" customHeight="false" outlineLevel="0" collapsed="false">
      <c r="A16" s="46" t="s">
        <v>1262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1263</v>
      </c>
      <c r="B17" s="15" t="s">
        <v>1264</v>
      </c>
      <c r="C17" s="15" t="s">
        <v>1265</v>
      </c>
      <c r="D17" s="15" t="s">
        <v>1266</v>
      </c>
      <c r="G17" s="15" t="s">
        <v>1267</v>
      </c>
    </row>
    <row r="18" customFormat="false" ht="15" hidden="false" customHeight="false" outlineLevel="1" collapsed="false">
      <c r="A18" s="4" t="s">
        <v>1268</v>
      </c>
      <c r="B18" s="91" t="n">
        <v>10.5</v>
      </c>
      <c r="C18" s="91" t="n">
        <v>14.0989</v>
      </c>
      <c r="D18" s="55" t="n">
        <v>0.3428</v>
      </c>
      <c r="G18" s="7" t="s">
        <v>1269</v>
      </c>
    </row>
    <row r="19" customFormat="false" ht="15" hidden="false" customHeight="false" outlineLevel="1" collapsed="false">
      <c r="A19" s="3" t="s">
        <v>1270</v>
      </c>
      <c r="B19" s="91" t="n">
        <v>34</v>
      </c>
      <c r="C19" s="91" t="n">
        <v>20.2994</v>
      </c>
      <c r="D19" s="55" t="n">
        <v>-0.403</v>
      </c>
      <c r="G19" s="12" t="s">
        <v>1271</v>
      </c>
    </row>
    <row r="20" customFormat="false" ht="15" hidden="false" customHeight="false" outlineLevel="1" collapsed="false">
      <c r="A20" s="3" t="s">
        <v>222</v>
      </c>
      <c r="B20" s="55" t="n">
        <v>0.65</v>
      </c>
      <c r="C20" s="55" t="n">
        <v>0.8566</v>
      </c>
      <c r="D20" s="55" t="n">
        <v>0.2066</v>
      </c>
      <c r="G20" s="12" t="s">
        <v>1272</v>
      </c>
    </row>
    <row r="21" customFormat="false" ht="15" hidden="false" customHeight="false" outlineLevel="1" collapsed="false">
      <c r="A21" s="3" t="s">
        <v>1273</v>
      </c>
      <c r="B21" s="91" t="n">
        <v>10.5</v>
      </c>
      <c r="C21" s="91" t="n">
        <v>12.3138</v>
      </c>
      <c r="D21" s="55" t="n">
        <v>0.1727</v>
      </c>
      <c r="G21" s="7" t="s">
        <v>1274</v>
      </c>
    </row>
    <row r="23" customFormat="false" ht="15" hidden="false" customHeight="false" outlineLevel="0" collapsed="false">
      <c r="A23" s="46" t="s">
        <v>1275</v>
      </c>
      <c r="B23" s="9"/>
      <c r="C23" s="9"/>
      <c r="D23" s="9"/>
      <c r="E23" s="9"/>
      <c r="F23" s="9"/>
      <c r="G23" s="9"/>
    </row>
    <row r="24" customFormat="false" ht="15" hidden="false" customHeight="false" outlineLevel="1" collapsed="false">
      <c r="A24" s="15" t="s">
        <v>1276</v>
      </c>
      <c r="B24" s="92" t="n">
        <v>0.59</v>
      </c>
      <c r="C24" s="92" t="n">
        <v>0.65</v>
      </c>
      <c r="D24" s="92" t="n">
        <v>0.7</v>
      </c>
      <c r="E24" s="92" t="n">
        <v>0.75</v>
      </c>
    </row>
    <row r="25" customFormat="false" ht="15" hidden="false" customHeight="false" outlineLevel="1" collapsed="false">
      <c r="A25" s="4" t="s">
        <v>1277</v>
      </c>
      <c r="B25" s="91" t="n">
        <v>12.6</v>
      </c>
      <c r="C25" s="91" t="n">
        <v>11.38</v>
      </c>
      <c r="D25" s="91" t="n">
        <v>10.51</v>
      </c>
      <c r="E25" s="91" t="n">
        <v>9.74</v>
      </c>
    </row>
    <row r="26" customFormat="false" ht="15" hidden="false" customHeight="false" outlineLevel="1" collapsed="false">
      <c r="A26" s="4" t="s">
        <v>1278</v>
      </c>
      <c r="B26" s="91" t="n">
        <v>13.53</v>
      </c>
      <c r="C26" s="91" t="n">
        <v>12.23</v>
      </c>
      <c r="D26" s="91" t="n">
        <v>11.31</v>
      </c>
      <c r="E26" s="91" t="n">
        <v>10.49</v>
      </c>
    </row>
    <row r="27" customFormat="false" ht="15" hidden="false" customHeight="false" outlineLevel="1" collapsed="false">
      <c r="A27" s="4" t="s">
        <v>1279</v>
      </c>
      <c r="B27" s="91" t="n">
        <v>14.46</v>
      </c>
      <c r="C27" s="91" t="n">
        <v>13.09</v>
      </c>
      <c r="D27" s="91" t="n">
        <v>12.1</v>
      </c>
      <c r="E27" s="91" t="n">
        <v>11.24</v>
      </c>
    </row>
    <row r="28" customFormat="false" ht="15" hidden="false" customHeight="false" outlineLevel="1" collapsed="false">
      <c r="A28" s="4" t="s">
        <v>1280</v>
      </c>
      <c r="B28" s="91" t="n">
        <v>15.57</v>
      </c>
      <c r="C28" s="93" t="n">
        <v>14.1</v>
      </c>
      <c r="D28" s="91" t="n">
        <v>13.05</v>
      </c>
      <c r="E28" s="91" t="n">
        <v>12.13</v>
      </c>
    </row>
    <row r="29" customFormat="false" ht="15" hidden="false" customHeight="false" outlineLevel="1" collapsed="false">
      <c r="A29" s="4" t="s">
        <v>1281</v>
      </c>
      <c r="B29" s="91" t="n">
        <v>16.82</v>
      </c>
      <c r="C29" s="91" t="n">
        <v>15.25</v>
      </c>
      <c r="D29" s="91" t="n">
        <v>14.12</v>
      </c>
      <c r="E29" s="91" t="n">
        <v>13.14</v>
      </c>
    </row>
    <row r="30" customFormat="false" ht="15" hidden="false" customHeight="false" outlineLevel="1" collapsed="false">
      <c r="A30" s="7" t="s">
        <v>1282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6" t="s">
        <v>1283</v>
      </c>
    </row>
    <row r="2" customFormat="false" ht="15" hidden="false" customHeight="false" outlineLevel="0" collapsed="false">
      <c r="A2" s="12" t="s">
        <v>1284</v>
      </c>
    </row>
    <row r="4" customFormat="false" ht="15" hidden="false" customHeight="false" outlineLevel="0" collapsed="false">
      <c r="A4" s="15" t="s">
        <v>1285</v>
      </c>
      <c r="B4" s="15" t="s">
        <v>1286</v>
      </c>
      <c r="C4" s="15" t="s">
        <v>1287</v>
      </c>
      <c r="D4" s="16" t="s">
        <v>1288</v>
      </c>
      <c r="E4" s="16" t="s">
        <v>1289</v>
      </c>
      <c r="F4" s="94" t="s">
        <v>1290</v>
      </c>
      <c r="G4" s="15" t="s">
        <v>1291</v>
      </c>
      <c r="H4" s="16" t="s">
        <v>1292</v>
      </c>
      <c r="I4" s="16" t="s">
        <v>1293</v>
      </c>
      <c r="J4" s="15" t="s">
        <v>1294</v>
      </c>
      <c r="K4" s="15" t="s">
        <v>428</v>
      </c>
    </row>
    <row r="5" customFormat="false" ht="15" hidden="false" customHeight="false" outlineLevel="0" collapsed="false">
      <c r="A5" s="4" t="s">
        <v>1295</v>
      </c>
      <c r="B5" s="24" t="n">
        <v>63.81</v>
      </c>
      <c r="C5" s="24" t="n">
        <v>2.16</v>
      </c>
      <c r="D5" s="54" t="n">
        <f aca="false">B5+C5</f>
        <v>65.97</v>
      </c>
      <c r="E5" s="24" t="n">
        <v>1.36</v>
      </c>
      <c r="F5" s="95" t="n">
        <f aca="false">D5/E5</f>
        <v>48.5073529411765</v>
      </c>
      <c r="G5" s="96" t="n">
        <f aca="false">(D5+0)/E5</f>
        <v>48.5073529411765</v>
      </c>
      <c r="H5" s="24" t="n">
        <f aca="false">-0.612+0.418</f>
        <v>-0.194</v>
      </c>
      <c r="I5" s="96" t="str">
        <f aca="false">IF(H5&gt;0,D5/H5,"n/m")</f>
        <v>n/m</v>
      </c>
      <c r="J5" s="12" t="s">
        <v>1296</v>
      </c>
      <c r="K5" s="7" t="s">
        <v>1297</v>
      </c>
    </row>
    <row r="6" customFormat="false" ht="15" hidden="false" customHeight="false" outlineLevel="0" collapsed="false">
      <c r="A6" s="4" t="s">
        <v>1298</v>
      </c>
      <c r="B6" s="24" t="n">
        <v>18.61</v>
      </c>
      <c r="C6" s="24" t="n">
        <v>1.7</v>
      </c>
      <c r="D6" s="54" t="n">
        <f aca="false">B6+C6</f>
        <v>20.31</v>
      </c>
      <c r="E6" s="24" t="n">
        <v>0.707</v>
      </c>
      <c r="F6" s="95" t="n">
        <f aca="false">D6/E6</f>
        <v>28.7270155586987</v>
      </c>
      <c r="G6" s="96" t="n">
        <f aca="false">(D6+0.003)/E6</f>
        <v>28.7312588401697</v>
      </c>
      <c r="H6" s="24" t="n">
        <f aca="false">-1.047+0.418</f>
        <v>-0.629</v>
      </c>
      <c r="I6" s="96" t="str">
        <f aca="false">IF(H6&gt;0,D6/H6,"n/m")</f>
        <v>n/m</v>
      </c>
      <c r="J6" s="12" t="s">
        <v>1299</v>
      </c>
      <c r="K6" s="7" t="s">
        <v>1300</v>
      </c>
    </row>
    <row r="7" customFormat="false" ht="15" hidden="false" customHeight="false" outlineLevel="0" collapsed="false">
      <c r="A7" s="4" t="s">
        <v>1301</v>
      </c>
      <c r="B7" s="24" t="n">
        <v>8.22</v>
      </c>
      <c r="C7" s="24" t="n">
        <v>3.37</v>
      </c>
      <c r="D7" s="54" t="n">
        <f aca="false">B7+C7</f>
        <v>11.59</v>
      </c>
      <c r="E7" s="24" t="n">
        <v>0.6113</v>
      </c>
      <c r="F7" s="95" t="n">
        <f aca="false">D7/E7</f>
        <v>18.9595943072141</v>
      </c>
      <c r="G7" s="96" t="n">
        <f aca="false">(D7+0.066)/E7</f>
        <v>19.0675609357108</v>
      </c>
      <c r="H7" s="24" t="n">
        <f aca="false">-0.236+0.067</f>
        <v>-0.169</v>
      </c>
      <c r="I7" s="96" t="str">
        <f aca="false">IF(H7&gt;0,D7/H7,"n/m")</f>
        <v>n/m</v>
      </c>
      <c r="J7" s="12" t="s">
        <v>1302</v>
      </c>
      <c r="K7" s="7" t="s">
        <v>1303</v>
      </c>
    </row>
    <row r="8" customFormat="false" ht="15" hidden="false" customHeight="false" outlineLevel="0" collapsed="false">
      <c r="A8" s="4" t="s">
        <v>1304</v>
      </c>
      <c r="B8" s="24" t="n">
        <v>5.9</v>
      </c>
      <c r="C8" s="24" t="n">
        <v>2.53</v>
      </c>
      <c r="D8" s="54" t="n">
        <f aca="false">B8+C8</f>
        <v>8.43</v>
      </c>
      <c r="E8" s="24" t="n">
        <v>0.4403</v>
      </c>
      <c r="F8" s="95" t="n">
        <f aca="false">D8/E8</f>
        <v>19.1460367930956</v>
      </c>
      <c r="G8" s="96" t="n">
        <f aca="false">(D8+0.109)/E8</f>
        <v>19.3935952759482</v>
      </c>
      <c r="H8" s="24" t="n">
        <f aca="false">-0.561+0.063</f>
        <v>-0.498</v>
      </c>
      <c r="I8" s="96" t="str">
        <f aca="false">IF(H8&gt;0,D8/H8,"n/m")</f>
        <v>n/m</v>
      </c>
      <c r="J8" s="12" t="s">
        <v>1305</v>
      </c>
      <c r="K8" s="7" t="s">
        <v>1306</v>
      </c>
    </row>
    <row r="9" customFormat="false" ht="15" hidden="false" customHeight="false" outlineLevel="0" collapsed="false">
      <c r="A9" s="2" t="s">
        <v>1307</v>
      </c>
      <c r="F9" s="79" t="n">
        <f aca="false">MEDIAN(F5:F8)</f>
        <v>23.9365261758972</v>
      </c>
      <c r="G9" s="97" t="n">
        <f aca="false">MEDIAN(G5:G8)</f>
        <v>24.062427058059</v>
      </c>
    </row>
    <row r="10" customFormat="false" ht="15" hidden="false" customHeight="false" outlineLevel="0" collapsed="false">
      <c r="A10" s="5" t="s">
        <v>1308</v>
      </c>
      <c r="B10" s="76" t="n">
        <v>47.12</v>
      </c>
      <c r="C10" s="78" t="n">
        <f aca="false">輸入與假設!$C$100</f>
        <v>30</v>
      </c>
      <c r="D10" s="52" t="n">
        <f aca="false">B10+C10</f>
        <v>77.12</v>
      </c>
      <c r="E10" s="76" t="n">
        <v>7.59</v>
      </c>
      <c r="F10" s="79" t="n">
        <f aca="false">D10/E10</f>
        <v>10.1607378129117</v>
      </c>
      <c r="G10" s="97" t="n">
        <f aca="false">(D10+16.319)/E10</f>
        <v>12.3108036890646</v>
      </c>
      <c r="H10" s="76" t="n">
        <f aca="false">-0.231+3.991</f>
        <v>3.76</v>
      </c>
      <c r="I10" s="97" t="n">
        <f aca="false">IF(H10&gt;0,D10/H10,"n/m")</f>
        <v>20.5106382978723</v>
      </c>
      <c r="J10" s="12" t="s">
        <v>1309</v>
      </c>
      <c r="K10" s="12" t="s">
        <v>1310</v>
      </c>
    </row>
    <row r="11" customFormat="false" ht="15" hidden="false" customHeight="false" outlineLevel="0" collapsed="false">
      <c r="A11" s="4" t="s">
        <v>1311</v>
      </c>
      <c r="B11" s="52" t="n">
        <f aca="false">輸入與假設!$C$98*輸入與假設!$C$99</f>
        <v>52.90631</v>
      </c>
      <c r="C11" s="52" t="n">
        <f aca="false">輸入與假設!$C$100</f>
        <v>30</v>
      </c>
      <c r="D11" s="52" t="n">
        <f aca="false">B11+C11</f>
        <v>82.90631</v>
      </c>
      <c r="E11" s="78" t="n">
        <f aca="false">損益!D8</f>
        <v>26.1275</v>
      </c>
      <c r="F11" s="97" t="n">
        <f aca="false">D11/E11</f>
        <v>3.17314362261985</v>
      </c>
      <c r="G11" s="97" t="n">
        <f aca="false">(D11+16.319)/E11</f>
        <v>3.79773457085446</v>
      </c>
      <c r="H11" s="78" t="n">
        <f aca="false">損益!D19</f>
        <v>15.8071375</v>
      </c>
      <c r="I11" s="97" t="n">
        <f aca="false">D11/H11</f>
        <v>5.24486549193363</v>
      </c>
      <c r="K11" s="7" t="s">
        <v>1312</v>
      </c>
    </row>
    <row r="13" customFormat="false" ht="15" hidden="false" customHeight="false" outlineLevel="0" collapsed="false">
      <c r="A13" s="7" t="s">
        <v>1313</v>
      </c>
    </row>
    <row r="14" customFormat="false" ht="15" hidden="false" customHeight="false" outlineLevel="0" collapsed="false">
      <c r="A14" s="12" t="s">
        <v>1314</v>
      </c>
    </row>
    <row r="15" customFormat="false" ht="15" hidden="false" customHeight="false" outlineLevel="0" collapsed="false">
      <c r="A15" s="7" t="s">
        <v>1315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1316</v>
      </c>
    </row>
    <row r="3" customFormat="false" ht="15" hidden="false" customHeight="false" outlineLevel="0" collapsed="false">
      <c r="A3" s="15" t="s">
        <v>1317</v>
      </c>
      <c r="B3" s="15" t="s">
        <v>1318</v>
      </c>
      <c r="C3" s="15" t="s">
        <v>1319</v>
      </c>
      <c r="D3" s="15" t="s">
        <v>1320</v>
      </c>
      <c r="E3" s="15" t="s">
        <v>531</v>
      </c>
    </row>
    <row r="4" customFormat="false" ht="15" hidden="false" customHeight="false" outlineLevel="0" collapsed="false">
      <c r="A4" s="4" t="s">
        <v>187</v>
      </c>
      <c r="B4" s="14" t="n">
        <f aca="false">SUM(輸入與假設!C25:G25)</f>
        <v>0.84</v>
      </c>
      <c r="C4" s="98" t="n">
        <f aca="false">輸入與假設!$C$18</f>
        <v>0.84</v>
      </c>
      <c r="D4" s="2" t="str">
        <f aca="false">IF(ABS(B4-C4)&lt;0.0001,"通過","不一致")</f>
        <v>通過</v>
      </c>
      <c r="E4" s="12" t="s">
        <v>1321</v>
      </c>
    </row>
    <row r="5" customFormat="false" ht="15" hidden="false" customHeight="false" outlineLevel="0" collapsed="false">
      <c r="A5" s="3" t="s">
        <v>1322</v>
      </c>
      <c r="B5" s="11" t="n">
        <f aca="false">各期收支!C84</f>
        <v>-2.57571741713036E-014</v>
      </c>
      <c r="C5" s="7" t="n">
        <f aca="false">0</f>
        <v>0</v>
      </c>
      <c r="D5" s="2" t="str">
        <f aca="false">IF(ABS(B5)&lt;0.01,"通過","不一致")</f>
        <v>通過</v>
      </c>
      <c r="E5" s="7" t="s">
        <v>1323</v>
      </c>
    </row>
    <row r="6" customFormat="false" ht="15" hidden="false" customHeight="false" outlineLevel="0" collapsed="false">
      <c r="A6" s="4" t="s">
        <v>1324</v>
      </c>
      <c r="B6" s="10" t="n">
        <f aca="false">運營_產能與收入!G9-運營_產能與收入!G10</f>
        <v>350</v>
      </c>
      <c r="C6" s="12" t="s">
        <v>1325</v>
      </c>
      <c r="D6" s="2" t="str">
        <f aca="false">IF(B6&gt;=0,"通過","不一致")</f>
        <v>通過</v>
      </c>
      <c r="E6" s="7" t="s">
        <v>1326</v>
      </c>
    </row>
    <row r="7" customFormat="false" ht="15" hidden="false" customHeight="false" outlineLevel="0" collapsed="false">
      <c r="A7" s="4" t="s">
        <v>1327</v>
      </c>
      <c r="B7" s="11" t="n">
        <f aca="false">各期收支!C88</f>
        <v>36.975</v>
      </c>
      <c r="C7" s="12" t="s">
        <v>1328</v>
      </c>
      <c r="D7" s="2" t="str">
        <f aca="false">IF(AND(B7&gt;=35,B7&lt;=39),"通過","觀察")</f>
        <v>通過</v>
      </c>
      <c r="E7" s="12" t="s">
        <v>1329</v>
      </c>
    </row>
    <row r="8" customFormat="false" ht="15" hidden="false" customHeight="false" outlineLevel="0" collapsed="false">
      <c r="A8" s="4" t="s">
        <v>1330</v>
      </c>
      <c r="B8" s="11" t="n">
        <f aca="false">各期收支!C87</f>
        <v>13.066</v>
      </c>
      <c r="C8" s="12" t="s">
        <v>1331</v>
      </c>
      <c r="D8" s="2" t="str">
        <f aca="false">IF(AND(B8&gt;=12.4,B8&lt;=13.2),"通過","觀察")</f>
        <v>通過</v>
      </c>
      <c r="E8" s="12" t="s">
        <v>1332</v>
      </c>
    </row>
    <row r="9" customFormat="false" ht="15" hidden="false" customHeight="false" outlineLevel="0" collapsed="false">
      <c r="A9" s="4" t="s">
        <v>1333</v>
      </c>
      <c r="B9" s="43" t="n">
        <f aca="false">SUM(各期收支!C6:G6)/((運營_產能與收入!G9-輸入與假設!$C$20)/1000)/1000*1000</f>
        <v>39.48</v>
      </c>
      <c r="C9" s="12" t="s">
        <v>1334</v>
      </c>
      <c r="D9" s="2" t="str">
        <f aca="false">IF(AND(B9&gt;=20,B9&lt;=45),"通過","觀察")</f>
        <v>通過</v>
      </c>
      <c r="E9" s="7" t="s">
        <v>1335</v>
      </c>
    </row>
    <row r="10" customFormat="false" ht="15" hidden="false" customHeight="false" outlineLevel="0" collapsed="false">
      <c r="A10" s="3" t="s">
        <v>1336</v>
      </c>
      <c r="B10" s="17" t="n">
        <f aca="false">資產負債_租賃承諾!C27</f>
        <v>0.892218223878679</v>
      </c>
      <c r="C10" s="12" t="s">
        <v>1337</v>
      </c>
      <c r="D10" s="2" t="str">
        <f aca="false">IF(B10&gt;=0.8,"通過","不一致")</f>
        <v>通過</v>
      </c>
      <c r="E10" s="12" t="s">
        <v>1338</v>
      </c>
    </row>
    <row r="11" customFormat="false" ht="15" hidden="false" customHeight="false" outlineLevel="0" collapsed="false">
      <c r="A11" s="4" t="s">
        <v>1339</v>
      </c>
      <c r="B11" s="11" t="n">
        <f aca="false">各期收支!C89</f>
        <v>3.54684859865945</v>
      </c>
      <c r="C11" s="12" t="s">
        <v>1340</v>
      </c>
      <c r="D11" s="2" t="str">
        <f aca="false">IF(B11&gt;=2.9,"通過","觀察")</f>
        <v>通過</v>
      </c>
      <c r="E11" s="12" t="s">
        <v>1341</v>
      </c>
    </row>
    <row r="12" customFormat="false" ht="15" hidden="false" customHeight="false" outlineLevel="0" collapsed="false">
      <c r="A12" s="4" t="s">
        <v>1342</v>
      </c>
      <c r="B12" s="28" t="n">
        <f aca="false">SUM(運營_產能與收入!E23:G23)/SUM(運營_產能與收入!E25:G25)</f>
        <v>0.40729557097096</v>
      </c>
      <c r="C12" s="12" t="s">
        <v>1343</v>
      </c>
      <c r="D12" s="2" t="str">
        <f aca="false">IF(B12&lt;0.5,"通過","觀察")</f>
        <v>通過</v>
      </c>
      <c r="E12" s="12" t="s">
        <v>1344</v>
      </c>
    </row>
    <row r="13" customFormat="false" ht="15" hidden="false" customHeight="false" outlineLevel="0" collapsed="false">
      <c r="A13" s="3" t="s">
        <v>1345</v>
      </c>
      <c r="B13" s="52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1346</v>
      </c>
    </row>
    <row r="14" customFormat="false" ht="15" hidden="false" customHeight="false" outlineLevel="0" collapsed="false">
      <c r="A14" s="3" t="s">
        <v>1184</v>
      </c>
      <c r="B14" s="14" t="n">
        <f aca="false">評價_DCF與目標價!C26</f>
        <v>3.88818583833082</v>
      </c>
      <c r="C14" s="7" t="str">
        <f aca="false">"&lt;"&amp;IF(ROUND(ABS(輸入與假設!$C$126)*100,4)=INT(ROUND(ABS(輸入與假設!$C$126)*100,4)),TEXT(ROUND(ABS(輸入與假設!$C$126)*100,4),"0"),TEXT(ROUND(ABS(輸入與假設!$C$126)*100,4),"0.0"))&amp;"%"</f>
        <v>&lt;85%</v>
      </c>
      <c r="D14" s="2" t="str">
        <f aca="false">IF(B14&lt;輸入與假設!$C$126,"通過","觀察")</f>
        <v>觀察</v>
      </c>
      <c r="E14" s="7" t="s">
        <v>1347</v>
      </c>
    </row>
    <row r="15" customFormat="false" ht="15" hidden="false" customHeight="false" outlineLevel="0" collapsed="false">
      <c r="A15" s="4" t="s">
        <v>1348</v>
      </c>
      <c r="B15" s="99" t="n">
        <f aca="false">損益!D19/損益!D8-輸入與假設!D39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1349</v>
      </c>
    </row>
    <row r="16" customFormat="false" ht="15" hidden="false" customHeight="false" outlineLevel="0" collapsed="false">
      <c r="A16" s="3" t="s">
        <v>1350</v>
      </c>
      <c r="B16" s="52" t="n">
        <f aca="false">(運營_產能與收入!D36+運營_產能與收入!D37+輸入與假設!D40-各期收支!D12)+(運營_產能與收入!D31+運營_產能與收入!D23*輸入與假設!D31*(1-輸入與假設!D32))*運營_產能與收入!D35-損益!D19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1351</v>
      </c>
    </row>
    <row r="17" customFormat="false" ht="15" hidden="false" customHeight="false" outlineLevel="0" collapsed="false">
      <c r="A17" s="4" t="s">
        <v>1352</v>
      </c>
      <c r="B17" s="43" t="n">
        <f aca="false">評價_DCF與目標價!C29</f>
        <v>0</v>
      </c>
      <c r="C17" s="12" t="s">
        <v>1353</v>
      </c>
      <c r="D17" s="2" t="str">
        <f aca="false">IF(B17=0,"通過","觀察")</f>
        <v>通過</v>
      </c>
      <c r="E17" s="7" t="s">
        <v>1354</v>
      </c>
    </row>
    <row r="18" customFormat="false" ht="15" hidden="false" customHeight="false" outlineLevel="0" collapsed="false">
      <c r="A18" s="3" t="s">
        <v>1355</v>
      </c>
      <c r="B18" s="52" t="n">
        <f aca="false">MIN(各期收支!C41:G41)</f>
        <v>2</v>
      </c>
      <c r="C18" s="12" t="s">
        <v>1356</v>
      </c>
      <c r="D18" s="2" t="str">
        <f aca="false">IF(B18&gt;=1.999,"通過","不一致")</f>
        <v>通過</v>
      </c>
      <c r="E18" s="7" t="s">
        <v>1357</v>
      </c>
    </row>
    <row r="19" customFormat="false" ht="15" hidden="false" customHeight="false" outlineLevel="0" collapsed="false">
      <c r="A19" s="3" t="s">
        <v>1358</v>
      </c>
      <c r="B19" s="97" t="n">
        <f aca="false">SUM(各期收支!C61:G61)/(輸入與假設!$C$98*輸入與假設!$C$99)</f>
        <v>0.262845001704695</v>
      </c>
      <c r="C19" s="7" t="str">
        <f aca="false">"≤"&amp;IF(輸入與假設!$C$123=INT(輸入與假設!$C$123),TEXT(輸入與假設!$C$123,"0"),TEXT(輸入與假設!$C$123,"0.0"))&amp;"x"</f>
        <v>≤1.5x</v>
      </c>
      <c r="D19" s="2" t="str">
        <f aca="false">IF(B19&lt;=輸入與假設!$C$123,"通過","觀察")</f>
        <v>通過</v>
      </c>
      <c r="E19" s="7" t="str">
        <f aca="false">"超過 "&amp;IF(輸入與假設!$C$123=INT(輸入與假設!$C$123),TEXT(輸入與假設!$C$123,"0"),TEXT(輸入與假設!$C$123,"0.0"))&amp;"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1359</v>
      </c>
      <c r="B20" s="52" t="n">
        <f aca="false">資產負債_既有債務!E21</f>
        <v>35.551</v>
      </c>
      <c r="C20" s="12" t="s">
        <v>1360</v>
      </c>
      <c r="D20" s="2" t="str">
        <f aca="false">IF(ABS(B20-35.551)&lt;0.01,"通過","不一致")</f>
        <v>通過</v>
      </c>
      <c r="E20" s="12" t="s">
        <v>1361</v>
      </c>
    </row>
    <row r="21" customFormat="false" ht="15" hidden="false" customHeight="false" outlineLevel="0" collapsed="false">
      <c r="A21" s="4" t="s">
        <v>1362</v>
      </c>
      <c r="B21" s="52" t="n">
        <f aca="false">輸入與假設!C68</f>
        <v>36.975</v>
      </c>
      <c r="C21" s="12" t="s">
        <v>1328</v>
      </c>
      <c r="D21" s="2" t="str">
        <f aca="false">IF(AND(B21&gt;=35,B21&lt;=39),"通過","觀察")</f>
        <v>通過</v>
      </c>
      <c r="E21" s="7" t="s">
        <v>1363</v>
      </c>
    </row>
    <row r="22" customFormat="false" ht="15" hidden="false" customHeight="false" outlineLevel="0" collapsed="false">
      <c r="A22" s="4" t="s">
        <v>1364</v>
      </c>
      <c r="B22" s="52" t="n">
        <f aca="false">SUM(輸入與假設!C61:G61)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1365</v>
      </c>
    </row>
    <row r="23" customFormat="false" ht="15" hidden="false" customHeight="false" outlineLevel="0" collapsed="false">
      <c r="A23" s="3" t="s">
        <v>1366</v>
      </c>
      <c r="B23" s="52" t="n">
        <f aca="false">運營_站點!G25</f>
        <v>0.998180473372781</v>
      </c>
      <c r="C23" s="7" t="s">
        <v>1367</v>
      </c>
      <c r="D23" s="2" t="str">
        <f aca="false">IF(B23&gt;=運營_站點!$H$9*運營_站點!$C$26*0.8,"通過","觀察")</f>
        <v>觀察</v>
      </c>
      <c r="E23" s="7" t="s">
        <v>1368</v>
      </c>
    </row>
    <row r="24" customFormat="false" ht="15" hidden="false" customHeight="false" outlineLevel="0" collapsed="false">
      <c r="A24" s="3" t="s">
        <v>1369</v>
      </c>
      <c r="B24" s="52" t="n">
        <f aca="false">運營_站點!$C$29</f>
        <v>3.29166034970789</v>
      </c>
      <c r="C24" s="12" t="s">
        <v>1370</v>
      </c>
      <c r="D24" s="2" t="str">
        <f aca="false">IF(B24&lt;10,"通過","觀察")</f>
        <v>通過</v>
      </c>
      <c r="E24" s="7" t="s">
        <v>1371</v>
      </c>
    </row>
    <row r="26" customFormat="false" ht="15" hidden="false" customHeight="false" outlineLevel="0" collapsed="false">
      <c r="A26" s="2" t="s">
        <v>1372</v>
      </c>
    </row>
    <row r="27" customFormat="false" ht="15" hidden="false" customHeight="false" outlineLevel="0" collapsed="false">
      <c r="A27" s="3" t="s">
        <v>1373</v>
      </c>
      <c r="B27" s="11" t="n">
        <f aca="false">SUM(運營_產能與收入!C17:G17)</f>
        <v>108.108</v>
      </c>
    </row>
    <row r="28" customFormat="false" ht="15" hidden="false" customHeight="false" outlineLevel="0" collapsed="false">
      <c r="A28" s="3" t="s">
        <v>1374</v>
      </c>
      <c r="B28" s="11" t="n">
        <f aca="false">SUM(運營_產能與收入!C19:G19)</f>
        <v>6.33474999999999</v>
      </c>
    </row>
    <row r="29" customFormat="false" ht="15" hidden="false" customHeight="false" outlineLevel="0" collapsed="false">
      <c r="A29" s="3" t="s">
        <v>1375</v>
      </c>
      <c r="B29" s="11" t="n">
        <f aca="false">SUM(運營_產能與收入!C23:G23)</f>
        <v>47.094444</v>
      </c>
    </row>
    <row r="30" customFormat="false" ht="15" hidden="false" customHeight="false" outlineLevel="0" collapsed="false">
      <c r="A30" s="3" t="s">
        <v>1376</v>
      </c>
      <c r="B30" s="11" t="n">
        <f aca="false">SUM(輸入與假設!C73:G73)</f>
        <v>151.651</v>
      </c>
    </row>
    <row r="31" customFormat="false" ht="15" hidden="false" customHeight="false" outlineLevel="0" collapsed="false">
      <c r="A31" s="3" t="s">
        <v>1377</v>
      </c>
      <c r="B31" s="11" t="n">
        <f aca="false">SUM(各期收支!C12:G12)</f>
        <v>20.3178933002481</v>
      </c>
    </row>
    <row r="32" customFormat="false" ht="15" hidden="false" customHeight="false" outlineLevel="0" collapsed="false">
      <c r="A32" s="3" t="s">
        <v>1378</v>
      </c>
      <c r="B32" s="11" t="n">
        <f aca="false">SUM(各期收支!C17:G17)</f>
        <v>32.1259689556061</v>
      </c>
    </row>
    <row r="33" customFormat="false" ht="15" hidden="false" customHeight="false" outlineLevel="0" collapsed="false">
      <c r="A33" s="3" t="s">
        <v>1379</v>
      </c>
      <c r="B33" s="11" t="n">
        <f aca="false">SUM(輸入與假設!C93:G93)*輸入與假設!$C$82</f>
        <v>20.655</v>
      </c>
    </row>
    <row r="34" customFormat="false" ht="15" hidden="false" customHeight="false" outlineLevel="0" collapsed="false">
      <c r="A34" s="3" t="s">
        <v>1380</v>
      </c>
      <c r="B34" s="11" t="n">
        <f aca="false">SUM(各期收支!C39:G39)-(輸入與假設!$C$130-輸入與假設!$C$131-輸入與假設!$C$133)</f>
        <v>-75.3411151421392</v>
      </c>
    </row>
    <row r="35" customFormat="false" ht="15" hidden="false" customHeight="false" outlineLevel="0" collapsed="false">
      <c r="A35" s="4" t="s">
        <v>1381</v>
      </c>
      <c r="B35" s="11" t="n">
        <f aca="false">SUM(各期收支!C39:G39)</f>
        <v>-86.4831151421392</v>
      </c>
    </row>
    <row r="36" customFormat="false" ht="15" hidden="false" customHeight="false" outlineLevel="0" collapsed="false">
      <c r="A36" s="3" t="s">
        <v>1030</v>
      </c>
      <c r="B36" s="11" t="n">
        <f aca="false">各期收支!G41</f>
        <v>2</v>
      </c>
    </row>
    <row r="37" customFormat="false" ht="15" hidden="false" customHeight="false" outlineLevel="0" collapsed="false">
      <c r="A37" s="4" t="s">
        <v>1382</v>
      </c>
      <c r="B37" s="13" t="n">
        <f aca="false">評價_DCF與目標價!C25</f>
        <v>0</v>
      </c>
    </row>
    <row r="38" customFormat="false" ht="15" hidden="false" customHeight="false" outlineLevel="0" collapsed="false">
      <c r="A38" s="3" t="s">
        <v>1208</v>
      </c>
      <c r="B38" s="13" t="n">
        <f aca="false">評價_DCF與目標價!C47</f>
        <v>47.9384361086369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1383</v>
      </c>
    </row>
    <row r="2" customFormat="false" ht="15" hidden="false" customHeight="false" outlineLevel="0" collapsed="false">
      <c r="A2" s="12" t="s">
        <v>1384</v>
      </c>
    </row>
    <row r="4" customFormat="false" ht="15" hidden="false" customHeight="false" outlineLevel="0" collapsed="false">
      <c r="A4" s="15" t="s">
        <v>1385</v>
      </c>
      <c r="B4" s="15" t="s">
        <v>1386</v>
      </c>
      <c r="C4" s="15" t="s">
        <v>1387</v>
      </c>
      <c r="D4" s="15" t="s">
        <v>1388</v>
      </c>
      <c r="E4" s="15" t="s">
        <v>1389</v>
      </c>
    </row>
    <row r="5" customFormat="false" ht="39.55" hidden="false" customHeight="false" outlineLevel="0" collapsed="false">
      <c r="A5" s="100" t="s">
        <v>1390</v>
      </c>
      <c r="B5" s="100" t="s">
        <v>1391</v>
      </c>
      <c r="C5" s="101" t="s">
        <v>1392</v>
      </c>
      <c r="D5" s="102" t="s">
        <v>1393</v>
      </c>
      <c r="E5" s="101" t="s">
        <v>1394</v>
      </c>
    </row>
    <row r="6" customFormat="false" ht="26.85" hidden="false" customHeight="false" outlineLevel="0" collapsed="false">
      <c r="A6" s="100" t="s">
        <v>1395</v>
      </c>
      <c r="B6" s="100" t="s">
        <v>1396</v>
      </c>
      <c r="C6" s="101" t="s">
        <v>1397</v>
      </c>
      <c r="D6" s="102" t="s">
        <v>1393</v>
      </c>
      <c r="E6" s="101" t="s">
        <v>1398</v>
      </c>
    </row>
    <row r="7" customFormat="false" ht="26.85" hidden="false" customHeight="false" outlineLevel="0" collapsed="false">
      <c r="A7" s="100" t="s">
        <v>1399</v>
      </c>
      <c r="B7" s="100" t="s">
        <v>1396</v>
      </c>
      <c r="C7" s="101" t="s">
        <v>1400</v>
      </c>
      <c r="D7" s="102" t="s">
        <v>1401</v>
      </c>
      <c r="E7" s="101" t="s">
        <v>1402</v>
      </c>
    </row>
    <row r="8" customFormat="false" ht="26.85" hidden="false" customHeight="false" outlineLevel="0" collapsed="false">
      <c r="A8" s="100" t="s">
        <v>1403</v>
      </c>
      <c r="B8" s="100" t="s">
        <v>1396</v>
      </c>
      <c r="C8" s="101" t="s">
        <v>1404</v>
      </c>
      <c r="D8" s="102" t="s">
        <v>1401</v>
      </c>
      <c r="E8" s="101" t="s">
        <v>1405</v>
      </c>
    </row>
    <row r="9" customFormat="false" ht="26.85" hidden="false" customHeight="false" outlineLevel="0" collapsed="false">
      <c r="A9" s="100" t="s">
        <v>1406</v>
      </c>
      <c r="B9" s="100" t="s">
        <v>1407</v>
      </c>
      <c r="C9" s="101" t="s">
        <v>1408</v>
      </c>
      <c r="D9" s="102" t="s">
        <v>1401</v>
      </c>
      <c r="E9" s="101" t="s">
        <v>1402</v>
      </c>
    </row>
    <row r="10" customFormat="false" ht="26.85" hidden="false" customHeight="false" outlineLevel="0" collapsed="false">
      <c r="A10" s="100" t="s">
        <v>1409</v>
      </c>
      <c r="B10" s="100" t="s">
        <v>1407</v>
      </c>
      <c r="C10" s="103" t="s">
        <v>1410</v>
      </c>
      <c r="D10" s="102" t="s">
        <v>1401</v>
      </c>
      <c r="E10" s="101" t="s">
        <v>1411</v>
      </c>
    </row>
    <row r="11" customFormat="false" ht="26.85" hidden="false" customHeight="false" outlineLevel="0" collapsed="false">
      <c r="A11" s="100" t="s">
        <v>1412</v>
      </c>
      <c r="B11" s="100" t="s">
        <v>1407</v>
      </c>
      <c r="C11" s="103" t="s">
        <v>1413</v>
      </c>
      <c r="D11" s="102" t="s">
        <v>1414</v>
      </c>
      <c r="E11" s="101" t="s">
        <v>1415</v>
      </c>
    </row>
    <row r="12" customFormat="false" ht="26.85" hidden="false" customHeight="false" outlineLevel="0" collapsed="false">
      <c r="A12" s="100" t="s">
        <v>1416</v>
      </c>
      <c r="B12" s="100" t="s">
        <v>1407</v>
      </c>
      <c r="C12" s="101" t="s">
        <v>1417</v>
      </c>
      <c r="D12" s="102" t="s">
        <v>1414</v>
      </c>
      <c r="E12" s="101" t="s">
        <v>1418</v>
      </c>
    </row>
    <row r="13" customFormat="false" ht="15" hidden="false" customHeight="false" outlineLevel="0" collapsed="false">
      <c r="A13" s="100" t="s">
        <v>1419</v>
      </c>
      <c r="B13" s="100" t="s">
        <v>1420</v>
      </c>
      <c r="C13" s="101" t="s">
        <v>1421</v>
      </c>
      <c r="D13" s="102" t="s">
        <v>1414</v>
      </c>
      <c r="E13" s="101" t="s">
        <v>1422</v>
      </c>
    </row>
    <row r="14" customFormat="false" ht="15" hidden="false" customHeight="false" outlineLevel="0" collapsed="false">
      <c r="A14" s="100" t="s">
        <v>1423</v>
      </c>
      <c r="B14" s="100" t="s">
        <v>1420</v>
      </c>
      <c r="C14" s="101" t="s">
        <v>1424</v>
      </c>
      <c r="D14" s="102" t="s">
        <v>1414</v>
      </c>
      <c r="E14" s="101" t="s">
        <v>1418</v>
      </c>
    </row>
    <row r="15" customFormat="false" ht="15" hidden="false" customHeight="false" outlineLevel="0" collapsed="false">
      <c r="A15" s="100" t="s">
        <v>1425</v>
      </c>
      <c r="B15" s="100" t="s">
        <v>1420</v>
      </c>
      <c r="C15" s="101" t="s">
        <v>1426</v>
      </c>
      <c r="D15" s="102" t="s">
        <v>1414</v>
      </c>
      <c r="E15" s="101" t="s">
        <v>1418</v>
      </c>
    </row>
    <row r="16" customFormat="false" ht="15" hidden="false" customHeight="false" outlineLevel="0" collapsed="false">
      <c r="A16" s="100" t="s">
        <v>1427</v>
      </c>
      <c r="B16" s="100" t="s">
        <v>1420</v>
      </c>
      <c r="C16" s="103" t="s">
        <v>1428</v>
      </c>
      <c r="D16" s="102" t="s">
        <v>1414</v>
      </c>
      <c r="E16" s="101" t="s">
        <v>1429</v>
      </c>
    </row>
    <row r="17" customFormat="false" ht="15" hidden="false" customHeight="false" outlineLevel="0" collapsed="false">
      <c r="A17" s="100" t="s">
        <v>1430</v>
      </c>
      <c r="B17" s="100" t="s">
        <v>1420</v>
      </c>
      <c r="C17" s="103" t="s">
        <v>1431</v>
      </c>
      <c r="D17" s="102" t="s">
        <v>1414</v>
      </c>
      <c r="E17" s="101" t="s">
        <v>1418</v>
      </c>
    </row>
    <row r="18" customFormat="false" ht="15" hidden="false" customHeight="false" outlineLevel="0" collapsed="false">
      <c r="A18" s="100" t="s">
        <v>1432</v>
      </c>
      <c r="B18" s="100" t="s">
        <v>1420</v>
      </c>
      <c r="C18" s="101" t="s">
        <v>1433</v>
      </c>
      <c r="D18" s="102" t="s">
        <v>1414</v>
      </c>
      <c r="E18" s="101" t="s">
        <v>1434</v>
      </c>
    </row>
    <row r="19" customFormat="false" ht="15" hidden="false" customHeight="false" outlineLevel="0" collapsed="false">
      <c r="A19" s="100" t="s">
        <v>1435</v>
      </c>
      <c r="B19" s="100" t="s">
        <v>1436</v>
      </c>
      <c r="C19" s="101" t="s">
        <v>1437</v>
      </c>
      <c r="D19" s="102" t="s">
        <v>1414</v>
      </c>
      <c r="E19" s="101" t="s">
        <v>1418</v>
      </c>
    </row>
    <row r="20" customFormat="false" ht="15" hidden="false" customHeight="false" outlineLevel="0" collapsed="false">
      <c r="A20" s="100" t="s">
        <v>1438</v>
      </c>
      <c r="B20" s="100" t="s">
        <v>1436</v>
      </c>
      <c r="C20" s="101" t="s">
        <v>1439</v>
      </c>
      <c r="D20" s="102" t="s">
        <v>1414</v>
      </c>
      <c r="E20" s="101" t="s">
        <v>1418</v>
      </c>
    </row>
    <row r="21" customFormat="false" ht="15" hidden="false" customHeight="false" outlineLevel="0" collapsed="false">
      <c r="A21" s="100" t="s">
        <v>1440</v>
      </c>
      <c r="B21" s="100" t="s">
        <v>1436</v>
      </c>
      <c r="C21" s="103" t="s">
        <v>1441</v>
      </c>
      <c r="D21" s="102" t="s">
        <v>1414</v>
      </c>
      <c r="E21" s="101" t="s">
        <v>1442</v>
      </c>
    </row>
    <row r="22" customFormat="false" ht="15" hidden="false" customHeight="false" outlineLevel="0" collapsed="false">
      <c r="A22" s="100" t="s">
        <v>1443</v>
      </c>
      <c r="B22" s="100" t="s">
        <v>1436</v>
      </c>
      <c r="C22" s="103" t="s">
        <v>1444</v>
      </c>
      <c r="D22" s="102" t="s">
        <v>1445</v>
      </c>
      <c r="E22" s="101" t="s">
        <v>1418</v>
      </c>
    </row>
    <row r="23" customFormat="false" ht="15" hidden="false" customHeight="false" outlineLevel="0" collapsed="false">
      <c r="A23" s="100" t="s">
        <v>1446</v>
      </c>
      <c r="B23" s="100" t="s">
        <v>1436</v>
      </c>
      <c r="C23" s="101" t="s">
        <v>1447</v>
      </c>
      <c r="D23" s="102" t="s">
        <v>1445</v>
      </c>
      <c r="E23" s="101" t="s">
        <v>1418</v>
      </c>
    </row>
    <row r="24" customFormat="false" ht="15" hidden="false" customHeight="false" outlineLevel="0" collapsed="false">
      <c r="A24" s="100" t="s">
        <v>1448</v>
      </c>
      <c r="B24" s="100" t="s">
        <v>1436</v>
      </c>
      <c r="C24" s="101" t="s">
        <v>1449</v>
      </c>
      <c r="D24" s="102" t="s">
        <v>1445</v>
      </c>
      <c r="E24" s="101" t="s">
        <v>1450</v>
      </c>
    </row>
    <row r="25" customFormat="false" ht="15" hidden="false" customHeight="false" outlineLevel="0" collapsed="false">
      <c r="A25" s="100" t="s">
        <v>1451</v>
      </c>
      <c r="B25" s="100" t="s">
        <v>1452</v>
      </c>
      <c r="C25" s="101" t="s">
        <v>1453</v>
      </c>
      <c r="D25" s="102" t="s">
        <v>1454</v>
      </c>
      <c r="E25" s="101" t="s">
        <v>1455</v>
      </c>
    </row>
    <row r="26" customFormat="false" ht="15" hidden="false" customHeight="false" outlineLevel="0" collapsed="false">
      <c r="A26" s="100" t="s">
        <v>1456</v>
      </c>
      <c r="B26" s="100" t="s">
        <v>1457</v>
      </c>
      <c r="C26" s="101" t="s">
        <v>1458</v>
      </c>
      <c r="D26" s="102" t="s">
        <v>1459</v>
      </c>
      <c r="E26" s="101" t="s">
        <v>1460</v>
      </c>
    </row>
    <row r="27" customFormat="false" ht="15" hidden="false" customHeight="false" outlineLevel="0" collapsed="false">
      <c r="A27" s="100" t="s">
        <v>1461</v>
      </c>
      <c r="B27" s="100" t="s">
        <v>1457</v>
      </c>
      <c r="C27" s="101" t="s">
        <v>1462</v>
      </c>
      <c r="D27" s="102" t="s">
        <v>1414</v>
      </c>
      <c r="E27" s="101" t="s">
        <v>1463</v>
      </c>
    </row>
    <row r="28" customFormat="false" ht="15" hidden="false" customHeight="false" outlineLevel="0" collapsed="false">
      <c r="A28" s="100" t="s">
        <v>1464</v>
      </c>
      <c r="B28" s="100" t="s">
        <v>1457</v>
      </c>
      <c r="C28" s="103" t="s">
        <v>1465</v>
      </c>
      <c r="D28" s="102" t="s">
        <v>1466</v>
      </c>
      <c r="E28" s="101" t="s">
        <v>1418</v>
      </c>
    </row>
    <row r="29" customFormat="false" ht="15" hidden="false" customHeight="false" outlineLevel="0" collapsed="false">
      <c r="A29" s="100" t="s">
        <v>1467</v>
      </c>
      <c r="B29" s="100" t="s">
        <v>1457</v>
      </c>
      <c r="C29" s="101" t="s">
        <v>1468</v>
      </c>
      <c r="D29" s="102" t="s">
        <v>1466</v>
      </c>
      <c r="E29" s="103" t="s">
        <v>1469</v>
      </c>
    </row>
    <row r="30" customFormat="false" ht="15" hidden="false" customHeight="false" outlineLevel="0" collapsed="false">
      <c r="A30" s="100" t="s">
        <v>1470</v>
      </c>
      <c r="B30" s="100" t="s">
        <v>1457</v>
      </c>
      <c r="C30" s="103" t="s">
        <v>1471</v>
      </c>
      <c r="D30" s="102" t="s">
        <v>1472</v>
      </c>
      <c r="E30" s="101" t="s">
        <v>1418</v>
      </c>
    </row>
    <row r="31" customFormat="false" ht="15" hidden="false" customHeight="false" outlineLevel="0" collapsed="false">
      <c r="A31" s="100" t="s">
        <v>1473</v>
      </c>
      <c r="B31" s="100" t="s">
        <v>1457</v>
      </c>
      <c r="C31" s="101" t="s">
        <v>1474</v>
      </c>
      <c r="D31" s="102" t="s">
        <v>1472</v>
      </c>
      <c r="E31" s="103" t="s">
        <v>1475</v>
      </c>
    </row>
    <row r="32" customFormat="false" ht="15" hidden="false" customHeight="false" outlineLevel="0" collapsed="false">
      <c r="A32" s="100" t="s">
        <v>1476</v>
      </c>
      <c r="B32" s="100" t="s">
        <v>1457</v>
      </c>
      <c r="C32" s="101" t="s">
        <v>1477</v>
      </c>
      <c r="D32" s="102" t="s">
        <v>1478</v>
      </c>
      <c r="E32" s="101" t="s">
        <v>1418</v>
      </c>
    </row>
    <row r="33" customFormat="false" ht="15" hidden="false" customHeight="false" outlineLevel="0" collapsed="false">
      <c r="A33" s="100" t="s">
        <v>1479</v>
      </c>
      <c r="B33" s="100" t="s">
        <v>1457</v>
      </c>
      <c r="C33" s="103" t="s">
        <v>1480</v>
      </c>
      <c r="D33" s="102" t="s">
        <v>1478</v>
      </c>
      <c r="E33" s="101" t="s">
        <v>1418</v>
      </c>
    </row>
    <row r="34" customFormat="false" ht="15" hidden="false" customHeight="false" outlineLevel="0" collapsed="false">
      <c r="A34" s="100" t="s">
        <v>1481</v>
      </c>
      <c r="B34" s="100" t="s">
        <v>1457</v>
      </c>
      <c r="C34" s="103" t="s">
        <v>1482</v>
      </c>
      <c r="D34" s="102" t="s">
        <v>1478</v>
      </c>
      <c r="E34" s="101" t="s">
        <v>1483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1484</v>
      </c>
    </row>
    <row r="3" customFormat="false" ht="15" hidden="false" customHeight="false" outlineLevel="0" collapsed="false">
      <c r="A3" s="15" t="s">
        <v>1485</v>
      </c>
      <c r="B3" s="15" t="s">
        <v>1486</v>
      </c>
    </row>
    <row r="4" customFormat="false" ht="45.75" hidden="false" customHeight="true" outlineLevel="0" collapsed="false">
      <c r="A4" s="5" t="s">
        <v>431</v>
      </c>
      <c r="B4" s="103" t="s">
        <v>1487</v>
      </c>
    </row>
    <row r="5" customFormat="false" ht="45.75" hidden="false" customHeight="true" outlineLevel="0" collapsed="false">
      <c r="A5" s="5" t="s">
        <v>431</v>
      </c>
      <c r="B5" s="101" t="s">
        <v>1488</v>
      </c>
    </row>
    <row r="6" customFormat="false" ht="45.75" hidden="false" customHeight="true" outlineLevel="0" collapsed="false">
      <c r="A6" s="5" t="s">
        <v>431</v>
      </c>
      <c r="B6" s="103" t="s">
        <v>1489</v>
      </c>
    </row>
    <row r="7" customFormat="false" ht="45.75" hidden="false" customHeight="true" outlineLevel="0" collapsed="false">
      <c r="A7" s="5" t="s">
        <v>431</v>
      </c>
      <c r="B7" s="101" t="s">
        <v>1490</v>
      </c>
    </row>
    <row r="8" customFormat="false" ht="45.75" hidden="false" customHeight="true" outlineLevel="0" collapsed="false">
      <c r="A8" s="5" t="s">
        <v>431</v>
      </c>
      <c r="B8" s="101" t="s">
        <v>1491</v>
      </c>
    </row>
    <row r="9" customFormat="false" ht="45.75" hidden="false" customHeight="true" outlineLevel="0" collapsed="false">
      <c r="A9" s="5" t="s">
        <v>431</v>
      </c>
      <c r="B9" s="103" t="s">
        <v>1492</v>
      </c>
    </row>
    <row r="10" customFormat="false" ht="45.75" hidden="false" customHeight="true" outlineLevel="0" collapsed="false">
      <c r="A10" s="5" t="s">
        <v>431</v>
      </c>
      <c r="B10" s="101" t="s">
        <v>1493</v>
      </c>
    </row>
    <row r="11" customFormat="false" ht="45.75" hidden="false" customHeight="true" outlineLevel="0" collapsed="false">
      <c r="A11" s="5" t="s">
        <v>436</v>
      </c>
      <c r="B11" s="101" t="s">
        <v>1494</v>
      </c>
    </row>
    <row r="12" customFormat="false" ht="45.75" hidden="false" customHeight="true" outlineLevel="0" collapsed="false">
      <c r="A12" s="5" t="s">
        <v>436</v>
      </c>
      <c r="B12" s="101" t="s">
        <v>1495</v>
      </c>
    </row>
    <row r="13" customFormat="false" ht="45.75" hidden="false" customHeight="true" outlineLevel="0" collapsed="false">
      <c r="A13" s="5" t="s">
        <v>436</v>
      </c>
      <c r="B13" s="103" t="s">
        <v>1496</v>
      </c>
    </row>
    <row r="14" customFormat="false" ht="45.75" hidden="false" customHeight="true" outlineLevel="0" collapsed="false">
      <c r="A14" s="5" t="s">
        <v>1497</v>
      </c>
      <c r="B14" s="103" t="s">
        <v>1498</v>
      </c>
    </row>
    <row r="15" customFormat="false" ht="45.75" hidden="false" customHeight="true" outlineLevel="0" collapsed="false">
      <c r="A15" s="5" t="s">
        <v>1499</v>
      </c>
      <c r="B15" s="103" t="s">
        <v>1500</v>
      </c>
    </row>
    <row r="16" customFormat="false" ht="45.75" hidden="false" customHeight="true" outlineLevel="0" collapsed="false">
      <c r="A16" s="5" t="s">
        <v>1501</v>
      </c>
      <c r="B16" s="103" t="s">
        <v>1502</v>
      </c>
    </row>
    <row r="17" customFormat="false" ht="45.75" hidden="false" customHeight="true" outlineLevel="0" collapsed="false">
      <c r="A17" s="5" t="s">
        <v>436</v>
      </c>
      <c r="B17" s="101" t="s">
        <v>1503</v>
      </c>
    </row>
    <row r="18" customFormat="false" ht="45.75" hidden="false" customHeight="true" outlineLevel="0" collapsed="false">
      <c r="A18" s="5" t="s">
        <v>431</v>
      </c>
      <c r="B18" s="103" t="s">
        <v>1504</v>
      </c>
    </row>
    <row r="19" customFormat="false" ht="45.75" hidden="false" customHeight="true" outlineLevel="0" collapsed="false">
      <c r="A19" s="2" t="s">
        <v>1505</v>
      </c>
      <c r="B19" s="103" t="s">
        <v>1506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2026-09-26T10:13:56Z</dcterms:created>
  <dc:creator>openpyxl</dc:creator>
  <dc:description/>
  <dc:language>en-US</dc:language>
  <cp:lastModifiedBy/>
  <dcterms:modified xsi:type="dcterms:W3CDTF">2026-09-26T10:13:56Z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