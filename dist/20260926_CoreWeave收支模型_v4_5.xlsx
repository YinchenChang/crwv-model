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資產負債_既有債務" sheetId="8" state="visible" r:id="rId10"/>
    <sheet name="資產負債_新債與新股" sheetId="9" state="visible" r:id="rId11"/>
    <sheet name="資產負債_租賃承諾" sheetId="10" state="visible" r:id="rId12"/>
    <sheet name="損益" sheetId="11" state="visible" r:id="rId13"/>
    <sheet name="評價_DCF與目標價" sheetId="12" state="visible" r:id="rId14"/>
    <sheet name="評價_反向DCF" sheetId="13" state="visible" r:id="rId15"/>
    <sheet name="評價_可比公司" sheetId="14" state="visible" r:id="rId16"/>
    <sheet name="檢查_連動" sheetId="15" state="visible" r:id="rId17"/>
    <sheet name="檢查_版本紀錄" sheetId="16" state="visible" r:id="rId18"/>
    <sheet name="來源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<sst xmlns="http://schemas.openxmlformats.org/spreadsheetml/2006/main" count="2583" uniqueCount="1580">
  <si>
    <r>
      <rPr>
        <b val="true"/>
        <sz val="14"/>
        <rFont val="Arial"/>
        <family val="0"/>
        <charset val="1"/>
      </rPr>
      <t xml:space="preserve">CoreWeave </t>
    </r>
    <r>
      <rPr>
        <b val="true"/>
        <sz val="14"/>
        <rFont val="WenQuanYi Zen Hei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WenQuanYi Zen Hei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v4.5</t>
    </r>
    <r>
      <rPr>
        <b val="true"/>
        <sz val="14"/>
        <rFont val="WenQuanYi Zen Hei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2026-09-25</t>
    </r>
    <r>
      <rPr>
        <b val="true"/>
        <sz val="14"/>
        <rFont val="WenQuanYi Zen Hei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v4.5 </t>
    </r>
    <r>
      <rPr>
        <b val="true"/>
        <sz val="14"/>
        <rFont val="WenQuanYi Zen Hei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2026-09-24 </t>
    </r>
    <r>
      <rPr>
        <b val="true"/>
        <sz val="14"/>
        <rFont val="WenQuanYi Zen Hei"/>
        <family val="2"/>
      </rPr>
      <t xml:space="preserve">收盤）</t>
    </r>
  </si>
  <si>
    <t xml:space="preserve">這個活頁簿在回答什麼</t>
  </si>
  <si>
    <r>
      <rPr>
        <sz val="10"/>
        <rFont val="WenQuanYi Zen Hei"/>
        <family val="2"/>
      </rPr>
      <t xml:space="preserve">一句話：</t>
    </r>
    <r>
      <rPr>
        <sz val="10"/>
        <rFont val="Arial"/>
        <family val="0"/>
        <charset val="1"/>
      </rPr>
      <t xml:space="preserve">CoreWeave </t>
    </r>
    <r>
      <rPr>
        <sz val="10"/>
        <rFont val="WenQuanYi Zen Hei"/>
        <family val="2"/>
      </rPr>
      <t xml:space="preserve">手上 </t>
    </r>
    <r>
      <rPr>
        <sz val="10"/>
        <rFont val="Arial"/>
        <family val="0"/>
        <charset val="1"/>
      </rPr>
      <t xml:space="preserve">$103.7bn </t>
    </r>
    <r>
      <rPr>
        <sz val="10"/>
        <rFont val="WenQuanYi Zen Hei"/>
        <family val="2"/>
      </rPr>
      <t xml:space="preserve">的合約（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</rPr>
      <t xml:space="preserve">）在 </t>
    </r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年前能變成多少現金，而同一段時間要付出多少現金——</t>
    </r>
  </si>
  <si>
    <t xml:space="preserve">差額就是必須向外籌措的金額。所有分頁用同一組數字，改任何一個輸入，後面全部會跟著動。</t>
  </si>
  <si>
    <t xml:space="preserve">分頁結構（依模組分組，分頁標籤顏色相同者為同一模組）</t>
  </si>
  <si>
    <r>
      <rPr>
        <sz val="10"/>
        <rFont val="WenQuanYi Zen Hei"/>
        <family val="2"/>
      </rPr>
      <t xml:space="preserve">摘要            一頁摘要：結論、與市場共識的差異、現價隱含什麼、驗證點（</t>
    </r>
    <r>
      <rPr>
        <sz val="10"/>
        <rFont val="Arial"/>
        <family val="0"/>
        <charset val="1"/>
      </rPr>
      <t xml:space="preserve">v4.3</t>
    </r>
    <r>
      <rPr>
        <sz val="10"/>
        <rFont val="WenQuanYi Zen Hei"/>
        <family val="2"/>
      </rPr>
      <t xml:space="preserve">；全部活公式）。</t>
    </r>
  </si>
  <si>
    <r>
      <rPr>
        <sz val="10"/>
        <rFont val="WenQuanYi Zen Hei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WenQuanYi Zen Hei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WenQuanYi Zen Hei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WenQuanYi Zen Hei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WenQuanYi Zen Hei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WenQuanYi Zen Hei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WenQuanYi Zen Hei"/>
        <family val="2"/>
      </rPr>
      <t xml:space="preserve">評價 → </t>
    </r>
    <r>
      <rPr>
        <sz val="10"/>
        <rFont val="Arial"/>
        <family val="0"/>
        <charset val="1"/>
      </rPr>
      <t xml:space="preserve">G 1H </t>
    </r>
    <r>
      <rPr>
        <sz val="10"/>
        <rFont val="WenQuanYi Zen Hei"/>
        <family val="2"/>
      </rPr>
      <t xml:space="preserve">實際 → </t>
    </r>
    <r>
      <rPr>
        <sz val="10"/>
        <rFont val="Arial"/>
        <family val="0"/>
        <charset val="1"/>
      </rPr>
      <t xml:space="preserve">H </t>
    </r>
    <r>
      <rPr>
        <sz val="10"/>
        <rFont val="WenQuanYi Zen Hei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WenQuanYi Zen Hei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WenQuanYi Zen Hei"/>
        <family val="2"/>
      </rPr>
      <t xml:space="preserve">季度追蹤輸入）。</t>
    </r>
  </si>
  <si>
    <t xml:space="preserve">各期收支        類現金流量：來源、用途、融資前缺口、期前融資瀑布。</t>
  </si>
  <si>
    <r>
      <rPr>
        <sz val="10"/>
        <rFont val="WenQuanYi Zen Hei"/>
        <family val="2"/>
      </rPr>
      <t xml:space="preserve">季度追蹤        焦點季的模型／共識／指引／實際與差距（</t>
    </r>
    <r>
      <rPr>
        <sz val="10"/>
        <rFont val="Arial"/>
        <family val="0"/>
        <charset val="1"/>
      </rPr>
      <t xml:space="preserve">v4.4</t>
    </r>
    <r>
      <rPr>
        <sz val="10"/>
        <rFont val="WenQuanYi Zen Hei"/>
        <family val="2"/>
      </rPr>
      <t xml:space="preserve">；由年度模型拆分，只用於追蹤；實際數填在輸入與假設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WenQuanYi Zen Hei"/>
        <family val="2"/>
      </rPr>
      <t xml:space="preserve">區）。</t>
    </r>
  </si>
  <si>
    <r>
      <rPr>
        <sz val="10"/>
        <rFont val="WenQuanYi Zen Hei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產能與收入  合約排程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機房產能 → 收入 → 現金；運營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站點：房東揭露與租金檢驗。</t>
    </r>
  </si>
  <si>
    <r>
      <rPr>
        <sz val="10"/>
        <rFont val="WenQuanYi Zen Hei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既有債務／新債與新股／租賃承諾  類資產負債表：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債務明細、每期現金與總債務與股數、租賃承諾。</t>
    </r>
  </si>
  <si>
    <r>
      <rPr>
        <sz val="10"/>
        <rFont val="WenQuanYi Zen Hei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實際＋下半年模型）。</t>
    </r>
  </si>
  <si>
    <r>
      <rPr>
        <sz val="10"/>
        <rFont val="WenQuanYi Zen Hei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WenQuanYi Zen Hei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WenQuanYi Zen Hei"/>
        <family val="2"/>
      </rPr>
      <t xml:space="preserve">比較。</t>
    </r>
  </si>
  <si>
    <r>
      <rPr>
        <sz val="10"/>
        <rFont val="WenQuanYi Zen Hei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WenQuanYi Zen Hei"/>
        <family val="2"/>
      </rPr>
      <t xml:space="preserve">現價隱含的收入與成本（目標搜尋＋</t>
    </r>
    <r>
      <rPr>
        <sz val="10"/>
        <rFont val="Arial"/>
        <family val="0"/>
        <charset val="1"/>
      </rPr>
      <t xml:space="preserve">HTML </t>
    </r>
    <r>
      <rPr>
        <sz val="10"/>
        <rFont val="WenQuanYi Zen Hei"/>
        <family val="2"/>
      </rPr>
      <t xml:space="preserve">快照）。</t>
    </r>
  </si>
  <si>
    <r>
      <rPr>
        <sz val="10"/>
        <rFont val="WenQuanYi Zen Hei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版本紀錄  恆等式與口徑檢查；每一版的變更與目標價；來源：每個硬編碼數字的出處。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</si>
  <si>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</si>
  <si>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</si>
  <si>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WenQuanYi Zen Hei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說明與來源</t>
    </r>
  </si>
  <si>
    <t xml:space="preserve">■ 重點：容量上限與產能瓶頸是什麼關係</t>
  </si>
  <si>
    <t xml:space="preserve">這是整個模型最常被誤解的地方，所以單獨說明。</t>
  </si>
  <si>
    <t xml:space="preserve">兩條線各自獨立產生：</t>
  </si>
  <si>
    <r>
      <rPr>
        <sz val="10"/>
        <rFont val="Arial"/>
        <family val="0"/>
        <charset val="1"/>
      </rPr>
      <t xml:space="preserve">  (A) </t>
    </r>
    <r>
      <rPr>
        <sz val="10"/>
        <rFont val="WenQuanYi Zen Hei"/>
        <family val="2"/>
      </rPr>
      <t xml:space="preserve">排程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＝ 已簽約、依 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揭露的時程「應該」在本期認列的收入。</t>
    </r>
  </si>
  <si>
    <r>
      <rPr>
        <sz val="10"/>
        <rFont val="WenQuanYi Zen Hei"/>
        <family val="2"/>
      </rPr>
      <t xml:space="preserve">      公式：</t>
    </r>
    <r>
      <rPr>
        <sz val="10"/>
        <rFont val="Arial"/>
        <family val="0"/>
        <charset val="1"/>
      </rPr>
      <t xml:space="preserve">(6/30 RPO </t>
    </r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新增承諾</t>
    </r>
    <r>
      <rPr>
        <sz val="10"/>
        <rFont val="Arial"/>
        <family val="0"/>
        <charset val="1"/>
      </rPr>
      <t xml:space="preserve">) × </t>
    </r>
    <r>
      <rPr>
        <sz val="10"/>
        <rFont val="WenQuanYi Zen Hei"/>
        <family val="2"/>
      </rPr>
      <t xml:space="preserve">本期權重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權重合計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五期認列比例</t>
    </r>
  </si>
  <si>
    <t xml:space="preserve">      這條線只看合約，完全不管機房蓋好了沒。</t>
  </si>
  <si>
    <r>
      <rPr>
        <sz val="10"/>
        <rFont val="Arial"/>
        <family val="0"/>
        <charset val="1"/>
      </rPr>
      <t xml:space="preserve">  (B) </t>
    </r>
    <r>
      <rPr>
        <sz val="10"/>
        <rFont val="WenQuanYi Zen Hei"/>
        <family val="2"/>
      </rPr>
      <t xml:space="preserve">容量上限 ＝ 本期實際能交付的最大收入 ＝ 平均在役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期間係數。</t>
    </r>
  </si>
  <si>
    <t xml:space="preserve">      這條線只看機房，完全不管簽了多少約。</t>
  </si>
  <si>
    <t xml:space="preserve">兩條線相減，方向決定意義：</t>
  </si>
  <si>
    <r>
      <rPr>
        <sz val="10"/>
        <rFont val="WenQuanYi Zen Hei"/>
        <family val="2"/>
      </rPr>
      <t xml:space="preserve">  排程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容量 → 差額＝『產能瓶頸』。合約在手但機房還沒好，這段收入本期收不到，</t>
    </r>
  </si>
  <si>
    <t xml:space="preserve">      也不遞延到下期（模型不做遞延，是保守處理）。本期收入 ＝ 排程 − 瓶頸 ＝ 容量上限。</t>
  </si>
  <si>
    <r>
      <rPr>
        <sz val="10"/>
        <rFont val="WenQuanYi Zen Hei"/>
        <family val="2"/>
      </rPr>
      <t xml:space="preserve">  容量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排程 → 差額＝『未被期初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占用的產能』。機房好了但期初合約沒占滿，</t>
    </r>
  </si>
  <si>
    <t xml:space="preserve">      這段要靠新簽約來賣，乘上『新產能簽約率』後成為『新簽約收入』，賣不掉的是『未售產能』。</t>
  </si>
  <si>
    <r>
      <rPr>
        <sz val="10"/>
        <rFont val="WenQuanYi Zen Hei"/>
        <family val="2"/>
      </rPr>
      <t xml:space="preserve">所以本模型的收入有兩個來源，而且互斥：期初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轉換（受容量封頂）＋ 新簽約（用剩餘容量）。</t>
    </r>
  </si>
  <si>
    <r>
      <rPr>
        <sz val="10"/>
        <rFont val="WenQuanYi Zen Hei"/>
        <family val="2"/>
      </rPr>
      <t xml:space="preserve">基準路徑下，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下半年與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是瓶頸期（合約多於機房），</t>
    </r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之後反轉為產能多於期初合約——</t>
    </r>
  </si>
  <si>
    <r>
      <rPr>
        <sz val="10"/>
        <rFont val="WenQuanYi Zen Hei"/>
        <family val="2"/>
      </rPr>
      <t xml:space="preserve">這就是為什麼 </t>
    </r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起的收入愈來愈依賴『還沒簽的約』，也是 </t>
    </r>
    <r>
      <rPr>
        <sz val="10"/>
        <rFont val="Arial"/>
        <family val="0"/>
        <charset val="1"/>
      </rPr>
      <t xml:space="preserve">8 GW </t>
    </r>
    <r>
      <rPr>
        <sz val="10"/>
        <rFont val="WenQuanYi Zen Hei"/>
        <family val="2"/>
      </rPr>
      <t xml:space="preserve">敘事的真正風險所在。</t>
    </r>
  </si>
  <si>
    <t xml:space="preserve">■ 收入之後的三道折扣（產能與收入頁）</t>
  </si>
  <si>
    <r>
      <rPr>
        <sz val="10"/>
        <rFont val="WenQuanYi Zen Hei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WenQuanYi Zen Hei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）→ 收現 → 乘『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率』→ 可支應資本用途的現金。</t>
    </r>
  </si>
  <si>
    <t xml:space="preserve">  貢獻率是租金與利息『之前』的比率，因為租金與利息在支出頁單獨列示，不可在此重複扣除。</t>
  </si>
  <si>
    <r>
      <rPr>
        <sz val="10"/>
        <rFont val="Arial"/>
        <family val="0"/>
        <charset val="1"/>
      </rPr>
      <t xml:space="preserve">  Q2 </t>
    </r>
    <r>
      <rPr>
        <sz val="10"/>
        <rFont val="WenQuanYi Zen Hei"/>
        <family val="2"/>
      </rPr>
      <t xml:space="preserve">反推上限：</t>
    </r>
    <r>
      <rPr>
        <sz val="10"/>
        <rFont val="Arial"/>
        <family val="0"/>
        <charset val="1"/>
      </rPr>
      <t xml:space="preserve">Adj. EBITDA </t>
    </r>
    <r>
      <rPr>
        <sz val="10"/>
        <rFont val="WenQuanYi Zen Hei"/>
        <family val="2"/>
      </rPr>
      <t xml:space="preserve">率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（已扣營業租賃 </t>
    </r>
    <r>
      <rPr>
        <sz val="10"/>
        <rFont val="Arial"/>
        <family val="0"/>
        <charset val="1"/>
      </rPr>
      <t xml:space="preserve">0.500</t>
    </r>
    <r>
      <rPr>
        <sz val="10"/>
        <rFont val="WenQuanYi Zen Hei"/>
        <family val="2"/>
      </rPr>
      <t xml:space="preserve">＋變動租賃 </t>
    </r>
    <r>
      <rPr>
        <sz val="10"/>
        <rFont val="Arial"/>
        <family val="0"/>
        <charset val="1"/>
      </rPr>
      <t xml:space="preserve">0.150</t>
    </r>
    <r>
      <rPr>
        <sz val="10"/>
        <rFont val="WenQuanYi Zen Hei"/>
        <family val="2"/>
      </rPr>
      <t xml:space="preserve">，約營收 </t>
    </r>
    <r>
      <rPr>
        <sz val="10"/>
        <rFont val="Arial"/>
        <family val="0"/>
        <charset val="1"/>
      </rPr>
      <t xml:space="preserve">25%</t>
    </r>
    <r>
      <rPr>
        <sz val="10"/>
        <rFont val="WenQuanYi Zen Hei"/>
        <family val="2"/>
      </rPr>
      <t xml:space="preserve">）→ 租金前約 </t>
    </r>
    <r>
      <rPr>
        <sz val="10"/>
        <rFont val="Arial"/>
        <family val="0"/>
        <charset val="1"/>
      </rPr>
      <t xml:space="preserve">84%</t>
    </r>
    <r>
      <rPr>
        <sz val="10"/>
        <rFont val="WenQuanYi Zen Hei"/>
        <family val="2"/>
      </rPr>
      <t xml:space="preserve">。</t>
    </r>
  </si>
  <si>
    <r>
      <rPr>
        <b val="true"/>
        <sz val="10"/>
        <rFont val="WenQuanYi Zen Hei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WenQuanYi Zen Hei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WenQuanYi Zen Hei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2H </t>
    </r>
    <r>
      <rPr>
        <b val="true"/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</si>
  <si>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欄，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部分直接採用 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現金流量表的實際值（</t>
    </r>
    <r>
      <rPr>
        <sz val="10"/>
        <rFont val="Arial"/>
        <family val="0"/>
        <charset val="1"/>
      </rPr>
      <t xml:space="preserve">CFO 3.663</t>
    </r>
    <r>
      <rPr>
        <sz val="10"/>
        <rFont val="WenQuanYi Zen Hei"/>
        <family val="2"/>
      </rPr>
      <t xml:space="preserve">、現金購置 </t>
    </r>
    <r>
      <rPr>
        <sz val="10"/>
        <rFont val="Arial"/>
        <family val="0"/>
        <charset val="1"/>
      </rPr>
      <t xml:space="preserve">14.117</t>
    </r>
    <r>
      <rPr>
        <sz val="10"/>
        <rFont val="WenQuanYi Zen Hei"/>
        <family val="2"/>
      </rPr>
      <t xml:space="preserve">、</t>
    </r>
  </si>
  <si>
    <r>
      <rPr>
        <sz val="10"/>
        <rFont val="Arial"/>
        <family val="0"/>
        <charset val="1"/>
      </rPr>
      <t xml:space="preserve">  JV 0.688</t>
    </r>
    <r>
      <rPr>
        <sz val="10"/>
        <rFont val="WenQuanYi Zen Hei"/>
        <family val="2"/>
      </rPr>
      <t xml:space="preserve">、借款 </t>
    </r>
    <r>
      <rPr>
        <sz val="10"/>
        <rFont val="Arial"/>
        <family val="0"/>
        <charset val="1"/>
      </rPr>
      <t xml:space="preserve">16.747</t>
    </r>
    <r>
      <rPr>
        <sz val="10"/>
        <rFont val="WenQuanYi Zen Hei"/>
        <family val="2"/>
      </rPr>
      <t xml:space="preserve">、還款 </t>
    </r>
    <r>
      <rPr>
        <sz val="10"/>
        <rFont val="Arial"/>
        <family val="0"/>
        <charset val="1"/>
      </rPr>
      <t xml:space="preserve">5.219</t>
    </r>
    <r>
      <rPr>
        <sz val="10"/>
        <rFont val="WenQuanYi Zen Hei"/>
        <family val="2"/>
      </rPr>
      <t xml:space="preserve">、私募股權 </t>
    </r>
    <r>
      <rPr>
        <sz val="10"/>
        <rFont val="Arial"/>
        <family val="0"/>
        <charset val="1"/>
      </rPr>
      <t xml:space="preserve">2.982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capped call 0.492</t>
    </r>
    <r>
      <rPr>
        <sz val="10"/>
        <rFont val="WenQuanYi Zen Hei"/>
        <family val="2"/>
      </rPr>
      <t xml:space="preserve">），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部分才是模型推算。</t>
    </r>
  </si>
  <si>
    <r>
      <rPr>
        <sz val="10"/>
        <rFont val="WenQuanYi Zen Hei"/>
        <family val="2"/>
      </rPr>
      <t xml:space="preserve">  因此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CapEx 37.1 </t>
    </r>
    <r>
      <rPr>
        <sz val="10"/>
        <rFont val="WenQuanYi Zen Hei"/>
        <family val="2"/>
      </rPr>
      <t xml:space="preserve">與營收 </t>
    </r>
    <r>
      <rPr>
        <sz val="10"/>
        <rFont val="Arial"/>
        <family val="0"/>
        <charset val="1"/>
      </rPr>
      <t xml:space="preserve">12.8 </t>
    </r>
    <r>
      <rPr>
        <sz val="10"/>
        <rFont val="WenQuanYi Zen Hei"/>
        <family val="2"/>
      </rPr>
      <t xml:space="preserve">可以直接對照公司全年指引 </t>
    </r>
    <r>
      <rPr>
        <sz val="10"/>
        <rFont val="Arial"/>
        <family val="0"/>
        <charset val="1"/>
      </rPr>
      <t xml:space="preserve">35–39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12.4–13.2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</si>
  <si>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  產能與收入頁的首欄也是 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，但標示「（模型期）」的收入列只含下半年：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桶自 </t>
    </r>
    <r>
      <rPr>
        <sz val="10"/>
        <rFont val="Arial"/>
        <family val="0"/>
        <charset val="1"/>
      </rPr>
      <t xml:space="preserve">2026-06-30 </t>
    </r>
    <r>
      <rPr>
        <sz val="10"/>
        <rFont val="WenQuanYi Zen Hei"/>
        <family val="2"/>
      </rPr>
      <t xml:space="preserve">起算，</t>
    </r>
  </si>
  <si>
    <r>
      <rPr>
        <sz val="10"/>
        <rFont val="Arial"/>
        <family val="0"/>
        <charset val="1"/>
      </rPr>
      <t xml:space="preserve">  1H </t>
    </r>
    <r>
      <rPr>
        <sz val="10"/>
        <rFont val="WenQuanYi Zen Hei"/>
        <family val="2"/>
      </rPr>
      <t xml:space="preserve">的收入已經實現、不再受產能約束，因此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實際單列，兩者相加即該頁的「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全年總營收」。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只折現 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之後的現金流。</t>
    </r>
  </si>
  <si>
    <r>
      <rPr>
        <sz val="10"/>
        <rFont val="Arial"/>
        <family val="0"/>
        <charset val="1"/>
      </rPr>
      <t xml:space="preserve">  1H </t>
    </r>
    <r>
      <rPr>
        <sz val="10"/>
        <rFont val="WenQuanYi Zen Hei"/>
        <family val="2"/>
      </rPr>
      <t xml:space="preserve">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WenQuanYi Zen Hei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欄只有 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金額；全年數字見「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全年備忘」區。</t>
    </r>
  </si>
  <si>
    <t xml:space="preserve">■ 現金橋（支出與資金頁最下方）</t>
  </si>
  <si>
    <r>
      <rPr>
        <sz val="10"/>
        <rFont val="Arial"/>
        <family val="0"/>
        <charset val="1"/>
      </rPr>
      <t xml:space="preserve">  2025-12-31 </t>
    </r>
    <r>
      <rPr>
        <sz val="10"/>
        <rFont val="WenQuanYi Zen Hei"/>
        <family val="2"/>
      </rPr>
      <t xml:space="preserve">現金 </t>
    </r>
    <r>
      <rPr>
        <sz val="10"/>
        <rFont val="Arial"/>
        <family val="0"/>
        <charset val="1"/>
      </rPr>
      <t xml:space="preserve">3.127 </t>
    </r>
    <r>
      <rPr>
        <sz val="10"/>
        <rFont val="WenQuanYi Zen Hei"/>
        <family val="2"/>
      </rPr>
      <t xml:space="preserve">＋ 營運缺口 ＋ 股權／可轉債 ＋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實際借款 − 排程還本 − </t>
    </r>
    <r>
      <rPr>
        <sz val="10"/>
        <rFont val="Arial"/>
        <family val="0"/>
        <charset val="1"/>
      </rPr>
      <t xml:space="preserve">capped call </t>
    </r>
    <r>
      <rPr>
        <sz val="10"/>
        <rFont val="WenQuanYi Zen Hei"/>
        <family val="2"/>
      </rPr>
      <t xml:space="preserve">＋ 調節 ＝ 期末現金</t>
    </r>
  </si>
  <si>
    <t xml:space="preserve">  營運缺口＝營運來源 −（用途 − 排程還本）。股權、可轉債、信用額度都不算營運來源，這是刻意的：</t>
  </si>
  <si>
    <t xml:space="preserve">  它們回答的是「誰來補」，不是「本業能不能自給」。</t>
  </si>
  <si>
    <r>
      <rPr>
        <b val="true"/>
        <sz val="10"/>
        <rFont val="Arial"/>
        <family val="0"/>
        <charset val="1"/>
      </rPr>
      <t xml:space="preserve">■ v1.5 </t>
    </r>
    <r>
      <rPr>
        <b val="true"/>
        <sz val="10"/>
        <rFont val="WenQuanYi Zen Hei"/>
        <family val="2"/>
      </rPr>
      <t xml:space="preserve">變更（回應 </t>
    </r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WenQuanYi Zen Hei"/>
        <family val="2"/>
      </rPr>
      <t xml:space="preserve">反饋 </t>
    </r>
    <r>
      <rPr>
        <b val="true"/>
        <sz val="10"/>
        <rFont val="Arial"/>
        <family val="0"/>
        <charset val="1"/>
      </rPr>
      <t xml:space="preserve">1–5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</si>
  <si>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  1. </t>
    </r>
    <r>
      <rPr>
        <sz val="10"/>
        <rFont val="WenQuanYi Zen Hei"/>
        <family val="2"/>
      </rPr>
      <t xml:space="preserve">新增『站點租賃』頁：</t>
    </r>
    <r>
      <rPr>
        <sz val="10"/>
        <rFont val="Arial"/>
        <family val="0"/>
        <charset val="1"/>
      </rPr>
      <t xml:space="preserve">Helios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Polaris Forge 1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Core Scientific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Kenilworth </t>
    </r>
    <r>
      <rPr>
        <sz val="10"/>
        <rFont val="WenQuanYi Zen Hei"/>
        <family val="2"/>
      </rPr>
      <t xml:space="preserve">逐站列出契約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、合約值、每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年租金，</t>
    </r>
  </si>
  <si>
    <r>
      <rPr>
        <sz val="10"/>
        <rFont val="WenQuanYi Zen Hei"/>
        <family val="2"/>
      </rPr>
      <t xml:space="preserve">     並與 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租賃承諾總額 </t>
    </r>
    <r>
      <rPr>
        <sz val="10"/>
        <rFont val="Arial"/>
        <family val="0"/>
        <charset val="1"/>
      </rPr>
      <t xml:space="preserve">79.6 </t>
    </r>
    <r>
      <rPr>
        <sz val="10"/>
        <rFont val="WenQuanYi Zen Hei"/>
        <family val="2"/>
      </rPr>
      <t xml:space="preserve">對帳（具名 </t>
    </r>
    <r>
      <rPr>
        <sz val="10"/>
        <rFont val="Arial"/>
        <family val="0"/>
        <charset val="1"/>
      </rPr>
      <t xml:space="preserve">36.2</t>
    </r>
    <r>
      <rPr>
        <sz val="10"/>
        <rFont val="WenQuanYi Zen Hei"/>
        <family val="2"/>
      </rPr>
      <t xml:space="preserve">、未具名殘差 </t>
    </r>
    <r>
      <rPr>
        <sz val="10"/>
        <rFont val="Arial"/>
        <family val="0"/>
        <charset val="1"/>
      </rPr>
      <t xml:space="preserve">43.4</t>
    </r>
    <r>
      <rPr>
        <sz val="10"/>
        <rFont val="WenQuanYi Zen Hei"/>
        <family val="2"/>
      </rPr>
      <t xml:space="preserve">）；另以市場基準檢驗模型租金路徑。</t>
    </r>
  </si>
  <si>
    <r>
      <rPr>
        <sz val="10"/>
        <rFont val="Arial"/>
        <family val="0"/>
        <charset val="1"/>
      </rPr>
      <t xml:space="preserve">  2. </t>
    </r>
    <r>
      <rPr>
        <sz val="10"/>
        <rFont val="WenQuanYi Zen Hei"/>
        <family val="2"/>
      </rPr>
      <t xml:space="preserve">新增『債務明細』頁：</t>
    </r>
    <r>
      <rPr>
        <sz val="10"/>
        <rFont val="Arial"/>
        <family val="0"/>
        <charset val="1"/>
      </rPr>
      <t xml:space="preserve">10-Q 16 </t>
    </r>
    <r>
      <rPr>
        <sz val="10"/>
        <rFont val="WenQuanYi Zen Hei"/>
        <family val="2"/>
      </rPr>
      <t xml:space="preserve">筆工具逐筆列示（合計 </t>
    </r>
    <r>
      <rPr>
        <sz val="10"/>
        <rFont val="Arial"/>
        <family val="0"/>
        <charset val="1"/>
      </rPr>
      <t xml:space="preserve">35.551</t>
    </r>
    <r>
      <rPr>
        <sz val="10"/>
        <rFont val="WenQuanYi Zen Hei"/>
        <family val="2"/>
      </rPr>
      <t xml:space="preserve">、加權有效利率 </t>
    </r>
    <r>
      <rPr>
        <sz val="10"/>
        <rFont val="Arial"/>
        <family val="0"/>
        <charset val="1"/>
      </rPr>
      <t xml:space="preserve">8.4%</t>
    </r>
    <r>
      <rPr>
        <sz val="10"/>
        <rFont val="WenQuanYi Zen Hei"/>
        <family val="2"/>
      </rPr>
      <t xml:space="preserve">），存量利息改由到期表遞減本金推算。</t>
    </r>
  </si>
  <si>
    <r>
      <rPr>
        <sz val="10"/>
        <rFont val="Arial"/>
        <family val="0"/>
        <charset val="1"/>
      </rPr>
      <t xml:space="preserve">  3. JV </t>
    </r>
    <r>
      <rPr>
        <sz val="10"/>
        <rFont val="WenQuanYi Zen Hei"/>
        <family val="2"/>
      </rPr>
      <t xml:space="preserve">拆為「已承諾餘額 </t>
    </r>
    <r>
      <rPr>
        <sz val="10"/>
        <rFont val="Arial"/>
        <family val="0"/>
        <charset val="1"/>
      </rPr>
      <t xml:space="preserve">1.15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10-Q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年內履行）」＋「後續增資（假設）」兩列。</t>
    </r>
  </si>
  <si>
    <r>
      <rPr>
        <sz val="10"/>
        <rFont val="Arial"/>
        <family val="0"/>
        <charset val="1"/>
      </rPr>
      <t xml:space="preserve">  4.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改由 </t>
    </r>
    <r>
      <rPr>
        <sz val="10"/>
        <rFont val="Arial"/>
        <family val="0"/>
        <charset val="1"/>
      </rPr>
      <t xml:space="preserve">Accepted MW </t>
    </r>
    <r>
      <rPr>
        <sz val="10"/>
        <rFont val="WenQuanYi Zen Hei"/>
        <family val="2"/>
      </rPr>
      <t xml:space="preserve">推導：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本期新增</t>
    </r>
    <r>
      <rPr>
        <sz val="10"/>
        <rFont val="Arial"/>
        <family val="0"/>
        <charset val="1"/>
      </rPr>
      <t xml:space="preserve">×(1−λ)</t>
    </r>
    <r>
      <rPr>
        <sz val="10"/>
        <rFont val="WenQuanYi Zen Hei"/>
        <family val="2"/>
      </rPr>
      <t xml:space="preserve">＋次期新增</t>
    </r>
    <r>
      <rPr>
        <sz val="10"/>
        <rFont val="Arial"/>
        <family val="0"/>
        <charset val="1"/>
      </rPr>
      <t xml:space="preserve">×λ)×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成本；以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全年指引 </t>
    </r>
    <r>
      <rPr>
        <sz val="10"/>
        <rFont val="Arial"/>
        <family val="0"/>
        <charset val="1"/>
      </rPr>
      <t xml:space="preserve">35–39 </t>
    </r>
    <r>
      <rPr>
        <sz val="10"/>
        <rFont val="WenQuanYi Zen Hei"/>
        <family val="2"/>
      </rPr>
      <t xml:space="preserve">校準。</t>
    </r>
  </si>
  <si>
    <r>
      <rPr>
        <sz val="10"/>
        <rFont val="Arial"/>
        <family val="0"/>
        <charset val="1"/>
      </rPr>
      <t xml:space="preserve">  5. </t>
    </r>
    <r>
      <rPr>
        <sz val="10"/>
        <rFont val="WenQuanYi Zen Hei"/>
        <family val="2"/>
      </rPr>
      <t xml:space="preserve">刪除『受產能約束占 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</rPr>
      <t xml:space="preserve">』（</t>
    </r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模板遺留，</t>
    </r>
    <r>
      <rPr>
        <sz val="10"/>
        <rFont val="Arial"/>
        <family val="0"/>
        <charset val="1"/>
      </rPr>
      <t xml:space="preserve">CoreWeave </t>
    </r>
    <r>
      <rPr>
        <sz val="10"/>
        <rFont val="WenQuanYi Zen Hei"/>
        <family val="2"/>
      </rPr>
      <t xml:space="preserve">恆為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</si>
  <si>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■ v2.4</t>
    </r>
    <r>
      <rPr>
        <b val="true"/>
        <sz val="10"/>
        <rFont val="WenQuanYi Zen Hei"/>
        <family val="2"/>
      </rPr>
      <t xml:space="preserve">：股權吸收能力可調＋融資前缺口</t>
    </r>
  </si>
  <si>
    <r>
      <rPr>
        <sz val="10"/>
        <rFont val="WenQuanYi Zen Hei"/>
        <family val="2"/>
      </rPr>
      <t xml:space="preserve">  股權每年最多募到現市值的 </t>
    </r>
    <r>
      <rPr>
        <sz val="10"/>
        <rFont val="Arial"/>
        <family val="0"/>
        <charset val="1"/>
      </rPr>
      <t xml:space="preserve">20%</t>
    </r>
    <r>
      <rPr>
        <sz val="10"/>
        <rFont val="WenQuanYi Zen Hei"/>
        <family val="2"/>
      </rPr>
      <t xml:space="preserve">（可調；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年實際約 </t>
    </r>
    <r>
      <rPr>
        <sz val="10"/>
        <rFont val="Arial"/>
        <family val="0"/>
        <charset val="1"/>
      </rPr>
      <t xml:space="preserve">13%</t>
    </r>
    <r>
      <rPr>
        <sz val="10"/>
        <rFont val="WenQuanYi Zen Hei"/>
        <family val="2"/>
      </rPr>
      <t xml:space="preserve">），超出部分以高息債 </t>
    </r>
    <r>
      <rPr>
        <sz val="10"/>
        <rFont val="Arial"/>
        <family val="0"/>
        <charset val="1"/>
      </rPr>
      <t xml:space="preserve">12% </t>
    </r>
    <r>
      <rPr>
        <sz val="10"/>
        <rFont val="WenQuanYi Zen Hei"/>
        <family val="2"/>
      </rPr>
      <t xml:space="preserve">補足（可調）。發行折價 </t>
    </r>
    <r>
      <rPr>
        <sz val="10"/>
        <rFont val="Arial"/>
        <family val="0"/>
        <charset val="1"/>
      </rPr>
      <t xml:space="preserve">10%</t>
    </r>
    <r>
      <rPr>
        <sz val="10"/>
        <rFont val="WenQuanYi Zen Hei"/>
        <family val="2"/>
      </rPr>
      <t xml:space="preserve">（可調）。</t>
    </r>
  </si>
  <si>
    <t xml:space="preserve">  「支出與資金」頁新增『融資前累積現金』：若不做任何新融資，現金會落到多少——負值即外部資金需求。</t>
  </si>
  <si>
    <r>
      <rPr>
        <sz val="10"/>
        <rFont val="WenQuanYi Zen Hei"/>
        <family val="2"/>
      </rPr>
      <t xml:space="preserve">  「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率」＝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營收：資金端使用的租金前利潤率，由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率推導、不是獨立輸入。</t>
    </r>
  </si>
  <si>
    <r>
      <rPr>
        <b val="true"/>
        <sz val="10"/>
        <rFont val="Arial"/>
        <family val="0"/>
        <charset val="1"/>
      </rPr>
      <t xml:space="preserve">■ v2.3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WenQuanYi Zen Hei"/>
        <family val="2"/>
      </rPr>
      <t xml:space="preserve">率單一來源＋融資校準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</si>
  <si>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WenQuanYi Zen Hei"/>
        <family val="2"/>
      </rPr>
      <t xml:space="preserve">率只在「輸入」頁兩格設定：起始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實際）、穩態 </t>
    </r>
    <r>
      <rPr>
        <sz val="10"/>
        <rFont val="Arial"/>
        <family val="0"/>
        <charset val="1"/>
      </rPr>
      <t xml:space="preserve">65%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），中間線性爬升；損益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與資金現金都引用同一列。</t>
    </r>
  </si>
  <si>
    <r>
      <rPr>
        <sz val="10"/>
        <rFont val="WenQuanYi Zen Hei"/>
        <family val="2"/>
      </rPr>
      <t xml:space="preserve">  資金端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率＝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營收（租金在支出端另列，故加回）；非算力服務現金＝服務營收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同一貢獻率。</t>
    </r>
  </si>
  <si>
    <r>
      <rPr>
        <sz val="10"/>
        <rFont val="WenQuanYi Zen Hei"/>
        <family val="2"/>
      </rPr>
      <t xml:space="preserve">  債務上限預設 </t>
    </r>
    <r>
      <rPr>
        <sz val="10"/>
        <rFont val="Arial"/>
        <family val="0"/>
        <charset val="1"/>
      </rPr>
      <t xml:space="preserve">1.0x</t>
    </r>
    <r>
      <rPr>
        <sz val="10"/>
        <rFont val="WenQuanYi Zen Hei"/>
        <family val="2"/>
      </rPr>
      <t xml:space="preserve">（依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年實際融資組合：債務約 </t>
    </r>
    <r>
      <rPr>
        <sz val="10"/>
        <rFont val="Arial"/>
        <family val="0"/>
        <charset val="1"/>
      </rPr>
      <t xml:space="preserve">77%</t>
    </r>
    <r>
      <rPr>
        <sz val="10"/>
        <rFont val="WenQuanYi Zen Hei"/>
        <family val="2"/>
      </rPr>
      <t xml:space="preserve">、股權約 </t>
    </r>
    <r>
      <rPr>
        <sz val="10"/>
        <rFont val="Arial"/>
        <family val="0"/>
        <charset val="1"/>
      </rPr>
      <t xml:space="preserve">23%</t>
    </r>
    <r>
      <rPr>
        <sz val="10"/>
        <rFont val="WenQuanYi Zen Hei"/>
        <family val="2"/>
      </rPr>
      <t xml:space="preserve">）。敏感度：把穩態改成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70%</t>
    </r>
    <r>
      <rPr>
        <sz val="10"/>
        <rFont val="WenQuanYi Zen Hei"/>
        <family val="2"/>
      </rPr>
      <t xml:space="preserve">、上限改成 </t>
    </r>
    <r>
      <rPr>
        <sz val="10"/>
        <rFont val="Arial"/>
        <family val="0"/>
        <charset val="1"/>
      </rPr>
      <t xml:space="preserve">0.4x </t>
    </r>
    <r>
      <rPr>
        <sz val="10"/>
        <rFont val="WenQuanYi Zen Hei"/>
        <family val="2"/>
      </rPr>
      <t xml:space="preserve">即可重算。</t>
    </r>
  </si>
  <si>
    <r>
      <rPr>
        <b val="true"/>
        <sz val="10"/>
        <rFont val="Arial"/>
        <family val="0"/>
        <charset val="1"/>
      </rPr>
      <t xml:space="preserve">■ v2.0</t>
    </r>
    <r>
      <rPr>
        <b val="true"/>
        <sz val="10"/>
        <rFont val="WenQuanYi Zen Hei"/>
        <family val="2"/>
      </rPr>
      <t xml:space="preserve">：期前融資瀑布（取代「透支利息＋扣缺口」）</t>
    </r>
  </si>
  <si>
    <r>
      <rPr>
        <sz val="10"/>
        <rFont val="WenQuanYi Zen Hei"/>
        <family val="2"/>
      </rPr>
      <t xml:space="preserve">  缺口在需要前一期先融好，使每期末現金不低於最低現金 </t>
    </r>
    <r>
      <rPr>
        <sz val="10"/>
        <rFont val="Arial"/>
        <family val="0"/>
        <charset val="1"/>
      </rPr>
      <t xml:space="preserve">2.0bn</t>
    </r>
    <r>
      <rPr>
        <sz val="10"/>
        <rFont val="WenQuanYi Zen Hei"/>
        <family val="2"/>
      </rPr>
      <t xml:space="preserve">。順序：未動用額度 </t>
    </r>
    <r>
      <rPr>
        <sz val="10"/>
        <rFont val="Arial"/>
        <family val="0"/>
        <charset val="1"/>
      </rPr>
      <t xml:space="preserve">10.0 → </t>
    </r>
    <r>
      <rPr>
        <sz val="10"/>
        <rFont val="WenQuanYi Zen Hei"/>
        <family val="2"/>
      </rPr>
      <t xml:space="preserve">資產層新債</t>
    </r>
  </si>
  <si>
    <r>
      <rPr>
        <sz val="10"/>
        <rFont val="WenQuanYi Zen Hei"/>
        <family val="2"/>
      </rPr>
      <t xml:space="preserve">  （總債務 ≤ </t>
    </r>
    <r>
      <rPr>
        <sz val="10"/>
        <rFont val="Arial"/>
        <family val="0"/>
        <charset val="1"/>
      </rPr>
      <t xml:space="preserve">1.0 × </t>
    </r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WenQuanYi Zen Hei"/>
        <family val="2"/>
      </rPr>
      <t xml:space="preserve">，依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年實際融資組合校準；</t>
    </r>
    <r>
      <rPr>
        <sz val="10"/>
        <rFont val="Arial"/>
        <family val="0"/>
        <charset val="1"/>
      </rPr>
      <t xml:space="preserve">0.4x </t>
    </r>
    <r>
      <rPr>
        <sz val="10"/>
        <rFont val="WenQuanYi Zen Hei"/>
        <family val="2"/>
      </rPr>
      <t xml:space="preserve">為敏感度）→ 股權（</t>
    </r>
    <r>
      <rPr>
        <sz val="10"/>
        <rFont val="Arial"/>
        <family val="0"/>
        <charset val="1"/>
      </rPr>
      <t xml:space="preserve">9/21 </t>
    </r>
    <r>
      <rPr>
        <sz val="10"/>
        <rFont val="WenQuanYi Zen Hei"/>
        <family val="2"/>
      </rPr>
      <t xml:space="preserve">收盤 </t>
    </r>
    <r>
      <rPr>
        <sz val="10"/>
        <rFont val="Arial"/>
        <family val="0"/>
        <charset val="1"/>
      </rPr>
      <t xml:space="preserve">$85.43 </t>
    </r>
    <r>
      <rPr>
        <sz val="10"/>
        <rFont val="WenQuanYi Zen Hei"/>
        <family val="2"/>
      </rPr>
      <t xml:space="preserve">折價 </t>
    </r>
    <r>
      <rPr>
        <sz val="10"/>
        <rFont val="Arial"/>
        <family val="0"/>
        <charset val="1"/>
      </rPr>
      <t xml:space="preserve">10% </t>
    </r>
    <r>
      <rPr>
        <sz val="10"/>
        <rFont val="WenQuanYi Zen Hei"/>
        <family val="2"/>
      </rPr>
      <t xml:space="preserve">發行）。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</si>
  <si>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WenQuanYi Zen Hei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用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末淨負債與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末股數。</t>
    </r>
  </si>
  <si>
    <r>
      <rPr>
        <sz val="10"/>
        <rFont val="WenQuanYi Zen Hei"/>
        <family val="2"/>
      </rPr>
      <t xml:space="preserve">  舊版的透支利息（借款利息）與扣 </t>
    </r>
    <r>
      <rPr>
        <sz val="10"/>
        <rFont val="Arial"/>
        <family val="0"/>
        <charset val="1"/>
      </rPr>
      <t xml:space="preserve">NTM </t>
    </r>
    <r>
      <rPr>
        <sz val="10"/>
        <rFont val="WenQuanYi Zen Hei"/>
        <family val="2"/>
      </rPr>
      <t xml:space="preserve">缺口（借款本金）並非重複計費；</t>
    </r>
    <r>
      <rPr>
        <sz val="10"/>
        <rFont val="Arial"/>
        <family val="0"/>
        <charset val="1"/>
      </rPr>
      <t xml:space="preserve">v2.0 </t>
    </r>
    <r>
      <rPr>
        <sz val="10"/>
        <rFont val="WenQuanYi Zen Hei"/>
        <family val="2"/>
      </rPr>
      <t xml:space="preserve">的差別是新債設上限、超出部分改以股權支應。瀑布位於「支出與資金」頁下方。</t>
    </r>
  </si>
  <si>
    <t xml:space="preserve">一頁摘要 — 結論、與市場的差異、現價隱含什麼、驗證點（全部依輸入連動）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</si>
  <si>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｜結論</t>
    </r>
  </si>
  <si>
    <r>
      <rPr>
        <sz val="10"/>
        <rFont val="WenQuanYi Zen Hei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</si>
  <si>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</si>
  <si>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</si>
  <si>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</si>
  <si>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</si>
  <si>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</si>
  <si>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</si>
  <si>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</si>
  <si>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</si>
  <si>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</si>
  <si>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</si>
  <si>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</si>
  <si>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</si>
  <si>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FY26–FY28</t>
    </r>
    <r>
      <rPr>
        <b val="true"/>
        <sz val="10"/>
        <rFont val="WenQuanYi Zen Hei"/>
        <family val="2"/>
      </rPr>
      <t xml:space="preserve">）</t>
    </r>
  </si>
  <si>
    <t xml:space="preserve">項目</t>
  </si>
  <si>
    <t xml:space="preserve">單位</t>
  </si>
  <si>
    <t xml:space="preserve">FY26</t>
  </si>
  <si>
    <t xml:space="preserve">FY27</t>
  </si>
  <si>
    <t xml:space="preserve">FY28</t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</si>
  <si>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</si>
  <si>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</si>
  <si>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</si>
  <si>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</si>
  <si>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</t>
    </r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</si>
  <si>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｜共識</t>
    </r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</si>
  <si>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</si>
  <si>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</si>
  <si>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｜差距（金額）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</si>
  <si>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一頁摘要、市場共識分頁同一呈現；判斷門檻仍用上一列比例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</si>
  <si>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率｜模型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</si>
  <si>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率｜共識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</si>
  <si>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</si>
  <si>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</si>
  <si>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率以百分點列差距，不納入判斷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</si>
  <si>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（毛額）｜模型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</si>
  <si>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（毛額）｜共識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</si>
  <si>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（毛額）｜差距</t>
    </r>
  </si>
  <si>
    <r>
      <rPr>
        <sz val="9"/>
        <color rgb="FF595959"/>
        <rFont val="WenQuanYi Zen Hei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實際毛額＋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</si>
  <si>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</si>
  <si>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</si>
  <si>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</si>
  <si>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</si>
  <si>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差異｜淨負債｜差距（金額）</t>
  </si>
  <si>
    <t xml:space="preserve">差異｜分歧項目（超過門檻者）</t>
  </si>
  <si>
    <r>
      <rPr>
        <sz val="9"/>
        <color rgb="FF595959"/>
        <rFont val="WenQuanYi Zen Hei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判斷句同一規則）</t>
    </r>
  </si>
  <si>
    <r>
      <rPr>
        <sz val="10"/>
        <rFont val="WenQuanYi Zen Hei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FY26…3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＝無）</t>
    </r>
  </si>
  <si>
    <t xml:space="preserve">差異｜判斷句</t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</si>
  <si>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｜淨負債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</si>
  <si>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WenQuanYi Zen Hei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＝原因（需附原因時顯示；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以利潤率差、其餘以比例門檻判斷）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</si>
  <si>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</si>
  <si>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</si>
  <si>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｜淨負債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</si>
  <si>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｜營收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</si>
  <si>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</si>
  <si>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</si>
  <si>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｜淨負債</t>
    </r>
  </si>
  <si>
    <t xml:space="preserve">差異｜需附原因項數</t>
  </si>
  <si>
    <r>
      <rPr>
        <sz val="9"/>
        <color rgb="FF595959"/>
        <rFont val="WenQuanYi Zen Hei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（利潤率差）、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FY26–FY28</t>
    </r>
  </si>
  <si>
    <t xml:space="preserve">差異｜差異原因摘要</t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</si>
  <si>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一頁摘要同一句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</si>
  <si>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｜現價隱含什麼</t>
    </r>
  </si>
  <si>
    <r>
      <rPr>
        <sz val="10"/>
        <rFont val="WenQuanYi Zen Hei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FY28 EV/EBITDA</t>
    </r>
  </si>
  <si>
    <t xml:space="preserve">x</t>
  </si>
  <si>
    <r>
      <rPr>
        <sz val="9"/>
        <color rgb="FF595959"/>
        <rFont val="WenQuanYi Zen Hei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</si>
  <si>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FY28 EV/EBITDA</t>
    </r>
  </si>
  <si>
    <r>
      <rPr>
        <sz val="9"/>
        <color rgb="FF595959"/>
        <rFont val="WenQuanYi Zen Hei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</si>
  <si>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</si>
  <si>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腿錨定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WenQuanYi Zen Hei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WenQuanYi Zen Hei"/>
        <family val="2"/>
      </rPr>
      <t xml:space="preserve">，錨定年度與此不同</t>
    </r>
  </si>
  <si>
    <t xml:space="preserve">隱含｜隱含倍數句</t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</si>
  <si>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FY30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年收入（目前／隱含／變動）</t>
    </r>
  </si>
  <si>
    <r>
      <rPr>
        <sz val="9"/>
        <color rgb="FF595959"/>
        <rFont val="WenQuanYi Zen Hei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WenQuanYi Zen Hei"/>
        <family val="2"/>
      </rPr>
      <t xml:space="preserve">』；改輸入後請以目標搜尋重算</t>
    </r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</si>
  <si>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建置成本（目前／隱含／變動）</t>
    </r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</si>
  <si>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</si>
  <si>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</si>
  <si>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WenQuanYi Zen Hei"/>
        <family val="2"/>
      </rPr>
      <t xml:space="preserve">）</t>
    </r>
  </si>
  <si>
    <t xml:space="preserve">驗證｜焦點季</t>
  </si>
  <si>
    <r>
      <rPr>
        <sz val="9"/>
        <color rgb="FF595959"/>
        <rFont val="WenQuanYi Zen Hei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</si>
  <si>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</si>
  <si>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WenQuanYi Zen Hei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</si>
  <si>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</si>
  <si>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t xml:space="preserve">驗證｜調整後營業利益（模型／共識／指引低／指引高／實際）</t>
  </si>
  <si>
    <t xml:space="preserve">驗證｜調整後營業利益｜句</t>
  </si>
  <si>
    <r>
      <rPr>
        <sz val="10"/>
        <rFont val="WenQuanYi Zen Hei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（毛額）（模型／共識／指引低／指引高／實際）</t>
    </r>
  </si>
  <si>
    <r>
      <rPr>
        <b val="true"/>
        <sz val="10"/>
        <rFont val="WenQuanYi Zen Hei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WenQuanYi Zen Hei"/>
        <family val="2"/>
      </rPr>
      <t xml:space="preserve">（毛額）｜句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</si>
  <si>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</si>
  <si>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</si>
  <si>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WenQuanYi Zen Hei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WenQuanYi Zen Hei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</si>
  <si>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</si>
  <si>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WenQuanYi Zen Hei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），擷取 </t>
    </r>
    <r>
      <rPr>
        <sz val="9"/>
        <color rgb="FF595959"/>
        <rFont val="Arial"/>
        <family val="0"/>
        <charset val="1"/>
      </rPr>
      <t xml:space="preserve">2026-09-25 [Interested-party]</t>
    </r>
  </si>
  <si>
    <r>
      <rPr>
        <sz val="9"/>
        <color rgb="FF595959"/>
        <rFont val="WenQuanYi Zen Hei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StockAnalysis.com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WenQuanYi Zen Hei"/>
        <family val="2"/>
      </rPr>
      <t xml:space="preserve">的營收預估完全相同（</t>
    </r>
    <r>
      <rPr>
        <sz val="9"/>
        <color rgb="FF595959"/>
        <rFont val="Arial"/>
        <family val="0"/>
        <charset val="1"/>
      </rPr>
      <t xml:space="preserve">12.882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26.376</t>
    </r>
    <r>
      <rPr>
        <sz val="9"/>
        <color rgb="FF595959"/>
        <rFont val="WenQuanYi Zen Hei"/>
        <family val="2"/>
      </rPr>
      <t xml:space="preserve">），兩者皆引用 </t>
    </r>
    <r>
      <rPr>
        <sz val="9"/>
        <color rgb="FF595959"/>
        <rFont val="Arial"/>
        <family val="0"/>
        <charset val="1"/>
      </rPr>
      <t xml:space="preserve">S&amp;P Global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Capital IQ</t>
    </r>
    <r>
      <rPr>
        <sz val="9"/>
        <color rgb="FF595959"/>
        <rFont val="WenQuanYi Zen Hei"/>
        <family val="2"/>
      </rPr>
      <t xml:space="preserve">，屬同一來源的兩個呈現，不是獨立交叉驗證。獨立來源僅有 </t>
    </r>
    <r>
      <rPr>
        <sz val="9"/>
        <color rgb="FF595959"/>
        <rFont val="Arial"/>
        <family val="0"/>
        <charset val="1"/>
      </rPr>
      <t xml:space="preserve">LSEG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CNBC </t>
    </r>
    <r>
      <rPr>
        <sz val="9"/>
        <color rgb="FF595959"/>
        <rFont val="WenQuanYi Zen Hei"/>
        <family val="2"/>
      </rPr>
      <t xml:space="preserve">引用，日期較舊）。</t>
    </r>
  </si>
  <si>
    <r>
      <rPr>
        <sz val="9"/>
        <color rgb="FF595959"/>
        <rFont val="WenQuanYi Zen Hei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FactSet </t>
    </r>
    <r>
      <rPr>
        <sz val="9"/>
        <color rgb="FF595959"/>
        <rFont val="WenQuanYi Zen Hei"/>
        <family val="2"/>
      </rPr>
      <t xml:space="preserve">共識）、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）；擷取 </t>
    </r>
    <r>
      <rPr>
        <sz val="9"/>
        <color rgb="FF595959"/>
        <rFont val="Arial"/>
        <family val="0"/>
        <charset val="1"/>
      </rPr>
      <t xml:space="preserve">2026-09-25</t>
    </r>
    <r>
      <rPr>
        <sz val="9"/>
        <color rgb="FF595959"/>
        <rFont val="WenQuanYi Zen Hei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</si>
  <si>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</si>
  <si>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WenQuanYi Zen Hei"/>
        <family val="2"/>
      </rPr>
      <t xml:space="preserve">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WenQuanYi Zen Hei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</si>
  <si>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｜情境與規模（管理層擴張力道）</t>
    </r>
  </si>
  <si>
    <r>
      <rPr>
        <b val="true"/>
        <sz val="10"/>
        <rFont val="WenQuanYi Zen Hei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＝保守 </t>
    </r>
    <r>
      <rPr>
        <b val="true"/>
        <sz val="10"/>
        <rFont val="Arial"/>
        <family val="0"/>
        <charset val="1"/>
      </rPr>
      <t xml:space="preserve">4.2 GW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＝基準 </t>
    </r>
    <r>
      <rPr>
        <b val="true"/>
        <sz val="10"/>
        <rFont val="Arial"/>
        <family val="0"/>
        <charset val="1"/>
      </rPr>
      <t xml:space="preserve">5.6 GW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＝積極 </t>
    </r>
    <r>
      <rPr>
        <b val="true"/>
        <sz val="10"/>
        <rFont val="Arial"/>
        <family val="0"/>
        <charset val="1"/>
      </rPr>
      <t xml:space="preserve">8 GW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</si>
  <si>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三情境只改變管理層的擴張力道；其餘假設相同。</t>
    </r>
    <r>
      <rPr>
        <sz val="9"/>
        <color rgb="FF595959"/>
        <rFont val="Arial"/>
        <family val="0"/>
        <charset val="1"/>
      </rPr>
      <t xml:space="preserve">FY26–FY27 </t>
    </r>
    <r>
      <rPr>
        <sz val="9"/>
        <color rgb="FF595959"/>
        <rFont val="WenQuanYi Zen Hei"/>
        <family val="2"/>
      </rPr>
      <t xml:space="preserve">三者相同（年底 </t>
    </r>
    <r>
      <rPr>
        <sz val="9"/>
        <color rgb="FF595959"/>
        <rFont val="Arial"/>
        <family val="0"/>
        <charset val="1"/>
      </rPr>
      <t xml:space="preserve">1,850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3,100 MW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起分歧</t>
    </r>
  </si>
  <si>
    <r>
      <rPr>
        <b val="true"/>
        <sz val="10"/>
        <color rgb="FF1F3864"/>
        <rFont val="WenQuanYi Zen Hei"/>
        <family val="2"/>
      </rPr>
      <t xml:space="preserve">▸ 情境路徑明細（</t>
    </r>
    <r>
      <rPr>
        <b val="true"/>
        <sz val="10"/>
        <color rgb="FF1F3864"/>
        <rFont val="Arial"/>
        <family val="0"/>
        <charset val="1"/>
      </rPr>
      <t xml:space="preserve">Accepted MW</t>
    </r>
    <r>
      <rPr>
        <b val="true"/>
        <sz val="10"/>
        <color rgb="FF1F3864"/>
        <rFont val="WenQuanYi Zen Hei"/>
        <family val="2"/>
      </rPr>
      <t xml:space="preserve">、爬坡比例、表外租金基準）</t>
    </r>
  </si>
  <si>
    <r>
      <rPr>
        <b val="true"/>
        <sz val="11"/>
        <color rgb="FFFFFFFF"/>
        <rFont val="Arial"/>
        <family val="0"/>
        <charset val="1"/>
      </rPr>
      <t xml:space="preserve">Accepted MW </t>
    </r>
    <r>
      <rPr>
        <b val="true"/>
        <sz val="11"/>
        <color rgb="FFFFFFFF"/>
        <rFont val="WenQuanYi Zen Hei"/>
        <family val="2"/>
      </rPr>
      <t xml:space="preserve">路徑</t>
    </r>
  </si>
  <si>
    <t xml:space="preserve">FY29</t>
  </si>
  <si>
    <t xml:space="preserve">FY30</t>
  </si>
  <si>
    <r>
      <rPr>
        <b val="true"/>
        <sz val="11"/>
        <color rgb="FFFFFFFF"/>
        <rFont val="Arial"/>
        <family val="0"/>
        <charset val="1"/>
      </rPr>
      <t xml:space="preserve">FY31 </t>
    </r>
    <r>
      <rPr>
        <b val="true"/>
        <sz val="11"/>
        <color rgb="FFFFFFFF"/>
        <rFont val="WenQuanYi Zen Hei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</si>
  <si>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保守 </t>
    </r>
    <r>
      <rPr>
        <sz val="10"/>
        <rFont val="Arial"/>
        <family val="0"/>
        <charset val="1"/>
      </rPr>
      <t xml:space="preserve">4.2 GW</t>
    </r>
  </si>
  <si>
    <t xml:space="preserve">MW</t>
  </si>
  <si>
    <r>
      <rPr>
        <sz val="9"/>
        <color rgb="FF595959"/>
        <rFont val="WenQuanYi Zen Hei"/>
        <family val="2"/>
      </rPr>
      <t xml:space="preserve">只交付已簽約電力 </t>
    </r>
    <r>
      <rPr>
        <sz val="9"/>
        <color rgb="FF595959"/>
        <rFont val="Arial"/>
        <family val="0"/>
        <charset val="1"/>
      </rPr>
      <t xml:space="preserve">4.2 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8/11 </t>
    </r>
    <r>
      <rPr>
        <sz val="9"/>
        <color rgb="FF595959"/>
        <rFont val="WenQuanYi Zen Hei"/>
        <family val="2"/>
      </rPr>
      <t xml:space="preserve">法說），不再新簽</t>
    </r>
  </si>
  <si>
    <r>
      <rPr>
        <sz val="10"/>
        <rFont val="WenQuanYi Zen Hei"/>
        <family val="2"/>
      </rPr>
      <t xml:space="preserve">基準 </t>
    </r>
    <r>
      <rPr>
        <sz val="10"/>
        <rFont val="Arial"/>
        <family val="0"/>
        <charset val="1"/>
      </rPr>
      <t xml:space="preserve">5.6 GW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</si>
  <si>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年後每年約 </t>
    </r>
    <r>
      <rPr>
        <sz val="9"/>
        <color rgb="FF595959"/>
        <rFont val="Arial"/>
        <family val="0"/>
        <charset val="1"/>
      </rPr>
      <t xml:space="preserve">+800 MW</t>
    </r>
  </si>
  <si>
    <r>
      <rPr>
        <sz val="10"/>
        <rFont val="WenQuanYi Zen Hei"/>
        <family val="2"/>
      </rPr>
      <t xml:space="preserve">積極 </t>
    </r>
    <r>
      <rPr>
        <sz val="10"/>
        <rFont val="Arial"/>
        <family val="0"/>
        <charset val="1"/>
      </rPr>
      <t xml:space="preserve">8 GW</t>
    </r>
  </si>
  <si>
    <r>
      <rPr>
        <sz val="9"/>
        <color rgb="FF595959"/>
        <rFont val="WenQuanYi Zen Hei"/>
        <family val="2"/>
      </rPr>
      <t xml:space="preserve">公司目標 </t>
    </r>
    <r>
      <rPr>
        <sz val="9"/>
        <color rgb="FF595959"/>
        <rFont val="Arial"/>
        <family val="0"/>
        <charset val="1"/>
      </rPr>
      <t xml:space="preserve">2030 ≥8 GW</t>
    </r>
  </si>
  <si>
    <r>
      <rPr>
        <sz val="10"/>
        <rFont val="Arial"/>
        <family val="0"/>
        <charset val="1"/>
      </rPr>
      <t xml:space="preserve">Billable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Accepted </t>
    </r>
    <r>
      <rPr>
        <sz val="10"/>
        <rFont val="WenQuanYi Zen Hei"/>
        <family val="2"/>
      </rPr>
      <t xml:space="preserve">爬坡比例</t>
    </r>
  </si>
  <si>
    <t xml:space="preserve">三情境共用</t>
  </si>
  <si>
    <t xml:space="preserve">表外現金租金（積極路徑）</t>
  </si>
  <si>
    <r>
      <rPr>
        <sz val="9"/>
        <color rgb="FF595959"/>
        <rFont val="WenQuanYi Zen Hei"/>
        <family val="2"/>
      </rPr>
      <t xml:space="preserve">其他情境依「新增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（相對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1,500 MW</t>
    </r>
    <r>
      <rPr>
        <sz val="9"/>
        <color rgb="FF595959"/>
        <rFont val="WenQuanYi Zen Hei"/>
        <family val="2"/>
      </rPr>
      <t xml:space="preserve">）」等比例縮放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</si>
  <si>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RPO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WenQuanYi Zen Hei"/>
        <family val="2"/>
      </rPr>
      <t xml:space="preserve">、利用率、單價、簽約、信用）</t>
    </r>
  </si>
  <si>
    <t xml:space="preserve">6/30 RPO</t>
  </si>
  <si>
    <r>
      <rPr>
        <sz val="9"/>
        <color rgb="FF595959"/>
        <rFont val="Arial"/>
        <family val="0"/>
        <charset val="1"/>
      </rPr>
      <t xml:space="preserve">10-Q 103.7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backlog 104.2 </t>
    </r>
    <r>
      <rPr>
        <sz val="9"/>
        <color rgb="FF595959"/>
        <rFont val="WenQuanYi Zen Hei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WenQuanYi Zen Hei"/>
        <family val="2"/>
      </rPr>
      <t xml:space="preserve">其他）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</si>
  <si>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初新增承諾</t>
    </r>
  </si>
  <si>
    <r>
      <rPr>
        <sz val="9"/>
        <color rgb="FF595959"/>
        <rFont val="WenQuanYi Zen Hei"/>
        <family val="2"/>
      </rPr>
      <t xml:space="preserve">法說「</t>
    </r>
    <r>
      <rPr>
        <sz val="9"/>
        <color rgb="FF595959"/>
        <rFont val="Arial"/>
        <family val="0"/>
        <charset val="1"/>
      </rPr>
      <t xml:space="preserve">&gt;25</t>
    </r>
    <r>
      <rPr>
        <sz val="9"/>
        <color rgb="FF595959"/>
        <rFont val="WenQuanYi Zen Hei"/>
        <family val="2"/>
      </rPr>
      <t xml:space="preserve">」，尚未入 </t>
    </r>
    <r>
      <rPr>
        <sz val="9"/>
        <color rgb="FF595959"/>
        <rFont val="Arial"/>
        <family val="0"/>
        <charset val="1"/>
      </rPr>
      <t xml:space="preserve">RPO [Interested-party]</t>
    </r>
  </si>
  <si>
    <r>
      <rPr>
        <sz val="10"/>
        <rFont val="WenQuanYi Zen Hei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末）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</si>
  <si>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桶 </t>
    </r>
    <r>
      <rPr>
        <sz val="9"/>
        <color rgb="FF595959"/>
        <rFont val="Arial"/>
        <family val="0"/>
        <charset val="1"/>
      </rPr>
      <t xml:space="preserve">41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WenQuanYi Zen Hei"/>
        <family val="2"/>
      </rPr>
      <t xml:space="preserve">線性分攤後五期合計 </t>
    </r>
    <r>
      <rPr>
        <sz val="9"/>
        <color rgb="FF595959"/>
        <rFont val="Arial"/>
        <family val="0"/>
        <charset val="1"/>
      </rPr>
      <t xml:space="preserve">84%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</si>
  <si>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</si>
  <si>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</si>
  <si>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2025-12-31 </t>
    </r>
    <r>
      <rPr>
        <sz val="10"/>
        <rFont val="WenQuanYi Zen Hei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</si>
  <si>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Q4 2025 </t>
    </r>
    <r>
      <rPr>
        <sz val="9"/>
        <color rgb="FF595959"/>
        <rFont val="WenQuanYi Zen Hei"/>
        <family val="2"/>
      </rPr>
      <t xml:space="preserve">法說：年底 </t>
    </r>
    <r>
      <rPr>
        <sz val="9"/>
        <color rgb="FF595959"/>
        <rFont val="Arial"/>
        <family val="0"/>
        <charset val="1"/>
      </rPr>
      <t xml:space="preserve">&gt;850 MW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WenQuanYi Zen Hei"/>
        <family val="2"/>
      </rPr>
      <t xml:space="preserve">座資料中心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</si>
  <si>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6/30 Billable MW</t>
  </si>
  <si>
    <r>
      <rPr>
        <sz val="9"/>
        <color rgb="FF595959"/>
        <rFont val="WenQuanYi Zen Hei"/>
        <family val="2"/>
      </rPr>
      <t xml:space="preserve">主動電力 </t>
    </r>
    <r>
      <rPr>
        <sz val="9"/>
        <color rgb="FF595959"/>
        <rFont val="Arial"/>
        <family val="0"/>
        <charset val="1"/>
      </rPr>
      <t xml:space="preserve">1.5 GW </t>
    </r>
    <r>
      <rPr>
        <sz val="9"/>
        <color rgb="FF595959"/>
        <rFont val="WenQuanYi Zen Hei"/>
        <family val="2"/>
      </rPr>
      <t xml:space="preserve">扣爬坡中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</si>
  <si>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</si>
  <si>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＝用期末存量全期化。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交付後載（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</rPr>
      <t xml:space="preserve">月 </t>
    </r>
    <r>
      <rPr>
        <sz val="9"/>
        <color rgb="FF595959"/>
        <rFont val="Arial"/>
        <family val="0"/>
        <charset val="1"/>
      </rPr>
      <t xml:space="preserve">+300MW</t>
    </r>
    <r>
      <rPr>
        <sz val="9"/>
        <color rgb="FF595959"/>
        <rFont val="WenQuanYi Zen Hei"/>
        <family val="2"/>
      </rPr>
      <t xml:space="preserve">），建議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</si>
  <si>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年收入倍數（整體）</t>
    </r>
  </si>
  <si>
    <r>
      <rPr>
        <sz val="9"/>
        <color rgb="FF595959"/>
        <rFont val="WenQuanYi Zen Hei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</si>
  <si>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</si>
  <si>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</si>
  <si>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WenQuanYi Zen Hei"/>
        <family val="2"/>
      </rPr>
      <t xml:space="preserve">勿改。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模型期為 </t>
    </r>
    <r>
      <rPr>
        <sz val="9"/>
        <color rgb="FF595959"/>
        <rFont val="Arial"/>
        <family val="0"/>
        <charset val="1"/>
      </rPr>
      <t xml:space="preserve">2026-07-01</t>
    </r>
    <r>
      <rPr>
        <sz val="9"/>
        <color rgb="FF595959"/>
        <rFont val="WenQuanYi Zen Hei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12-31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WenQuanYi Zen Hei"/>
        <family val="2"/>
      </rPr>
      <t xml:space="preserve">年）。只用於容量上限、電力、維護三處年率換算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</si>
  <si>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桶權重</t>
    </r>
  </si>
  <si>
    <r>
      <rPr>
        <sz val="9"/>
        <color rgb="FF595959"/>
        <rFont val="Arial"/>
        <family val="0"/>
        <charset val="1"/>
      </rPr>
      <t xml:space="preserve">10-Q 41%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24m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39%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25-48m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49-78m </t>
    </r>
    <r>
      <rPr>
        <sz val="9"/>
        <color rgb="FF595959"/>
        <rFont val="WenQuanYi Zen Hei"/>
        <family val="2"/>
      </rPr>
      <t xml:space="preserve">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</si>
  <si>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（期末主動電力）</t>
    </r>
  </si>
  <si>
    <r>
      <rPr>
        <sz val="9"/>
        <color rgb="FF595959"/>
        <rFont val="WenQuanYi Zen Hei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區情境選擇器</t>
    </r>
  </si>
  <si>
    <t xml:space="preserve">Billable MW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</si>
  <si>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Accepted × </t>
    </r>
    <r>
      <rPr>
        <sz val="9"/>
        <color rgb="FF595959"/>
        <rFont val="WenQuanYi Zen Hei"/>
        <family val="2"/>
      </rPr>
      <t xml:space="preserve">爬坡比例（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區）</t>
    </r>
  </si>
  <si>
    <t xml:space="preserve">利用率</t>
  </si>
  <si>
    <r>
      <rPr>
        <sz val="9"/>
        <color rgb="FF595959"/>
        <rFont val="WenQuanYi Zen Hei"/>
        <family val="2"/>
      </rPr>
      <t xml:space="preserve">法說「近期產能實質售罄」，不擬合 </t>
    </r>
    <r>
      <rPr>
        <sz val="9"/>
        <color rgb="FF595959"/>
        <rFont val="Arial"/>
        <family val="0"/>
        <charset val="1"/>
      </rPr>
      <t xml:space="preserve">100% [Assumed]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</si>
  <si>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</t>
    </r>
  </si>
  <si>
    <t xml:space="preserve">US$bn/MW</t>
  </si>
  <si>
    <r>
      <rPr>
        <sz val="9"/>
        <color rgb="FF595959"/>
        <rFont val="WenQuanYi Zen Hei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ARR 18.5–19.5÷1.85GW≈10.0–10.5M/MW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</rPr>
      <t xml:space="preserve">月漲價 </t>
    </r>
    <r>
      <rPr>
        <sz val="9"/>
        <color rgb="FF595959"/>
        <rFont val="Arial"/>
        <family val="0"/>
        <charset val="1"/>
      </rPr>
      <t xml:space="preserve">25% </t>
    </r>
    <r>
      <rPr>
        <sz val="9"/>
        <color rgb="FF595959"/>
        <rFont val="WenQuanYi Zen Hei"/>
        <family val="2"/>
      </rPr>
      <t xml:space="preserve">只影響新約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</si>
  <si>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新產能簽約率</t>
  </si>
  <si>
    <r>
      <rPr>
        <sz val="9"/>
        <color rgb="FF595959"/>
        <rFont val="WenQuanYi Zen Hei"/>
        <family val="2"/>
      </rPr>
      <t xml:space="preserve">未被期初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占用的產能能賣掉的比例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</si>
  <si>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客戶違約率</t>
  </si>
  <si>
    <r>
      <rPr>
        <sz val="9"/>
        <color rgb="FF595959"/>
        <rFont val="WenQuanYi Zen Hei"/>
        <family val="2"/>
      </rPr>
      <t xml:space="preserve">前三大客戶 </t>
    </r>
    <r>
      <rPr>
        <sz val="9"/>
        <color rgb="FF595959"/>
        <rFont val="Arial"/>
        <family val="0"/>
        <charset val="1"/>
      </rPr>
      <t xml:space="preserve">72% </t>
    </r>
    <r>
      <rPr>
        <sz val="9"/>
        <color rgb="FF595959"/>
        <rFont val="WenQuanYi Zen Hei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</si>
  <si>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</si>
  <si>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</si>
  <si>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</si>
  <si>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WenQuanYi Zen Hei"/>
        <family val="2"/>
      </rPr>
      <t xml:space="preserve">軟體／儲存／</t>
    </r>
    <r>
      <rPr>
        <sz val="9"/>
        <color rgb="FF595959"/>
        <rFont val="Arial"/>
        <family val="0"/>
        <charset val="1"/>
      </rPr>
      <t xml:space="preserve">CPU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managed inference</t>
    </r>
    <r>
      <rPr>
        <sz val="9"/>
        <color rgb="FF595959"/>
        <rFont val="WenQuanYi Zen Hei"/>
        <family val="2"/>
      </rPr>
      <t xml:space="preserve">；損益營收與資金現金共用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</si>
  <si>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WenQuanYi Zen Hei"/>
        <family val="2"/>
      </rPr>
      <t xml:space="preserve">率單一來源；損益與資金共用）</t>
    </r>
  </si>
  <si>
    <r>
      <rPr>
        <sz val="10"/>
        <rFont val="WenQuanYi Zen Hei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</si>
  <si>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Adj. EBITDA </t>
    </r>
    <r>
      <rPr>
        <sz val="9"/>
        <color rgb="FF595959"/>
        <rFont val="WenQuanYi Zen Hei"/>
        <family val="2"/>
      </rPr>
      <t xml:space="preserve">率 </t>
    </r>
    <r>
      <rPr>
        <sz val="9"/>
        <color rgb="FF595959"/>
        <rFont val="Arial"/>
        <family val="0"/>
        <charset val="1"/>
      </rPr>
      <t xml:space="preserve">58.6% [Verified]</t>
    </r>
  </si>
  <si>
    <r>
      <rPr>
        <sz val="10"/>
        <rFont val="WenQuanYi Zen Hei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</si>
  <si>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由下而上：每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現金成本約 </t>
    </r>
    <r>
      <rPr>
        <sz val="9"/>
        <color rgb="FF595959"/>
        <rFont val="Arial"/>
        <family val="0"/>
        <charset val="1"/>
      </rPr>
      <t xml:space="preserve">$3.2–3.6m</t>
    </r>
    <r>
      <rPr>
        <sz val="9"/>
        <color rgb="FF595959"/>
        <rFont val="WenQuanYi Zen Hei"/>
        <family val="2"/>
      </rPr>
      <t xml:space="preserve">／年收入 </t>
    </r>
    <r>
      <rPr>
        <sz val="9"/>
        <color rgb="FF595959"/>
        <rFont val="Arial"/>
        <family val="0"/>
        <charset val="1"/>
      </rPr>
      <t xml:space="preserve">$10.9m → 67–71%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Q2 59% </t>
    </r>
    <r>
      <rPr>
        <sz val="9"/>
        <color rgb="FF595959"/>
        <rFont val="WenQuanYi Zen Hei"/>
        <family val="2"/>
      </rPr>
      <t xml:space="preserve">含爬坡成本。基準 </t>
    </r>
    <r>
      <rPr>
        <sz val="9"/>
        <color rgb="FF595959"/>
        <rFont val="Arial"/>
        <family val="0"/>
        <charset val="1"/>
      </rPr>
      <t xml:space="preserve">65%</t>
    </r>
    <r>
      <rPr>
        <sz val="9"/>
        <color rgb="FF595959"/>
        <rFont val="WenQuanYi Zen Hei"/>
        <family val="2"/>
      </rPr>
      <t xml:space="preserve">，敏感度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70% [Derived]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</si>
  <si>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</si>
  <si>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＝起始＋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穩態−起始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WenQuanYi Zen Hei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  <r>
      <rPr>
        <sz val="9"/>
        <color rgb="FF595959"/>
        <rFont val="WenQuanYi Zen Hei"/>
        <family val="2"/>
      </rPr>
      <t xml:space="preserve">（公式）</t>
    </r>
  </si>
  <si>
    <t xml:space="preserve">非算力服務現金</t>
  </si>
  <si>
    <r>
      <rPr>
        <sz val="9"/>
        <color rgb="FF595959"/>
        <rFont val="WenQuanYi Zen Hei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WenQuanYi Zen Hei"/>
        <family val="2"/>
      </rPr>
      <t xml:space="preserve">率（公式）</t>
    </r>
  </si>
  <si>
    <r>
      <rPr>
        <b val="true"/>
        <sz val="10"/>
        <color rgb="FF1F3864"/>
        <rFont val="WenQuanYi Zen Hei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WenQuanYi Zen Hei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WenQuanYi Zen Hei"/>
        <family val="2"/>
      </rPr>
      <t xml:space="preserve">已含電費）</t>
    </r>
  </si>
  <si>
    <r>
      <rPr>
        <sz val="10"/>
        <rFont val="WenQuanYi Zen Hei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</si>
  <si>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</si>
  <si>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</si>
  <si>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</si>
  <si>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</si>
  <si>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</si>
  <si>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</si>
  <si>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t xml:space="preserve">US$m/MW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</si>
  <si>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WenQuanYi Zen Hei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</si>
  <si>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</si>
  <si>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WenQuanYi Zen Hei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</si>
  <si>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FY31 </t>
    </r>
    <r>
      <rPr>
        <sz val="10"/>
        <rFont val="WenQuanYi Zen Hei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FY30 </t>
    </r>
    <r>
      <rPr>
        <sz val="10"/>
        <rFont val="WenQuanYi Zen Hei"/>
        <family val="2"/>
      </rPr>
      <t xml:space="preserve">預建用）</t>
    </r>
  </si>
  <si>
    <r>
      <rPr>
        <sz val="9"/>
        <color rgb="FF595959"/>
        <rFont val="WenQuanYi Zen Hei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WenQuanYi Zen Hei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</si>
  <si>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WenQuanYi Zen Hei"/>
        <family val="2"/>
      </rPr>
      <t xml:space="preserve">下限（已承諾）</t>
    </r>
  </si>
  <si>
    <r>
      <rPr>
        <sz val="9"/>
        <color rgb="FF595959"/>
        <rFont val="WenQuanYi Zen Hei"/>
        <family val="2"/>
      </rPr>
      <t xml:space="preserve">全年指引下緣：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年支出多已下單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</si>
  <si>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經濟壽命（年）</t>
    </r>
  </si>
  <si>
    <t xml:space="preserve">年</t>
  </si>
  <si>
    <r>
      <rPr>
        <sz val="9"/>
        <color rgb="FF595959"/>
        <rFont val="WenQuanYi Zen Hei"/>
        <family val="2"/>
      </rPr>
      <t xml:space="preserve">公司對伺服器與網路設備的折舊年限；決定汰換時點與車隊折舊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</si>
  <si>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2023 </t>
    </r>
    <r>
      <rPr>
        <sz val="10"/>
        <rFont val="WenQuanYi Zen Hei"/>
        <family val="2"/>
      </rPr>
      <t xml:space="preserve">年底主動電力</t>
    </r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</si>
  <si>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2023 CapEx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3.1bn ÷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$30m/MW </t>
    </r>
    <r>
      <rPr>
        <sz val="9"/>
        <color rgb="FF595959"/>
        <rFont val="WenQuanYi Zen Hei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</si>
  <si>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2024 </t>
    </r>
    <r>
      <rPr>
        <sz val="10"/>
        <rFont val="WenQuanYi Zen Hei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</si>
  <si>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&gt;360 MW [Verified]</t>
    </r>
  </si>
  <si>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</si>
  <si>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CIP 11.9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</si>
  <si>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建置成本倍數（整體）</t>
    </r>
  </si>
  <si>
    <r>
      <rPr>
        <sz val="9"/>
        <color rgb="FF595959"/>
        <rFont val="WenQuanYi Zen Hei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</si>
  <si>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</t>
    </r>
  </si>
  <si>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WenQuanYi Zen Hei"/>
        <family val="2"/>
      </rPr>
      <t xml:space="preserve">＋網路＋機房內裝；以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校準重現全年指引 </t>
    </r>
    <r>
      <rPr>
        <sz val="9"/>
        <color rgb="FF595959"/>
        <rFont val="Arial"/>
        <family val="0"/>
        <charset val="1"/>
      </rPr>
      <t xml:space="preserve">35–39 [Derived]</t>
    </r>
  </si>
  <si>
    <r>
      <rPr>
        <sz val="10"/>
        <rFont val="WenQuanYi Zen Hei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</si>
  <si>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WenQuanYi Zen Hei"/>
        <family val="2"/>
      </rPr>
      <t xml:space="preserve">遞延收入淨流入 </t>
    </r>
    <r>
      <rPr>
        <sz val="9"/>
        <color rgb="FF595959"/>
        <rFont val="Arial"/>
        <family val="0"/>
        <charset val="1"/>
      </rPr>
      <t xml:space="preserve">1.365÷CapEx 16.139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8.5% [Derived]</t>
    </r>
  </si>
  <si>
    <r>
      <rPr>
        <sz val="10"/>
        <rFont val="WenQuanYi Zen Hei"/>
        <family val="2"/>
      </rPr>
      <t xml:space="preserve">在帳現金租金（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到期表）</t>
    </r>
  </si>
  <si>
    <r>
      <rPr>
        <sz val="9"/>
        <color rgb="FF595959"/>
        <rFont val="WenQuanYi Zen Hei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19.023 [Verified]</t>
    </r>
  </si>
  <si>
    <t xml:space="preserve">表外現金租金（未起租）</t>
  </si>
  <si>
    <r>
      <rPr>
        <sz val="9"/>
        <color rgb="FF595959"/>
        <rFont val="WenQuanYi Zen Hei"/>
        <family val="2"/>
      </rPr>
      <t xml:space="preserve">＝積極路徑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</si>
  <si>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已承諾餘額出資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</si>
  <si>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：兩個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WenQuanYi Zen Hei"/>
        <family val="2"/>
      </rPr>
      <t xml:space="preserve">承諾最高 </t>
    </r>
    <r>
      <rPr>
        <sz val="9"/>
        <color rgb="FF595959"/>
        <rFont val="Arial"/>
        <family val="0"/>
        <charset val="1"/>
      </rPr>
      <t xml:space="preserve">1.7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年內履行；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WenQuanYi Zen Hei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 [Verified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</si>
  <si>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後續增資＋策略投資</t>
    </r>
  </si>
  <si>
    <r>
      <rPr>
        <sz val="9"/>
        <color rgb="FF595959"/>
        <rFont val="WenQuanYi Zen Hei"/>
        <family val="2"/>
      </rPr>
      <t xml:space="preserve">入夥後須追加出資，金額未揭露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</si>
  <si>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</si>
  <si>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</si>
  <si>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WenQuanYi Zen Hei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WenQuanYi Zen Hei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</si>
  <si>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</si>
  <si>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850 MW</t>
    </r>
  </si>
  <si>
    <r>
      <rPr>
        <sz val="10"/>
        <rFont val="WenQuanYi Zen Hei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</si>
  <si>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</si>
  <si>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（公式）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</si>
  <si>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WenQuanYi Zen Hei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×λ)×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</t>
    </r>
  </si>
  <si>
    <r>
      <rPr>
        <sz val="10"/>
        <rFont val="WenQuanYi Zen Hei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</si>
  <si>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WenQuanYi Zen Hei"/>
        <family val="2"/>
      </rPr>
      <t xml:space="preserve">全年公式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) − 1H </t>
    </r>
    <r>
      <rPr>
        <sz val="9"/>
        <color rgb="FF595959"/>
        <rFont val="WenQuanYi Zen Hei"/>
        <family val="2"/>
      </rPr>
      <t xml:space="preserve">已認列 </t>
    </r>
    <r>
      <rPr>
        <sz val="9"/>
        <color rgb="FF595959"/>
        <rFont val="Arial"/>
        <family val="0"/>
        <charset val="1"/>
      </rPr>
      <t xml:space="preserve">16.139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</si>
  <si>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</si>
  <si>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WenQuanYi Zen Hei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成本；取代已折舊完的設備</t>
    </r>
  </si>
  <si>
    <r>
      <rPr>
        <sz val="10"/>
        <rFont val="WenQuanYi Zen Hei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</si>
  <si>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WenQuanYi Zen Hei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</si>
  <si>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WenQuanYi Zen Hei"/>
        <family val="2"/>
      </rPr>
      <t xml:space="preserve">與折舊（結果；下游引用）</t>
    </r>
  </si>
  <si>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</si>
  <si>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</si>
  <si>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WenQuanYi Zen Hei"/>
        <family val="2"/>
      </rPr>
      <t xml:space="preserve">（車隊折舊）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</si>
  <si>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期初毛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WenQuanYi Zen Hei"/>
        <family val="2"/>
      </rPr>
      <t xml:space="preserve">＋本期成長型</t>
    </r>
    <r>
      <rPr>
        <sz val="9"/>
        <color rgb="FF595959"/>
        <rFont val="Arial"/>
        <family val="0"/>
        <charset val="1"/>
      </rPr>
      <t xml:space="preserve">×½)÷</t>
    </r>
    <r>
      <rPr>
        <sz val="9"/>
        <color rgb="FF595959"/>
        <rFont val="WenQuanYi Zen Hei"/>
        <family val="2"/>
      </rPr>
      <t xml:space="preserve">壽命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</si>
  <si>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WenQuanYi Zen Hei"/>
        <family val="2"/>
      </rPr>
      <t xml:space="preserve">｜融資（期初現金、既有債務、瀑布參數）</t>
    </r>
  </si>
  <si>
    <r>
      <rPr>
        <sz val="10"/>
        <rFont val="WenQuanYi Zen Hei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</si>
  <si>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：現金 </t>
    </r>
    <r>
      <rPr>
        <sz val="9"/>
        <color rgb="FF595959"/>
        <rFont val="Arial"/>
        <family val="0"/>
        <charset val="1"/>
      </rPr>
      <t xml:space="preserve">5.524</t>
    </r>
    <r>
      <rPr>
        <sz val="9"/>
        <color rgb="FF595959"/>
        <rFont val="WenQuanYi Zen Hei"/>
        <family val="2"/>
      </rPr>
      <t xml:space="preserve">＋有價證券 </t>
    </r>
    <r>
      <rPr>
        <sz val="9"/>
        <color rgb="FF595959"/>
        <rFont val="Arial"/>
        <family val="0"/>
        <charset val="1"/>
      </rPr>
      <t xml:space="preserve">0.015</t>
    </r>
    <r>
      <rPr>
        <sz val="9"/>
        <color rgb="FF595959"/>
        <rFont val="WenQuanYi Zen Hei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1.38 </t>
    </r>
    <r>
      <rPr>
        <sz val="9"/>
        <color rgb="FF595959"/>
        <rFont val="WenQuanYi Zen Hei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</si>
  <si>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股權／可轉債金額</t>
  </si>
  <si>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WenQuanYi Zen Hei"/>
        <family val="2"/>
      </rPr>
      <t xml:space="preserve">可轉債淨現金約 </t>
    </r>
    <r>
      <rPr>
        <sz val="9"/>
        <color rgb="FF595959"/>
        <rFont val="Arial"/>
        <family val="0"/>
        <charset val="1"/>
      </rPr>
      <t xml:space="preserve">3.2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WenQuanYi Zen Hei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35m </t>
    </r>
    <r>
      <rPr>
        <sz val="9"/>
        <color rgb="FF595959"/>
        <rFont val="WenQuanYi Zen Hei"/>
        <family val="2"/>
      </rPr>
      <t xml:space="preserve">股 </t>
    </r>
    <r>
      <rPr>
        <sz val="9"/>
        <color rgb="FF595959"/>
        <rFont val="Arial"/>
        <family val="0"/>
        <charset val="1"/>
      </rPr>
      <t xml:space="preserve">× $85.43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9/21 </t>
    </r>
    <r>
      <rPr>
        <sz val="9"/>
        <color rgb="FF595959"/>
        <rFont val="WenQuanYi Zen Hei"/>
        <family val="2"/>
      </rPr>
      <t xml:space="preserve">收盤；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WenQuanYi Zen Hei"/>
        <family val="2"/>
      </rPr>
      <t xml:space="preserve">現價更新後維持）≈ </t>
    </r>
    <r>
      <rPr>
        <sz val="9"/>
        <color rgb="FF595959"/>
        <rFont val="Arial"/>
        <family val="0"/>
        <charset val="1"/>
      </rPr>
      <t xml:space="preserve">3.0 [Verified]</t>
    </r>
  </si>
  <si>
    <r>
      <rPr>
        <sz val="10"/>
        <rFont val="WenQuanYi Zen Hei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</si>
  <si>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WenQuanYi Zen Hei"/>
        <family val="2"/>
      </rPr>
      <t xml:space="preserve">關閉則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少 </t>
    </r>
    <r>
      <rPr>
        <sz val="9"/>
        <color rgb="FF595959"/>
        <rFont val="Arial"/>
        <family val="0"/>
        <charset val="1"/>
      </rPr>
      <t xml:space="preserve">6.2bn </t>
    </r>
    <r>
      <rPr>
        <sz val="9"/>
        <color rgb="FF595959"/>
        <rFont val="WenQuanYi Zen Hei"/>
        <family val="2"/>
      </rPr>
      <t xml:space="preserve">來源</t>
    </r>
  </si>
  <si>
    <t xml:space="preserve">未動用信用額度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</si>
  <si>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可用額度 </t>
    </r>
    <r>
      <rPr>
        <sz val="9"/>
        <color rgb="FF595959"/>
        <rFont val="Arial"/>
        <family val="0"/>
        <charset val="1"/>
      </rPr>
      <t xml:space="preserve">10.014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RCF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DDTL </t>
    </r>
    <r>
      <rPr>
        <sz val="9"/>
        <color rgb="FF595959"/>
        <rFont val="WenQuanYi Zen Hei"/>
        <family val="2"/>
      </rPr>
      <t xml:space="preserve">未動用）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</si>
  <si>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</si>
  <si>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WenQuanYi Zen Hei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上限限制</t>
    </r>
  </si>
  <si>
    <r>
      <rPr>
        <sz val="10"/>
        <rFont val="WenQuanYi Zen Hei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</si>
  <si>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本金到期表；關閉＝假設全額再融資</t>
    </r>
  </si>
  <si>
    <r>
      <rPr>
        <sz val="10"/>
        <rFont val="WenQuanYi Zen Hei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</si>
  <si>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1.0x</t>
    </r>
    <r>
      <rPr>
        <sz val="9"/>
        <color rgb="FF595959"/>
        <rFont val="WenQuanYi Zen Hei"/>
        <family val="2"/>
      </rPr>
      <t xml:space="preserve">：依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年實際融資組合（債務約 </t>
    </r>
    <r>
      <rPr>
        <sz val="9"/>
        <color rgb="FF595959"/>
        <rFont val="Arial"/>
        <family val="0"/>
        <charset val="1"/>
      </rPr>
      <t xml:space="preserve">77%</t>
    </r>
    <r>
      <rPr>
        <sz val="9"/>
        <color rgb="FF595959"/>
        <rFont val="WenQuanYi Zen Hei"/>
        <family val="2"/>
      </rPr>
      <t xml:space="preserve">、股權約 </t>
    </r>
    <r>
      <rPr>
        <sz val="9"/>
        <color rgb="FF595959"/>
        <rFont val="Arial"/>
        <family val="0"/>
        <charset val="1"/>
      </rPr>
      <t xml:space="preserve">23%</t>
    </r>
    <r>
      <rPr>
        <sz val="9"/>
        <color rgb="FF595959"/>
        <rFont val="WenQuanYi Zen Hei"/>
        <family val="2"/>
      </rPr>
      <t xml:space="preserve">）校準；公司簡報當前約 </t>
    </r>
    <r>
      <rPr>
        <sz val="9"/>
        <color rgb="FF595959"/>
        <rFont val="Arial"/>
        <family val="0"/>
        <charset val="1"/>
      </rPr>
      <t xml:space="preserve">0.4x</t>
    </r>
    <r>
      <rPr>
        <sz val="9"/>
        <color rgb="FF595959"/>
        <rFont val="WenQuanYi Zen Hei"/>
        <family val="2"/>
      </rPr>
      <t xml:space="preserve">（敏感度）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</si>
  <si>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新簽合約年期</t>
  </si>
  <si>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WenQuanYi Zen Hei"/>
        <family val="2"/>
      </rPr>
      <t xml:space="preserve">法說：加權平均合約約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年；決定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補入量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</si>
  <si>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最低現金</t>
  </si>
  <si>
    <r>
      <rPr>
        <sz val="9"/>
        <color rgb="FF595959"/>
        <rFont val="WenQuanYi Zen Hei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</si>
  <si>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股權發行價</t>
  </si>
  <si>
    <r>
      <rPr>
        <sz val="9"/>
        <color rgb="FF595959"/>
        <rFont val="WenQuanYi Zen Hei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2026-09-24 </t>
    </r>
    <r>
      <rPr>
        <sz val="9"/>
        <color rgb="FF595959"/>
        <rFont val="WenQuanYi Zen Hei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</si>
  <si>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</si>
  <si>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WenQuanYi Zen Hei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</si>
  <si>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</si>
  <si>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年實際約 </t>
    </r>
    <r>
      <rPr>
        <sz val="9"/>
        <color rgb="FF595959"/>
        <rFont val="Arial"/>
        <family val="0"/>
        <charset val="1"/>
      </rPr>
      <t xml:space="preserve">13%</t>
    </r>
    <r>
      <rPr>
        <sz val="9"/>
        <color rgb="FF595959"/>
        <rFont val="WenQuanYi Zen Hei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WenQuanYi Zen Hei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</si>
  <si>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高息債利率（股權上限溢出）</t>
  </si>
  <si>
    <r>
      <rPr>
        <sz val="9"/>
        <color rgb="FF595959"/>
        <rFont val="WenQuanYi Zen Hei"/>
        <family val="2"/>
      </rPr>
      <t xml:space="preserve">高於 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WenQuanYi Zen Hei"/>
        <family val="2"/>
      </rPr>
      <t xml:space="preserve">票據 </t>
    </r>
    <r>
      <rPr>
        <sz val="9"/>
        <color rgb="FF595959"/>
        <rFont val="Arial"/>
        <family val="0"/>
        <charset val="1"/>
      </rPr>
      <t xml:space="preserve">9.75%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WenQuanYi Zen Hei"/>
        <family val="2"/>
      </rPr>
      <t xml:space="preserve">中價 </t>
    </r>
    <r>
      <rPr>
        <sz val="9"/>
        <color rgb="FF595959"/>
        <rFont val="Arial"/>
        <family val="0"/>
        <charset val="1"/>
      </rPr>
      <t xml:space="preserve">720bps 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</si>
  <si>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中價</t>
    </r>
  </si>
  <si>
    <t xml:space="preserve">bps</t>
  </si>
  <si>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WenQuanYi Zen Hei"/>
        <family val="2"/>
      </rPr>
      <t xml:space="preserve">中價 </t>
    </r>
    <r>
      <rPr>
        <sz val="9"/>
        <color rgb="FF595959"/>
        <rFont val="Arial"/>
        <family val="0"/>
        <charset val="1"/>
      </rPr>
      <t xml:space="preserve">720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Bid/Ask 690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750</t>
    </r>
    <r>
      <rPr>
        <sz val="9"/>
        <color rgb="FF595959"/>
        <rFont val="WenQuanYi Zen Hei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680–855 [User-provided]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</si>
  <si>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</si>
  <si>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r>
      <rPr>
        <sz val="9"/>
        <color rgb="FF595959"/>
        <rFont val="WenQuanYi Zen Hei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WenQuanYi Zen Hei"/>
        <family val="2"/>
      </rPr>
      <t xml:space="preserve">。預設關以免與 </t>
    </r>
    <r>
      <rPr>
        <sz val="9"/>
        <color rgb="FF595959"/>
        <rFont val="Arial"/>
        <family val="0"/>
        <charset val="1"/>
      </rPr>
      <t xml:space="preserve">9% </t>
    </r>
    <r>
      <rPr>
        <sz val="9"/>
        <color rgb="FF595959"/>
        <rFont val="WenQuanYi Zen Hei"/>
        <family val="2"/>
      </rPr>
      <t xml:space="preserve">重複</t>
    </r>
  </si>
  <si>
    <r>
      <rPr>
        <sz val="10"/>
        <rFont val="WenQuanYi Zen Hei"/>
        <family val="2"/>
      </rPr>
      <t xml:space="preserve">排程還本（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本金表）</t>
    </r>
  </si>
  <si>
    <r>
      <rPr>
        <sz val="9"/>
        <color rgb="FF595959"/>
        <rFont val="WenQuanYi Zen Hei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WenQuanYi Zen Hei"/>
        <family val="2"/>
      </rPr>
      <t xml:space="preserve">；其後 </t>
    </r>
    <r>
      <rPr>
        <sz val="9"/>
        <color rgb="FF595959"/>
        <rFont val="Arial"/>
        <family val="0"/>
        <charset val="1"/>
      </rPr>
      <t xml:space="preserve">14.896 [Verified]</t>
    </r>
  </si>
  <si>
    <t xml:space="preserve">新債利率</t>
  </si>
  <si>
    <r>
      <rPr>
        <sz val="9"/>
        <color rgb="FF595959"/>
        <rFont val="WenQuanYi Zen Hei"/>
        <family val="2"/>
      </rPr>
      <t xml:space="preserve">瀑布新債成本：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WenQuanYi Zen Hei"/>
        <family val="2"/>
      </rPr>
      <t xml:space="preserve">票據 </t>
    </r>
    <r>
      <rPr>
        <sz val="9"/>
        <color rgb="FF595959"/>
        <rFont val="Arial"/>
        <family val="0"/>
        <charset val="1"/>
      </rPr>
      <t xml:space="preserve">9.75%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2032 9.625%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DDTL5.0 SOFR+450 [Derived]</t>
    </r>
  </si>
  <si>
    <t xml:space="preserve">存量債務利息（下游引用此列）</t>
  </si>
  <si>
    <r>
      <rPr>
        <sz val="9"/>
        <color rgb="FF595959"/>
        <rFont val="WenQuanYi Zen Hei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期間長度＋可轉債利息＋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</si>
  <si>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WenQuanYi Zen Hei"/>
        <family val="2"/>
      </rPr>
      <t xml:space="preserve">｜評價（價格、股數、折現、倍數、權重）</t>
    </r>
  </si>
  <si>
    <r>
      <rPr>
        <sz val="10"/>
        <rFont val="WenQuanYi Zen Hei"/>
        <family val="2"/>
      </rPr>
      <t xml:space="preserve">現價（</t>
    </r>
    <r>
      <rPr>
        <sz val="10"/>
        <rFont val="Arial"/>
        <family val="0"/>
        <charset val="1"/>
      </rPr>
      <t xml:space="preserve">2026-09-24 </t>
    </r>
    <r>
      <rPr>
        <sz val="10"/>
        <rFont val="WenQuanYi Zen Hei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</si>
  <si>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https://stockanalysis.com/stocks/crwv/forecast/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WenQuanYi Zen Hei"/>
        <family val="2"/>
      </rPr>
      <t xml:space="preserve">收盤 </t>
    </r>
    <r>
      <rPr>
        <sz val="9"/>
        <color rgb="FF595959"/>
        <rFont val="Arial"/>
        <family val="0"/>
        <charset val="1"/>
      </rPr>
      <t xml:space="preserve">79.88 [Verified]</t>
    </r>
  </si>
  <si>
    <r>
      <rPr>
        <sz val="10"/>
        <rFont val="WenQuanYi Zen Hei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上限）</t>
    </r>
  </si>
  <si>
    <t xml:space="preserve">bn</t>
  </si>
  <si>
    <r>
      <rPr>
        <sz val="9"/>
        <color rgb="FF595959"/>
        <rFont val="Arial"/>
        <family val="0"/>
        <charset val="1"/>
      </rPr>
      <t xml:space="preserve">7/31 </t>
    </r>
    <r>
      <rPr>
        <sz val="9"/>
        <color rgb="FF595959"/>
        <rFont val="WenQuanYi Zen Hei"/>
        <family val="2"/>
      </rPr>
      <t xml:space="preserve">流通 </t>
    </r>
    <r>
      <rPr>
        <sz val="9"/>
        <color rgb="FF595959"/>
        <rFont val="Arial"/>
        <family val="0"/>
        <charset val="1"/>
      </rPr>
      <t xml:space="preserve">0.5515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35m [Verified]</t>
    </r>
  </si>
  <si>
    <r>
      <rPr>
        <sz val="10"/>
        <rFont val="WenQuanYi Zen Hei"/>
        <family val="2"/>
      </rPr>
      <t xml:space="preserve">淨負債（</t>
    </r>
    <r>
      <rPr>
        <sz val="10"/>
        <rFont val="Arial"/>
        <family val="0"/>
        <charset val="1"/>
      </rPr>
      <t xml:space="preserve">6/30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</si>
  <si>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本金 </t>
    </r>
    <r>
      <rPr>
        <sz val="9"/>
        <color rgb="FF595959"/>
        <rFont val="Arial"/>
        <family val="0"/>
        <charset val="1"/>
      </rPr>
      <t xml:space="preserve">35.551 − </t>
    </r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5.524 [Verified]</t>
    </r>
  </si>
  <si>
    <t xml:space="preserve">WACC</t>
  </si>
  <si>
    <r>
      <rPr>
        <sz val="10"/>
        <rFont val="WenQuanYi Zen Hei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</si>
  <si>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WenQuanYi Zen Hei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</si>
  <si>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WenQuanYi Zen Hei"/>
        <family val="2"/>
      </rPr>
      <t xml:space="preserve">終值不讓成長性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 [Assumed]</t>
    </r>
  </si>
  <si>
    <t xml:space="preserve">稅率</t>
  </si>
  <si>
    <r>
      <rPr>
        <sz val="9"/>
        <color rgb="FF595959"/>
        <rFont val="WenQuanYi Zen Hei"/>
        <family val="2"/>
      </rPr>
      <t xml:space="preserve">美國聯邦名目稅率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</si>
  <si>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WenQuanYi Zen Hei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</si>
  <si>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WenQuanYi Zen Hei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80% [Derived]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</si>
  <si>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倍數</t>
    </r>
  </si>
  <si>
    <r>
      <rPr>
        <sz val="9"/>
        <color rgb="FF595959"/>
        <rFont val="WenQuanYi Zen Hei"/>
        <family val="2"/>
      </rPr>
      <t xml:space="preserve">穩態合理倍數約 </t>
    </r>
    <r>
      <rPr>
        <sz val="9"/>
        <color rgb="FF595959"/>
        <rFont val="Arial"/>
        <family val="0"/>
        <charset val="1"/>
      </rPr>
      <t xml:space="preserve">3.4–6.0x</t>
    </r>
    <r>
      <rPr>
        <sz val="9"/>
        <color rgb="FF595959"/>
        <rFont val="WenQuanYi Zen Hei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WenQuanYi Zen Hei"/>
        <family val="2"/>
      </rPr>
      <t xml:space="preserve">為上緣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</si>
  <si>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</si>
  <si>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WenQuanYi Zen Hei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WenQuanYi Zen Hei"/>
        <family val="2"/>
      </rPr>
      <t xml:space="preserve">（目標價時點）；</t>
    </r>
    <r>
      <rPr>
        <sz val="9"/>
        <color rgb="FF595959"/>
        <rFont val="Arial"/>
        <family val="0"/>
        <charset val="1"/>
      </rPr>
      <t xml:space="preserve">v3.6 </t>
    </r>
    <r>
      <rPr>
        <sz val="9"/>
        <color rgb="FF595959"/>
        <rFont val="WenQuanYi Zen Hei"/>
        <family val="2"/>
      </rPr>
      <t xml:space="preserve">起預設 </t>
    </r>
    <r>
      <rPr>
        <sz val="9"/>
        <color rgb="FF595959"/>
        <rFont val="Arial"/>
        <family val="0"/>
        <charset val="1"/>
      </rPr>
      <t xml:space="preserve">FY29</t>
    </r>
    <r>
      <rPr>
        <sz val="9"/>
        <color rgb="FF595959"/>
        <rFont val="WenQuanYi Zen Hei"/>
        <family val="2"/>
      </rPr>
      <t xml:space="preserve">：接近穩態利潤率，與 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WenQuanYi Zen Hei"/>
        <family val="2"/>
      </rPr>
      <t xml:space="preserve">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</si>
  <si>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</si>
  <si>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WenQuanYi Zen Hei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</si>
  <si>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</si>
  <si>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WenQuanYi Zen Hei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WenQuanYi Zen Hei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</si>
  <si>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</si>
  <si>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WenQuanYi Zen Hei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WenQuanYi Zen Hei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</si>
  <si>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0.66bn</t>
    </r>
    <r>
      <rPr>
        <sz val="9"/>
        <color rgb="FF595959"/>
        <rFont val="WenQuanYi Zen Hei"/>
        <family val="2"/>
      </rPr>
      <t xml:space="preserve">／年 </t>
    </r>
    <r>
      <rPr>
        <sz val="9"/>
        <color rgb="FF595959"/>
        <rFont val="Arial"/>
        <family val="0"/>
        <charset val="1"/>
      </rPr>
      <t xml:space="preserve">÷ $80 ≈ 1.4%</t>
    </r>
    <r>
      <rPr>
        <sz val="9"/>
        <color rgb="FF595959"/>
        <rFont val="WenQuanYi Zen Hei"/>
        <family val="2"/>
      </rPr>
      <t xml:space="preserve">／年，取 </t>
    </r>
    <r>
      <rPr>
        <sz val="9"/>
        <color rgb="FF595959"/>
        <rFont val="Arial"/>
        <family val="0"/>
        <charset val="1"/>
      </rPr>
      <t xml:space="preserve">1% [Derived]</t>
    </r>
  </si>
  <si>
    <r>
      <rPr>
        <sz val="10"/>
        <rFont val="WenQuanYi Zen Hei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</si>
  <si>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Arial"/>
        <family val="0"/>
        <charset val="1"/>
      </rPr>
      <t xml:space="preserve">Q2 0.165</t>
    </r>
    <r>
      <rPr>
        <sz val="9"/>
        <color rgb="FF595959"/>
        <rFont val="WenQuanYi Zen Hei"/>
        <family val="2"/>
      </rPr>
      <t xml:space="preserve">／季年化約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WenQuanYi Zen Hei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 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</si>
  <si>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WenQuanYi Zen Hei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WenQuanYi Zen Hei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</si>
  <si>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</si>
  <si>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WenQuanYi Zen Hei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WenQuanYi Zen Hei"/>
        <family val="2"/>
      </rPr>
      <t xml:space="preserve">，股權＝以企業價值為標的、淨負債為履約價的買權</t>
    </r>
  </si>
  <si>
    <r>
      <rPr>
        <sz val="10"/>
        <rFont val="WenQuanYi Zen Hei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</si>
  <si>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WenQuanYi Zen Hei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</si>
  <si>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無風險利率</t>
  </si>
  <si>
    <t xml:space="preserve">選擇權期間（年）</t>
  </si>
  <si>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FY30 </t>
    </r>
    <r>
      <rPr>
        <sz val="9"/>
        <color rgb="FF595959"/>
        <rFont val="WenQuanYi Zen Hei"/>
        <family val="2"/>
      </rPr>
      <t xml:space="preserve">末</t>
    </r>
  </si>
  <si>
    <r>
      <rPr>
        <b val="true"/>
        <sz val="10"/>
        <color rgb="FF1F3864"/>
        <rFont val="WenQuanYi Zen Hei"/>
        <family val="2"/>
      </rPr>
      <t xml:space="preserve">▸ 期間與日期（</t>
    </r>
    <r>
      <rPr>
        <b val="true"/>
        <sz val="10"/>
        <color rgb="FF1F3864"/>
        <rFont val="Arial"/>
        <family val="0"/>
        <charset val="1"/>
      </rPr>
      <t xml:space="preserve">company.json → calendar </t>
    </r>
    <r>
      <rPr>
        <b val="true"/>
        <sz val="10"/>
        <color rgb="FF1F3864"/>
        <rFont val="WenQuanYi Zen Hei"/>
        <family val="2"/>
      </rPr>
      <t xml:space="preserve">推算；勿手改）</t>
    </r>
  </si>
  <si>
    <t xml:space="preserve">財年結束月份</t>
  </si>
  <si>
    <t xml:space="preserve">月</t>
  </si>
  <si>
    <t xml:space="preserve">calendar.fiscalYearEndMonth</t>
  </si>
  <si>
    <t xml:space="preserve">最新已申報季度（年度首期依此滾動）</t>
  </si>
  <si>
    <t xml:space="preserve">FY26Q2</t>
  </si>
  <si>
    <r>
      <rPr>
        <sz val="9"/>
        <color rgb="FF595959"/>
        <rFont val="Arial"/>
        <family val="0"/>
        <charset val="1"/>
      </rPr>
      <t xml:space="preserve">calendar.latestQuarterFiled</t>
    </r>
    <r>
      <rPr>
        <sz val="9"/>
        <color rgb="FF595959"/>
        <rFont val="WenQuanYi Zen Hei"/>
        <family val="2"/>
      </rPr>
      <t xml:space="preserve">；財報新聞稿只更新季度層，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申報後年度首期才滾動</t>
    </r>
  </si>
  <si>
    <t xml:space="preserve">評價日（已申報季度的季末）</t>
  </si>
  <si>
    <t xml:space="preserve">2026-06-30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</si>
  <si>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折現、淨負債與股數的基準日</t>
    </r>
  </si>
  <si>
    <t xml:space="preserve">目標價時點</t>
  </si>
  <si>
    <t xml:space="preserve">2027-06-30</t>
  </si>
  <si>
    <r>
      <rPr>
        <sz val="9"/>
        <color rgb="FF595959"/>
        <rFont val="WenQuanYi Zen Hei"/>
        <family val="2"/>
      </rPr>
      <t xml:space="preserve">評價日＋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個月</t>
    </r>
  </si>
  <si>
    <t xml:space="preserve">目標價時點距評價日</t>
  </si>
  <si>
    <t xml:space="preserve">模型期間</t>
  </si>
  <si>
    <t xml:space="preserve">FY26–FY30</t>
  </si>
  <si>
    <r>
      <rPr>
        <sz val="9"/>
        <color rgb="FF595959"/>
        <rFont val="WenQuanYi Zen Hei"/>
        <family val="2"/>
      </rPr>
      <t xml:space="preserve">首期＋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個完整財年（</t>
    </r>
    <r>
      <rPr>
        <sz val="9"/>
        <color rgb="FF595959"/>
        <rFont val="Arial"/>
        <family val="0"/>
        <charset val="1"/>
      </rPr>
      <t xml:space="preserve">calendar.modelYears</t>
    </r>
    <r>
      <rPr>
        <sz val="9"/>
        <color rgb="FF595959"/>
        <rFont val="WenQuanYi Zen Hei"/>
        <family val="2"/>
      </rPr>
      <t xml:space="preserve">）</t>
    </r>
  </si>
  <si>
    <t xml:space="preserve">資料更新日</t>
  </si>
  <si>
    <t xml:space="preserve">2026-09-25</t>
  </si>
  <si>
    <t xml:space="preserve">company.json → meta.updateDate</t>
  </si>
  <si>
    <t xml:space="preserve">現價日（收盤）</t>
  </si>
  <si>
    <t xml:space="preserve">2026-09-24</t>
  </si>
  <si>
    <t xml:space="preserve">company.json → meta.priceDate</t>
  </si>
  <si>
    <t xml:space="preserve">錨定期折回年數調整（目標價時點 − 首期長度）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</si>
  <si>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腿：錨定期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的期末折回目標價時點的年數＝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WenQuanYi Zen Hei"/>
        <family val="2"/>
      </rPr>
      <t xml:space="preserve">此值</t>
    </r>
  </si>
  <si>
    <t xml:space="preserve">期間與日期</t>
  </si>
  <si>
    <t xml:space="preserve">期末日</t>
  </si>
  <si>
    <t xml:space="preserve">2026-12-31</t>
  </si>
  <si>
    <t xml:space="preserve">2027-12-31</t>
  </si>
  <si>
    <t xml:space="preserve">2028-12-31</t>
  </si>
  <si>
    <t xml:space="preserve">2029-12-31</t>
  </si>
  <si>
    <t xml:space="preserve">2030-12-31</t>
  </si>
  <si>
    <r>
      <rPr>
        <sz val="9"/>
        <color rgb="FF595959"/>
        <rFont val="WenQuanYi Zen Hei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12</t>
    </r>
  </si>
  <si>
    <t xml:space="preserve">折現年數：評價日 → 期末</t>
  </si>
  <si>
    <t xml:space="preserve">折現年數：評價日 → 期初</t>
  </si>
  <si>
    <r>
      <rPr>
        <b val="true"/>
        <sz val="10"/>
        <color rgb="FF1F3864"/>
        <rFont val="WenQuanYi Zen Hei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WenQuanYi Zen Hei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WenQuanYi Zen Hei"/>
        <family val="2"/>
      </rPr>
      <t xml:space="preserve">）</t>
    </r>
  </si>
  <si>
    <t xml:space="preserve">買進：空間下限</t>
  </si>
  <si>
    <r>
      <rPr>
        <sz val="9"/>
        <color rgb="FF595959"/>
        <rFont val="WenQuanYi Zen Hei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WenQuanYi Zen Hei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</si>
  <si>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</si>
  <si>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</si>
  <si>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</si>
  <si>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WenQuanYi Zen Hei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</si>
  <si>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現市值）</t>
    </r>
  </si>
  <si>
    <r>
      <rPr>
        <sz val="9"/>
        <color rgb="FF595959"/>
        <rFont val="WenQuanYi Zen Hei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</si>
  <si>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</si>
  <si>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WenQuanYi Zen Hei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</si>
  <si>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</si>
  <si>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WenQuanYi Zen Hei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</si>
  <si>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警示</t>
    </r>
  </si>
  <si>
    <r>
      <rPr>
        <sz val="9"/>
        <color rgb="FF595959"/>
        <rFont val="WenQuanYi Zen Hei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</si>
  <si>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WenQuanYi Zen Hei"/>
        <family val="2"/>
      </rPr>
      <t xml:space="preserve">實際（</t>
    </r>
    <r>
      <rPr>
        <b val="true"/>
        <sz val="10"/>
        <rFont val="Arial"/>
        <family val="0"/>
        <charset val="1"/>
      </rPr>
      <t xml:space="preserve">10-Q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2026-01-01 </t>
    </r>
    <r>
      <rPr>
        <b val="true"/>
        <sz val="10"/>
        <rFont val="WenQuanYi Zen Hei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WenQuanYi Zen Hei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</si>
  <si>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WenQuanYi Zen Hei"/>
        <family val="2"/>
      </rPr>
      <t xml:space="preserve">現金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</si>
  <si>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比較期資產負債表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</si>
  <si>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</si>
  <si>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WenQuanYi Zen Hei"/>
        <family val="2"/>
      </rPr>
      <t xml:space="preserve">已含已付利息 </t>
    </r>
    <r>
      <rPr>
        <sz val="9"/>
        <color rgb="FF595959"/>
        <rFont val="Arial"/>
        <family val="0"/>
        <charset val="1"/>
      </rPr>
      <t xml:space="preserve">0.806 </t>
    </r>
    <r>
      <rPr>
        <sz val="9"/>
        <color rgb="FF595959"/>
        <rFont val="WenQuanYi Zen Hei"/>
        <family val="2"/>
      </rPr>
      <t xml:space="preserve">與租賃付款 </t>
    </r>
    <r>
      <rPr>
        <sz val="9"/>
        <color rgb="FF595959"/>
        <rFont val="Arial"/>
        <family val="0"/>
        <charset val="1"/>
      </rPr>
      <t xml:space="preserve">0.748 [Verified]</t>
    </r>
  </si>
  <si>
    <r>
      <rPr>
        <sz val="10"/>
        <rFont val="WenQuanYi Zen Hei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</si>
  <si>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WenQuanYi Zen Hei"/>
        <family val="2"/>
      </rPr>
      <t xml:space="preserve">現金流量表投資活動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</si>
  <si>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WenQuanYi Zen Hei"/>
        <family val="2"/>
      </rPr>
      <t xml:space="preserve">融資）</t>
    </r>
  </si>
  <si>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WenQuanYi Zen Hei"/>
        <family val="2"/>
      </rPr>
      <t xml:space="preserve">增加＋融資租賃−</t>
    </r>
    <r>
      <rPr>
        <sz val="9"/>
        <color rgb="FF595959"/>
        <rFont val="Arial"/>
        <family val="0"/>
        <charset val="1"/>
      </rPr>
      <t xml:space="preserve">CIP </t>
    </r>
    <r>
      <rPr>
        <sz val="9"/>
        <color rgb="FF595959"/>
        <rFont val="WenQuanYi Zen Hei"/>
        <family val="2"/>
      </rPr>
      <t xml:space="preserve">變動；與全年指引同口徑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</si>
  <si>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</rPr>
      <t xml:space="preserve">＋策略投資出資</t>
    </r>
  </si>
  <si>
    <r>
      <rPr>
        <sz val="9"/>
        <color rgb="FF595959"/>
        <rFont val="Arial"/>
        <family val="0"/>
        <charset val="1"/>
      </rPr>
      <t xml:space="preserve">JV 0.550</t>
    </r>
    <r>
      <rPr>
        <sz val="9"/>
        <color rgb="FF595959"/>
        <rFont val="WenQuanYi Zen Hei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0.138 [Verified]</t>
    </r>
  </si>
  <si>
    <t xml:space="preserve">借款</t>
  </si>
  <si>
    <r>
      <rPr>
        <sz val="9"/>
        <color rgb="FF595959"/>
        <rFont val="WenQuanYi Zen Hei"/>
        <family val="2"/>
      </rPr>
      <t xml:space="preserve">融資活動流入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</si>
  <si>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還款</t>
  </si>
  <si>
    <r>
      <rPr>
        <sz val="9"/>
        <color rgb="FF595959"/>
        <rFont val="WenQuanYi Zen Hei"/>
        <family val="2"/>
      </rPr>
      <t xml:space="preserve">融資活動流出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</si>
  <si>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WenQuanYi Zen Hei"/>
        <family val="2"/>
      </rPr>
      <t xml:space="preserve">支出</t>
    </r>
  </si>
  <si>
    <r>
      <rPr>
        <sz val="9"/>
        <color rgb="FF595959"/>
        <rFont val="Arial"/>
        <family val="0"/>
        <charset val="1"/>
      </rPr>
      <t xml:space="preserve">Q2 4.0bn </t>
    </r>
    <r>
      <rPr>
        <sz val="9"/>
        <color rgb="FF595959"/>
        <rFont val="WenQuanYi Zen Hei"/>
        <family val="2"/>
      </rPr>
      <t xml:space="preserve">可轉債的 </t>
    </r>
    <r>
      <rPr>
        <sz val="9"/>
        <color rgb="FF595959"/>
        <rFont val="Arial"/>
        <family val="0"/>
        <charset val="1"/>
      </rPr>
      <t xml:space="preserve">capped call [Verified]</t>
    </r>
  </si>
  <si>
    <t xml:space="preserve">私募股權</t>
  </si>
  <si>
    <r>
      <rPr>
        <sz val="9"/>
        <color rgb="FF595959"/>
        <rFont val="Arial"/>
        <family val="0"/>
        <charset val="1"/>
      </rPr>
      <t xml:space="preserve">NVIDIA 2.0 @$87.20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月 </t>
    </r>
    <r>
      <rPr>
        <sz val="9"/>
        <color rgb="FF595959"/>
        <rFont val="Arial"/>
        <family val="0"/>
        <charset val="1"/>
      </rPr>
      <t xml:space="preserve">1.0 @$109 [Verified]</t>
    </r>
  </si>
  <si>
    <t xml:space="preserve">利息費用</t>
  </si>
  <si>
    <r>
      <rPr>
        <sz val="9"/>
        <color rgb="FF595959"/>
        <rFont val="WenQuanYi Zen Hei"/>
        <family val="2"/>
      </rPr>
      <t xml:space="preserve">損益表；現金 </t>
    </r>
    <r>
      <rPr>
        <sz val="9"/>
        <color rgb="FF595959"/>
        <rFont val="Arial"/>
        <family val="0"/>
        <charset val="1"/>
      </rPr>
      <t xml:space="preserve">0.806</t>
    </r>
    <r>
      <rPr>
        <sz val="9"/>
        <color rgb="FF595959"/>
        <rFont val="WenQuanYi Zen Hei"/>
        <family val="2"/>
      </rPr>
      <t xml:space="preserve">、資本化 </t>
    </r>
    <r>
      <rPr>
        <sz val="9"/>
        <color rgb="FF595959"/>
        <rFont val="Arial"/>
        <family val="0"/>
        <charset val="1"/>
      </rPr>
      <t xml:space="preserve">0.176 [Verified]</t>
    </r>
  </si>
  <si>
    <t xml:space="preserve">租賃現金支付</t>
  </si>
  <si>
    <r>
      <rPr>
        <sz val="9"/>
        <color rgb="FF595959"/>
        <rFont val="WenQuanYi Zen Hei"/>
        <family val="2"/>
      </rPr>
      <t xml:space="preserve">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內，僅供對照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</si>
  <si>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營收</t>
  </si>
  <si>
    <r>
      <rPr>
        <sz val="9"/>
        <color rgb="FF595959"/>
        <rFont val="Arial"/>
        <family val="0"/>
        <charset val="1"/>
      </rPr>
      <t xml:space="preserve">Q1 2.078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2.575 [Verified]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</si>
  <si>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營業損益</t>
    </r>
  </si>
  <si>
    <t xml:space="preserve">[Verified]</t>
  </si>
  <si>
    <t xml:space="preserve">淨損</t>
  </si>
  <si>
    <t xml:space="preserve">遞延收入淨流入</t>
  </si>
  <si>
    <t xml:space="preserve">D&amp;A</t>
  </si>
  <si>
    <r>
      <rPr>
        <sz val="9"/>
        <color rgb="FF595959"/>
        <rFont val="WenQuanYi Zen Hei"/>
        <family val="2"/>
      </rPr>
      <t xml:space="preserve">現金流量表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</si>
  <si>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SBC</t>
  </si>
  <si>
    <t xml:space="preserve">GAAP EPS</t>
  </si>
  <si>
    <r>
      <rPr>
        <sz val="9"/>
        <color rgb="FF595959"/>
        <rFont val="WenQuanYi Zen Hei"/>
        <family val="2"/>
      </rPr>
      <t xml:space="preserve">淨損 −</t>
    </r>
    <r>
      <rPr>
        <sz val="9"/>
        <color rgb="FF595959"/>
        <rFont val="Arial"/>
        <family val="0"/>
        <charset val="1"/>
      </rPr>
      <t xml:space="preserve">1.366 ÷ </t>
    </r>
    <r>
      <rPr>
        <sz val="9"/>
        <color rgb="FF595959"/>
        <rFont val="WenQuanYi Zen Hei"/>
        <family val="2"/>
      </rPr>
      <t xml:space="preserve">加權股數約 </t>
    </r>
    <r>
      <rPr>
        <sz val="9"/>
        <color rgb="FF595959"/>
        <rFont val="Arial"/>
        <family val="0"/>
        <charset val="1"/>
      </rPr>
      <t xml:space="preserve">0.539 [Verified]</t>
    </r>
  </si>
  <si>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</si>
  <si>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(−1.366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0.318)÷0.539 [Derived]</t>
    </r>
  </si>
  <si>
    <r>
      <rPr>
        <sz val="10"/>
        <rFont val="WenQuanYi Zen Hei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Q2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</si>
  <si>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Q1 1.157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1.510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Q1 Futurum Q1 FY2026 </t>
    </r>
    <r>
      <rPr>
        <sz val="9"/>
        <color rgb="FF595959"/>
        <rFont val="WenQuanYi Zen Hei"/>
        <family val="2"/>
      </rPr>
      <t xml:space="preserve">財報摘要；</t>
    </r>
    <r>
      <rPr>
        <sz val="9"/>
        <color rgb="FF595959"/>
        <rFont val="Arial"/>
        <family val="0"/>
        <charset val="1"/>
      </rPr>
      <t xml:space="preserve">Q2 Investing.com Q2 2026 </t>
    </r>
    <r>
      <rPr>
        <sz val="9"/>
        <color rgb="FF595959"/>
        <rFont val="WenQuanYi Zen Hei"/>
        <family val="2"/>
      </rPr>
      <t xml:space="preserve">財報報導；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WenQuanYi Zen Hei"/>
        <family val="2"/>
      </rPr>
      <t xml:space="preserve">季度表同列 </t>
    </r>
    <r>
      <rPr>
        <sz val="9"/>
        <color rgb="FF595959"/>
        <rFont val="Arial"/>
        <family val="0"/>
        <charset val="1"/>
      </rPr>
      <t xml:space="preserve">1,157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1,510</t>
    </r>
    <r>
      <rPr>
        <sz val="9"/>
        <color rgb="FF595959"/>
        <rFont val="WenQuanYi Zen Hei"/>
        <family val="2"/>
      </rPr>
      <t xml:space="preserve">，一致。公司公布之實際數，引用自財報報導轉述，非公司新聞稿原文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</si>
  <si>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WenQuanYi Zen Hei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自動計算，勿手動輸入）</t>
    </r>
  </si>
  <si>
    <r>
      <rPr>
        <sz val="9"/>
        <color rgb="FF595959"/>
        <rFont val="WenQuanYi Zen Hei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WenQuanYi Zen Hei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</si>
  <si>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</si>
  <si>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r>
      <rPr>
        <sz val="10"/>
        <rFont val="WenQuanYi Zen Hei"/>
        <family val="2"/>
      </rPr>
      <t xml:space="preserve">情境區間運算表｜保守 </t>
    </r>
    <r>
      <rPr>
        <sz val="10"/>
        <rFont val="Arial"/>
        <family val="0"/>
        <charset val="1"/>
      </rPr>
      <t xml:space="preserve">4.2 GW</t>
    </r>
  </si>
  <si>
    <r>
      <rPr>
        <sz val="10"/>
        <rFont val="WenQuanYi Zen Hei"/>
        <family val="2"/>
      </rPr>
      <t xml:space="preserve">情境區間運算表｜基準 </t>
    </r>
    <r>
      <rPr>
        <sz val="10"/>
        <rFont val="Arial"/>
        <family val="0"/>
        <charset val="1"/>
      </rPr>
      <t xml:space="preserve">5.6 GW</t>
    </r>
  </si>
  <si>
    <r>
      <rPr>
        <sz val="10"/>
        <rFont val="WenQuanYi Zen Hei"/>
        <family val="2"/>
      </rPr>
      <t xml:space="preserve">情境區間運算表｜積極 </t>
    </r>
    <r>
      <rPr>
        <sz val="10"/>
        <rFont val="Arial"/>
        <family val="0"/>
        <charset val="1"/>
      </rPr>
      <t xml:space="preserve">8 GW</t>
    </r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</si>
  <si>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WenQuanYi Zen Hei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data/consensus_crwv_20260925.json</t>
    </r>
    <r>
      <rPr>
        <b val="true"/>
        <sz val="10"/>
        <rFont val="WenQuanYi Zen Hei"/>
        <family val="2"/>
      </rPr>
      <t xml:space="preserve">；只讀，不增補數字；下游只引用本區）</t>
    </r>
  </si>
  <si>
    <r>
      <rPr>
        <sz val="9"/>
        <color rgb="FF595959"/>
        <rFont val="WenQuanYi Zen Hei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＝可公開查證的事實（例如公司實際公布數字、收盤價）；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＝賣方分析師預估：有利益關係（投行業務、承銷、偏多傾向），數字本身是意見而非事實；『共識是多少』可查證，但共識內容屬利害關係人觀點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</si>
  <si>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</si>
  <si>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</si>
  <si>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</si>
  <si>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</si>
  <si>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</si>
  <si>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</si>
  <si>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</si>
  <si>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Verified</t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</si>
  <si>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https://stockanalysis.com/stocks/crwv/forecast/</t>
    </r>
  </si>
  <si>
    <r>
      <rPr>
        <sz val="9"/>
        <color rgb="FF595959"/>
        <rFont val="WenQuanYi Zen Hei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2026-09-24</t>
    </r>
  </si>
  <si>
    <t xml:space="preserve">共識｜目標價｜平均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</si>
  <si>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</si>
  <si>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https://stockanalysis.com/stocks/crwv/forecast/</t>
    </r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</si>
  <si>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</si>
  <si>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</si>
  <si>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</si>
  <si>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</si>
  <si>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</si>
  <si>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Buy</t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</si>
  <si>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</si>
  <si>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WenQuanYi Zen Hei"/>
        <family val="2"/>
      </rPr>
      <t xml:space="preserve">（同為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FactSet </t>
    </r>
    <r>
      <rPr>
        <sz val="9"/>
        <color rgb="FF595959"/>
        <rFont val="WenQuanYi Zen Hei"/>
        <family val="2"/>
      </rPr>
      <t xml:space="preserve">資料，非獨立）｜</t>
    </r>
    <r>
      <rPr>
        <sz val="9"/>
        <color rgb="FF595959"/>
        <rFont val="Arial"/>
        <family val="0"/>
        <charset val="1"/>
      </rPr>
      <t xml:space="preserve">https://www.marketscreener.com/quote/stock/COREWEAVE-INC-188480815/finances/</t>
    </r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</si>
  <si>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對照家數</t>
    </r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</si>
  <si>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對照評等</t>
    </r>
  </si>
  <si>
    <t xml:space="preserve">Outperform</t>
  </si>
  <si>
    <r>
      <rPr>
        <b val="true"/>
        <sz val="11"/>
        <color rgb="FFFFFFFF"/>
        <rFont val="WenQuanYi Zen Hei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2026-09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</si>
  <si>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共識｜評等分布｜強力買進</t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</si>
  <si>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</si>
  <si>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</si>
  <si>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</si>
  <si>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</si>
  <si>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</si>
  <si>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WenQuanYi Zen Hei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FY26</t>
    </r>
    <r>
      <rPr>
        <b val="true"/>
        <sz val="11"/>
        <color rgb="FFFFFFFF"/>
        <rFont val="WenQuanYi Zen Hei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WenQuanYi Zen Hei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FY28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</si>
  <si>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共識｜年度｜營收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</si>
  <si>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FactSet </t>
    </r>
    <r>
      <rPr>
        <sz val="9"/>
        <color rgb="FF595959"/>
        <rFont val="WenQuanYi Zen Hei"/>
        <family val="2"/>
      </rPr>
      <t xml:space="preserve">共識）｜</t>
    </r>
    <r>
      <rPr>
        <sz val="9"/>
        <color rgb="FF595959"/>
        <rFont val="Arial"/>
        <family val="0"/>
        <charset val="1"/>
      </rPr>
      <t xml:space="preserve">https://www.marketscreener.com/quote/stock/COREWEAVE-INC-188480815/finances/</t>
    </r>
  </si>
  <si>
    <r>
      <rPr>
        <sz val="10"/>
        <rFont val="WenQuanYi Zen Hei"/>
        <family val="2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</si>
  <si>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</si>
  <si>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EBIT</t>
    </r>
  </si>
  <si>
    <t xml:space="preserve">共識｜年度｜利息費用</t>
  </si>
  <si>
    <t xml:space="preserve">共識｜年度｜淨利</t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</si>
  <si>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GAAP EPS</t>
    </r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</si>
  <si>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</si>
  <si>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共識｜年度｜自由現金流</t>
  </si>
  <si>
    <t xml:space="preserve">共識｜年度｜淨負債</t>
  </si>
  <si>
    <t xml:space="preserve">共識｜年度｜口徑說明</t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</si>
  <si>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為公司調整後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口徑（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2026 Q2 EBITDA 1.510 </t>
    </r>
    <r>
      <rPr>
        <sz val="10"/>
        <rFont val="WenQuanYi Zen Hei"/>
        <family val="2"/>
      </rPr>
      <t xml:space="preserve">與公司公布的調整後 </t>
    </r>
    <r>
      <rPr>
        <sz val="10"/>
        <rFont val="Arial"/>
        <family val="0"/>
        <charset val="1"/>
      </rPr>
      <t xml:space="preserve">EBITDA $1.51bn </t>
    </r>
    <r>
      <rPr>
        <sz val="10"/>
        <rFont val="WenQuanYi Zen Hei"/>
        <family val="2"/>
      </rPr>
      <t xml:space="preserve">相同）；</t>
    </r>
    <r>
      <rPr>
        <sz val="10"/>
        <rFont val="Arial"/>
        <family val="0"/>
        <charset val="1"/>
      </rPr>
      <t xml:space="preserve">EPS </t>
    </r>
    <r>
      <rPr>
        <sz val="10"/>
        <rFont val="WenQuanYi Zen Hei"/>
        <family val="2"/>
      </rPr>
      <t xml:space="preserve">為 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口徑；淨負債不含租賃負債（口徑未揭露，比較時留意）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</si>
  <si>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WenQuanYi Zen Hei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WenQuanYi Zen Hei"/>
        <family val="2"/>
      </rPr>
      <t xml:space="preserve">；</t>
    </r>
    <r>
      <rPr>
        <b val="true"/>
        <sz val="11"/>
        <color rgb="FFFFFFFF"/>
        <rFont val="Arial"/>
        <family val="0"/>
        <charset val="1"/>
      </rPr>
      <t xml:space="preserve">FY26</t>
    </r>
    <r>
      <rPr>
        <b val="true"/>
        <sz val="11"/>
        <color rgb="FFFFFFFF"/>
        <rFont val="WenQuanYi Zen Hei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</si>
  <si>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對照｜營收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</si>
  <si>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營收區間（低／高）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</si>
  <si>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對照｜調整後 </t>
    </r>
    <r>
      <rPr>
        <sz val="10"/>
        <rFont val="Arial"/>
        <family val="0"/>
        <charset val="1"/>
      </rPr>
      <t xml:space="preserve">EPS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</si>
  <si>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調整後 </t>
    </r>
    <r>
      <rPr>
        <sz val="10"/>
        <rFont val="Arial"/>
        <family val="0"/>
        <charset val="1"/>
      </rPr>
      <t xml:space="preserve">EPS </t>
    </r>
    <r>
      <rPr>
        <sz val="10"/>
        <rFont val="WenQuanYi Zen Hei"/>
        <family val="2"/>
      </rPr>
      <t xml:space="preserve">區間（低／高）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</si>
  <si>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分析師家數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</si>
  <si>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non-GAAP </t>
    </r>
    <r>
      <rPr>
        <sz val="9"/>
        <color rgb="FF595959"/>
        <rFont val="WenQuanYi Zen Hei"/>
        <family val="2"/>
      </rPr>
      <t xml:space="preserve">調整後口徑，與上表 </t>
    </r>
    <r>
      <rPr>
        <sz val="9"/>
        <color rgb="FF595959"/>
        <rFont val="Arial"/>
        <family val="0"/>
        <charset val="1"/>
      </rPr>
      <t xml:space="preserve">GAAP EPS </t>
    </r>
    <r>
      <rPr>
        <sz val="9"/>
        <color rgb="FF595959"/>
        <rFont val="WenQuanYi Zen Hei"/>
        <family val="2"/>
      </rPr>
      <t xml:space="preserve">不同，不可混用</t>
    </r>
  </si>
  <si>
    <r>
      <rPr>
        <b val="true"/>
        <sz val="11"/>
        <color rgb="FFFFFFFF"/>
        <rFont val="WenQuanYi Zen Hei"/>
        <family val="2"/>
      </rPr>
      <t xml:space="preserve">季度共識（</t>
    </r>
    <r>
      <rPr>
        <b val="true"/>
        <sz val="11"/>
        <color rgb="FFFFFFFF"/>
        <rFont val="Arial"/>
        <family val="0"/>
        <charset val="1"/>
      </rPr>
      <t xml:space="preserve">2026Q3</t>
    </r>
    <r>
      <rPr>
        <b val="true"/>
        <sz val="11"/>
        <color rgb="FFFFFFFF"/>
        <rFont val="WenQuanYi Zen Hei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2026Q4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</si>
  <si>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共識｜季度｜營收</t>
  </si>
  <si>
    <r>
      <rPr>
        <sz val="10"/>
        <rFont val="WenQuanYi Zen Hei"/>
        <family val="2"/>
      </rPr>
      <t xml:space="preserve">共識｜季度｜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</si>
  <si>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共識｜季度｜</t>
    </r>
    <r>
      <rPr>
        <sz val="10"/>
        <rFont val="Arial"/>
        <family val="0"/>
        <charset val="1"/>
      </rPr>
      <t xml:space="preserve">EBIT</t>
    </r>
  </si>
  <si>
    <t xml:space="preserve">共識｜季度｜淨利</t>
  </si>
  <si>
    <t xml:space="preserve">共識｜季度｜說明</t>
  </si>
  <si>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財報預計 </t>
    </r>
    <r>
      <rPr>
        <sz val="10"/>
        <rFont val="Arial"/>
        <family val="0"/>
        <charset val="1"/>
      </rPr>
      <t xml:space="preserve">11/9</t>
    </r>
    <r>
      <rPr>
        <sz val="10"/>
        <rFont val="WenQuanYi Zen Hei"/>
        <family val="2"/>
      </rPr>
      <t xml:space="preserve">：公司 </t>
    </r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營收指引 </t>
    </r>
    <r>
      <rPr>
        <sz val="10"/>
        <rFont val="Arial"/>
        <family val="0"/>
        <charset val="1"/>
      </rPr>
      <t xml:space="preserve">3.45–3.6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Verified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8/11 </t>
    </r>
    <r>
      <rPr>
        <sz val="10"/>
        <rFont val="WenQuanYi Zen Hei"/>
        <family val="2"/>
      </rPr>
      <t xml:space="preserve">財報）；共識 </t>
    </r>
    <r>
      <rPr>
        <sz val="10"/>
        <rFont val="Arial"/>
        <family val="0"/>
        <charset val="1"/>
      </rPr>
      <t xml:space="preserve">3.541 </t>
    </r>
    <r>
      <rPr>
        <sz val="10"/>
        <rFont val="WenQuanYi Zen Hei"/>
        <family val="2"/>
      </rPr>
      <t xml:space="preserve">位於指引區間上半部</t>
    </r>
  </si>
  <si>
    <t xml:space="preserve">公司指引（管理層預估）</t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</si>
  <si>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營收（低／高）</t>
    </r>
  </si>
  <si>
    <t xml:space="preserve">未列</t>
  </si>
  <si>
    <r>
      <rPr>
        <sz val="9"/>
        <color rgb="FF595959"/>
        <rFont val="Arial"/>
        <family val="0"/>
        <charset val="1"/>
      </rPr>
      <t xml:space="preserve">CNBC </t>
    </r>
    <r>
      <rPr>
        <sz val="9"/>
        <color rgb="FF595959"/>
        <rFont val="WenQuanYi Zen Hei"/>
        <family val="2"/>
      </rPr>
      <t xml:space="preserve">報導 </t>
    </r>
    <r>
      <rPr>
        <sz val="9"/>
        <color rgb="FF595959"/>
        <rFont val="Arial"/>
        <family val="0"/>
        <charset val="1"/>
      </rPr>
      <t xml:space="preserve">2026-08-11 Q2 </t>
    </r>
    <r>
      <rPr>
        <sz val="9"/>
        <color rgb="FF595959"/>
        <rFont val="WenQuanYi Zen Hei"/>
        <family val="2"/>
      </rPr>
      <t xml:space="preserve">財報｜</t>
    </r>
    <r>
      <rPr>
        <sz val="9"/>
        <color rgb="FF595959"/>
        <rFont val="Arial"/>
        <family val="0"/>
        <charset val="1"/>
      </rPr>
      <t xml:space="preserve">https://www.cnbc.com/2026/08/11/coreweave-crwv-q2-earnings-report-2026.html</t>
    </r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</si>
  <si>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調整後營業利益（低／高）</t>
    </r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</si>
  <si>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CapEx</t>
    </r>
    <r>
      <rPr>
        <sz val="10"/>
        <rFont val="WenQuanYi Zen Hei"/>
        <family val="2"/>
      </rPr>
      <t xml:space="preserve">（低／高）</t>
    </r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</si>
  <si>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營收（低／高）</t>
    </r>
  </si>
  <si>
    <t xml:space="preserve">公司指引屬利害關係人（管理層）預估；數字本身為公司正式公布，可查證</t>
  </si>
  <si>
    <r>
      <rPr>
        <b val="true"/>
        <sz val="11"/>
        <color rgb="FFFFFFFF"/>
        <rFont val="WenQuanYi Zen Hei"/>
        <family val="2"/>
      </rPr>
      <t xml:space="preserve">獨立對照（</t>
    </r>
    <r>
      <rPr>
        <b val="true"/>
        <sz val="11"/>
        <color rgb="FFFFFFFF"/>
        <rFont val="Arial"/>
        <family val="0"/>
        <charset val="1"/>
      </rPr>
      <t xml:space="preserve">LSEG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</si>
  <si>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LSEG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前）</t>
    </r>
  </si>
  <si>
    <t xml:space="preserve">2026-08-11</t>
  </si>
  <si>
    <r>
      <rPr>
        <sz val="9"/>
        <color rgb="FF595959"/>
        <rFont val="Arial"/>
        <family val="0"/>
        <charset val="1"/>
      </rPr>
      <t xml:space="preserve">LSEG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CNBC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https://www.cnbc.com/2026/08/11/coreweave-crwv-q2-earnings-report-2026.html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</si>
  <si>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LSEG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前）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</si>
  <si>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財報前的 </t>
    </r>
    <r>
      <rPr>
        <sz val="9"/>
        <color rgb="FF595959"/>
        <rFont val="Arial"/>
        <family val="0"/>
        <charset val="1"/>
      </rPr>
      <t xml:space="preserve">LSEG </t>
    </r>
    <r>
      <rPr>
        <sz val="9"/>
        <color rgb="FF595959"/>
        <rFont val="WenQuanYi Zen Hei"/>
        <family val="2"/>
      </rPr>
      <t xml:space="preserve">共識，日期較舊，僅供確認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數字量級合理</t>
    </r>
  </si>
  <si>
    <t xml:space="preserve">最新分析師動作</t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</si>
  <si>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2026-09-25 Rothschild &amp; Co Redburn</t>
    </r>
  </si>
  <si>
    <t xml:space="preserve">目標價未列</t>
  </si>
  <si>
    <r>
      <rPr>
        <sz val="9"/>
        <color rgb="FF595959"/>
        <rFont val="Arial"/>
        <family val="0"/>
        <charset val="1"/>
      </rPr>
      <t xml:space="preserve">TipRanks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https://stockanalysis.com/stocks/crwv/forecast/</t>
    </r>
  </si>
  <si>
    <r>
      <rPr>
        <sz val="9"/>
        <color rgb="FF595959"/>
        <rFont val="Arial"/>
        <family val="0"/>
        <charset val="1"/>
      </rPr>
      <t xml:space="preserve">Sell</t>
    </r>
    <r>
      <rPr>
        <sz val="9"/>
        <color rgb="FF595959"/>
        <rFont val="WenQuanYi Zen Hei"/>
        <family val="2"/>
      </rPr>
      <t xml:space="preserve">（首次評等）；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資料未列目標價；二手報導稱 </t>
    </r>
    <r>
      <rPr>
        <sz val="9"/>
        <color rgb="FF595959"/>
        <rFont val="Arial"/>
        <family val="0"/>
        <charset val="1"/>
      </rPr>
      <t xml:space="preserve">$54</t>
    </r>
    <r>
      <rPr>
        <sz val="9"/>
        <color rgb="FF595959"/>
        <rFont val="WenQuanYi Zen Hei"/>
        <family val="2"/>
      </rPr>
      <t xml:space="preserve">，未經一手確認，不採用</t>
    </r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</si>
  <si>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2026-09-24 J.P. Morgan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</si>
  <si>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$120 → $125</t>
    </r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</si>
  <si>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2026-09-22 UBS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</si>
  <si>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WenQuanYi Zen Hei"/>
        <family val="2"/>
      </rPr>
      <t xml:space="preserve">（首次評等）</t>
    </r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</si>
  <si>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2026-09-22 Evercore ISI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</si>
  <si>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WenQuanYi Zen Hei"/>
        <family val="2"/>
      </rPr>
      <t xml:space="preserve">（維持）；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資料未列；二手報導稱 </t>
    </r>
    <r>
      <rPr>
        <sz val="9"/>
        <color rgb="FF595959"/>
        <rFont val="Arial"/>
        <family val="0"/>
        <charset val="1"/>
      </rPr>
      <t xml:space="preserve">$150</t>
    </r>
    <r>
      <rPr>
        <sz val="9"/>
        <color rgb="FF595959"/>
        <rFont val="WenQuanYi Zen Hei"/>
        <family val="2"/>
      </rPr>
      <t xml:space="preserve">，未經一手確認，不採用</t>
    </r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</si>
  <si>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2026-09-20 Freedom Capital Markets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</si>
  <si>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WenQuanYi Zen Hei"/>
        <family val="2"/>
      </rPr>
      <t xml:space="preserve">（維持）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</si>
  <si>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</si>
  <si>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</si>
  <si>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StockAnalysis.com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的營收預估完全相同（</t>
    </r>
    <r>
      <rPr>
        <sz val="10"/>
        <rFont val="Arial"/>
        <family val="0"/>
        <charset val="1"/>
      </rPr>
      <t xml:space="preserve">12.882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26.376</t>
    </r>
    <r>
      <rPr>
        <sz val="10"/>
        <rFont val="WenQuanYi Zen Hei"/>
        <family val="2"/>
      </rPr>
      <t xml:space="preserve">），兩者皆引用 </t>
    </r>
    <r>
      <rPr>
        <sz val="10"/>
        <rFont val="Arial"/>
        <family val="0"/>
        <charset val="1"/>
      </rPr>
      <t xml:space="preserve">S&amp;P Global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Capital IQ</t>
    </r>
    <r>
      <rPr>
        <sz val="10"/>
        <rFont val="WenQuanYi Zen Hei"/>
        <family val="2"/>
      </rPr>
      <t xml:space="preserve">，屬同一來源的兩個呈現，不是獨立交叉驗證。獨立來源僅有 </t>
    </r>
    <r>
      <rPr>
        <sz val="10"/>
        <rFont val="Arial"/>
        <family val="0"/>
        <charset val="1"/>
      </rPr>
      <t xml:space="preserve">LSEG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CNBC </t>
    </r>
    <r>
      <rPr>
        <sz val="10"/>
        <rFont val="WenQuanYi Zen Hei"/>
        <family val="2"/>
      </rPr>
      <t xml:space="preserve">引用，日期較舊）。</t>
    </r>
  </si>
  <si>
    <t xml:space="preserve">資料檔說明</t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</si>
  <si>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</si>
  <si>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FY29–FY30 </t>
    </r>
    <r>
      <rPr>
        <sz val="10"/>
        <rFont val="WenQuanYi Zen Hei"/>
        <family val="2"/>
      </rPr>
      <t xml:space="preserve">共識：公開來源只到 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，無法取得（不是不存在，而是免費來源未提供）</t>
    </r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</si>
  <si>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</si>
  <si>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共識的高低區間：未公開</t>
    </r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</si>
  <si>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</si>
  <si>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r>
      <rPr>
        <sz val="10"/>
        <rFont val="WenQuanYi Zen Hei"/>
        <family val="2"/>
      </rPr>
      <t xml:space="preserve">目標價的時間分布（多少目標價是 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財報後更新）：未公開</t>
    </r>
  </si>
  <si>
    <r>
      <rPr>
        <sz val="10"/>
        <rFont val="WenQuanYi Zen Hei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</si>
  <si>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</si>
  <si>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差異原因門檻：利潤類利潤率差（百分點）</t>
  </si>
  <si>
    <r>
      <rPr>
        <sz val="9"/>
        <color rgb="FF595959"/>
        <rFont val="WenQuanYi Zen Hei"/>
        <family val="2"/>
      </rPr>
      <t xml:space="preserve">利潤類（調整後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、調整後營業利益）利潤率差超過此值須附差異原因；營收、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、淨負債、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用上一格（</t>
    </r>
    <r>
      <rPr>
        <sz val="9"/>
        <color rgb="FF595959"/>
        <rFont val="Arial"/>
        <family val="0"/>
        <charset val="1"/>
      </rPr>
      <t xml:space="preserve">company.json → methodology.profitMarginTolPt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</si>
  <si>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WenQuanYi Zen Hei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WenQuanYi Zen Hei"/>
        <family val="2"/>
      </rPr>
      <t xml:space="preserve">；實際數預設空白，財報公布後填入藍字格）</t>
    </r>
  </si>
  <si>
    <t xml:space="preserve">季度</t>
  </si>
  <si>
    <t xml:space="preserve">Q3'26</t>
  </si>
  <si>
    <t xml:space="preserve">Q4'26</t>
  </si>
  <si>
    <t xml:space="preserve">Q1'27</t>
  </si>
  <si>
    <t xml:space="preserve">Q2'27</t>
  </si>
  <si>
    <t xml:space="preserve">Q3'27</t>
  </si>
  <si>
    <t xml:space="preserve">Q4'27</t>
  </si>
  <si>
    <t xml:space="preserve">說明</t>
  </si>
  <si>
    <r>
      <rPr>
        <sz val="10"/>
        <rFont val="WenQuanYi Zen Hei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2H26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</si>
  <si>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WenQuanYi Zen Hei"/>
        <family val="2"/>
      </rPr>
      <t xml:space="preserve">設定；拆分公式依此建置（改動需重建）</t>
    </r>
  </si>
  <si>
    <r>
      <rPr>
        <sz val="10"/>
        <rFont val="WenQuanYi Zen Hei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WenQuanYi Zen Hei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</si>
  <si>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</si>
  <si>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WenQuanYi Zen Hei"/>
        <family val="2"/>
      </rPr>
      <t xml:space="preserve">季度｜營收起點（</t>
    </r>
    <r>
      <rPr>
        <sz val="10"/>
        <rFont val="Arial"/>
        <family val="0"/>
        <charset val="1"/>
      </rPr>
      <t xml:space="preserve">Q2'26 </t>
    </r>
    <r>
      <rPr>
        <sz val="10"/>
        <rFont val="WenQuanYi Zen Hei"/>
        <family val="2"/>
      </rPr>
      <t xml:space="preserve">實際營收）</t>
    </r>
  </si>
  <si>
    <r>
      <rPr>
        <sz val="9"/>
        <color rgb="FF595959"/>
        <rFont val="WenQuanYi Zen Hei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WenQuanYi Zen Hei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</si>
  <si>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</si>
  <si>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公司公布 </t>
    </r>
    <r>
      <rPr>
        <sz val="9"/>
        <color rgb="FF595959"/>
        <rFont val="Arial"/>
        <family val="0"/>
        <charset val="1"/>
      </rPr>
      <t xml:space="preserve">active power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1.5 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callFacts.activeGw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</si>
  <si>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季度實際｜營收</t>
  </si>
  <si>
    <t xml:space="preserve">實際數（公司公布）；空白＝待公布</t>
  </si>
  <si>
    <r>
      <rPr>
        <sz val="10"/>
        <rFont val="WenQuanYi Zen Hei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</si>
  <si>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</si>
  <si>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WenQuanYi Zen Hei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</si>
  <si>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季度實際｜季末 </t>
    </r>
    <r>
      <rPr>
        <sz val="10"/>
        <rFont val="Arial"/>
        <family val="0"/>
        <charset val="1"/>
      </rPr>
      <t xml:space="preserve">active power</t>
    </r>
  </si>
  <si>
    <t xml:space="preserve">季度實際｜來源</t>
  </si>
  <si>
    <t xml:space="preserve">季度實際｜日期</t>
  </si>
  <si>
    <t xml:space="preserve">季度實際｜標記</t>
  </si>
  <si>
    <t xml:space="preserve">季度指引｜營收（低）</t>
  </si>
  <si>
    <r>
      <rPr>
        <sz val="9"/>
        <color rgb="FF595959"/>
        <rFont val="Arial"/>
        <family val="0"/>
        <charset val="1"/>
      </rPr>
      <t xml:space="preserve">CNBC </t>
    </r>
    <r>
      <rPr>
        <sz val="9"/>
        <color rgb="FF595959"/>
        <rFont val="WenQuanYi Zen Hei"/>
        <family val="2"/>
      </rPr>
      <t xml:space="preserve">報導 </t>
    </r>
    <r>
      <rPr>
        <sz val="9"/>
        <color rgb="FF595959"/>
        <rFont val="Arial"/>
        <family val="0"/>
        <charset val="1"/>
      </rPr>
      <t xml:space="preserve">2026-08-11 Q2 </t>
    </r>
    <r>
      <rPr>
        <sz val="9"/>
        <color rgb="FF595959"/>
        <rFont val="WenQuanYi Zen Hei"/>
        <family val="2"/>
      </rPr>
      <t xml:space="preserve">財報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</si>
  <si>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季度指引｜營收（高）</t>
  </si>
  <si>
    <t xml:space="preserve">季度指引｜調整後營業利益（低）</t>
  </si>
  <si>
    <t xml:space="preserve">季度指引｜調整後營業利益（高）</t>
  </si>
  <si>
    <r>
      <rPr>
        <sz val="10"/>
        <rFont val="WenQuanYi Zen Hei"/>
        <family val="2"/>
      </rPr>
      <t xml:space="preserve">季度指引｜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（毛額）（低）</t>
    </r>
  </si>
  <si>
    <r>
      <rPr>
        <sz val="10"/>
        <rFont val="WenQuanYi Zen Hei"/>
        <family val="2"/>
      </rPr>
      <t xml:space="preserve">季度指引｜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（毛額）（高）</t>
    </r>
  </si>
  <si>
    <t xml:space="preserve">季度文字指引｜調整後營業利益</t>
  </si>
  <si>
    <r>
      <rPr>
        <sz val="10"/>
        <color rgb="FF0000FF"/>
        <rFont val="WenQuanYi Zen Hei"/>
        <family val="2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low teens</t>
    </r>
  </si>
  <si>
    <r>
      <rPr>
        <sz val="9"/>
        <color rgb="FF595959"/>
        <rFont val="Arial"/>
        <family val="0"/>
        <charset val="1"/>
      </rPr>
      <t xml:space="preserve">Q4'26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法說 </t>
    </r>
    <r>
      <rPr>
        <sz val="9"/>
        <color rgb="FF595959"/>
        <rFont val="Arial"/>
        <family val="0"/>
        <charset val="1"/>
      </rPr>
      <t xml:space="preserve">2026-08-11 [Interested-party]</t>
    </r>
  </si>
  <si>
    <r>
      <rPr>
        <sz val="10"/>
        <rFont val="WenQuanYi Zen Hei"/>
        <family val="2"/>
      </rPr>
      <t xml:space="preserve">期間指引｜</t>
    </r>
    <r>
      <rPr>
        <sz val="10"/>
        <rFont val="Arial"/>
        <family val="0"/>
        <charset val="1"/>
      </rPr>
      <t xml:space="preserve">2H26 </t>
    </r>
    <r>
      <rPr>
        <sz val="10"/>
        <rFont val="WenQuanYi Zen Hei"/>
        <family val="2"/>
      </rPr>
      <t xml:space="preserve">營收（全年低／全年高／扣除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實際）</t>
    </r>
  </si>
  <si>
    <r>
      <rPr>
        <sz val="9"/>
        <color rgb="FF595959"/>
        <rFont val="WenQuanYi Zen Hei"/>
        <family val="2"/>
      </rPr>
      <t xml:space="preserve">全年指引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實際＝下半年隱含指引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；只用於判斷季度差距是否為「拆法」</t>
    </r>
  </si>
  <si>
    <r>
      <rPr>
        <sz val="10"/>
        <rFont val="WenQuanYi Zen Hei"/>
        <family val="2"/>
      </rPr>
      <t xml:space="preserve">期間指引｜</t>
    </r>
    <r>
      <rPr>
        <sz val="10"/>
        <rFont val="Arial"/>
        <family val="0"/>
        <charset val="1"/>
      </rPr>
      <t xml:space="preserve">2H26 CapEx</t>
    </r>
    <r>
      <rPr>
        <sz val="10"/>
        <rFont val="WenQuanYi Zen Hei"/>
        <family val="2"/>
      </rPr>
      <t xml:space="preserve">（毛額）（全年低／全年高／扣除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實際）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</si>
  <si>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</si>
  <si>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現金流量表口徑）＋下半年模型；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</si>
  <si>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</si>
  <si>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</si>
  <si>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WenQuanYi Zen Hei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</si>
  <si>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16.139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模型；對照公司全年指引 </t>
    </r>
    <r>
      <rPr>
        <sz val="9"/>
        <color rgb="FF595959"/>
        <rFont val="Arial"/>
        <family val="0"/>
        <charset val="1"/>
      </rPr>
      <t xml:space="preserve">35–39</t>
    </r>
    <r>
      <rPr>
        <sz val="9"/>
        <color rgb="FF595959"/>
        <rFont val="WenQuanYi Zen Hei"/>
        <family val="2"/>
      </rPr>
      <t xml:space="preserve">。備忘列：用途合計採現金口徑，不用這一列</t>
    </r>
  </si>
  <si>
    <t xml:space="preserve">　客戶預付率</t>
  </si>
  <si>
    <r>
      <rPr>
        <sz val="10"/>
        <rFont val="WenQuanYi Zen Hei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</si>
  <si>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內，不重複計入</t>
    </r>
  </si>
  <si>
    <r>
      <rPr>
        <sz val="10"/>
        <rFont val="Arial"/>
        <family val="0"/>
        <charset val="1"/>
      </rPr>
      <t xml:space="preserve">① CapEx</t>
    </r>
    <r>
      <rPr>
        <sz val="10"/>
        <rFont val="WenQuanYi Zen Hei"/>
        <family val="2"/>
      </rPr>
      <t xml:space="preserve">（用途用：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現金／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</si>
  <si>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14.117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起採毛額，客戶預付在來源端抵回（避免重複計入）</t>
    </r>
  </si>
  <si>
    <r>
      <rPr>
        <sz val="10"/>
        <rFont val="WenQuanYi Zen Hei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</si>
  <si>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19.023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0.748 </t>
    </r>
    <r>
      <rPr>
        <sz val="9"/>
        <color rgb="FF595959"/>
        <rFont val="WenQuanYi Zen Hei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</si>
  <si>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</si>
  <si>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WenQuanYi Zen Hei"/>
        <family val="2"/>
      </rPr>
      <t xml:space="preserve">未起租 </t>
    </r>
    <r>
      <rPr>
        <sz val="9"/>
        <color rgb="FF595959"/>
        <rFont val="Arial"/>
        <family val="0"/>
        <charset val="1"/>
      </rPr>
      <t xml:space="preserve">35.5</t>
    </r>
    <r>
      <rPr>
        <sz val="9"/>
        <color rgb="FF595959"/>
        <rFont val="WenQuanYi Zen Hei"/>
        <family val="2"/>
      </rPr>
      <t xml:space="preserve">＋單站上限 </t>
    </r>
    <r>
      <rPr>
        <sz val="9"/>
        <color rgb="FF595959"/>
        <rFont val="Arial"/>
        <family val="0"/>
        <charset val="1"/>
      </rPr>
      <t xml:space="preserve">14.7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355MW </t>
    </r>
    <r>
      <rPr>
        <sz val="9"/>
        <color rgb="FF595959"/>
        <rFont val="WenQuanYi Zen Hei"/>
        <family val="2"/>
      </rPr>
      <t xml:space="preserve">造價計租的現金路徑</t>
    </r>
  </si>
  <si>
    <t xml:space="preserve">　租金合計</t>
  </si>
  <si>
    <r>
      <rPr>
        <sz val="10"/>
        <rFont val="WenQuanYi Zen Hei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</si>
  <si>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</si>
  <si>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3.127 </t>
    </r>
    <r>
      <rPr>
        <sz val="9"/>
        <color rgb="FF595959"/>
        <rFont val="WenQuanYi Zen Hei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</si>
  <si>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</si>
  <si>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WenQuanYi Zen Hei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</si>
  <si>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</si>
  <si>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WenQuanYi Zen Hei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WenQuanYi Zen Hei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</si>
  <si>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</si>
  <si>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WenQuanYi Zen Hei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</si>
  <si>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0.688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0.550</t>
    </r>
    <r>
      <rPr>
        <sz val="9"/>
        <color rgb="FF595959"/>
        <rFont val="WenQuanYi Zen Hei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0.138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已承諾 </t>
    </r>
    <r>
      <rPr>
        <sz val="9"/>
        <color rgb="FF595959"/>
        <rFont val="Arial"/>
        <family val="0"/>
        <charset val="1"/>
      </rPr>
      <t xml:space="preserve">1.7bn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不發股息</t>
    </r>
  </si>
  <si>
    <r>
      <rPr>
        <sz val="10"/>
        <rFont val="WenQuanYi Zen Hei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</si>
  <si>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Accepted MW×8760×PUE×</t>
    </r>
    <r>
      <rPr>
        <sz val="9"/>
        <color rgb="FF595959"/>
        <rFont val="WenQuanYi Zen Hei"/>
        <family val="2"/>
      </rPr>
      <t xml:space="preserve">電價</t>
    </r>
    <r>
      <rPr>
        <sz val="9"/>
        <color rgb="FF595959"/>
        <rFont val="Arial"/>
        <family val="0"/>
        <charset val="1"/>
      </rPr>
      <t xml:space="preserve">÷1e9×</t>
    </r>
    <r>
      <rPr>
        <sz val="9"/>
        <color rgb="FF595959"/>
        <rFont val="WenQuanYi Zen Hei"/>
        <family val="2"/>
      </rPr>
      <t xml:space="preserve">期間係數。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電費多經房東轉嫁，預設關閉</t>
    </r>
  </si>
  <si>
    <r>
      <rPr>
        <sz val="10"/>
        <rFont val="WenQuanYi Zen Hei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</si>
  <si>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⑤ 排程還本（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本金表）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</si>
  <si>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</si>
  <si>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WenQuanYi Zen Hei"/>
        <family val="2"/>
      </rPr>
      <t xml:space="preserve">支出（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實際）</t>
    </r>
  </si>
  <si>
    <r>
      <rPr>
        <sz val="9"/>
        <color rgb="FF595959"/>
        <rFont val="Arial"/>
        <family val="0"/>
        <charset val="1"/>
      </rPr>
      <t xml:space="preserve">Q2 4.0bn </t>
    </r>
    <r>
      <rPr>
        <sz val="9"/>
        <color rgb="FF595959"/>
        <rFont val="WenQuanYi Zen Hei"/>
        <family val="2"/>
      </rPr>
      <t xml:space="preserve">可轉債的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WenQuanYi Zen Hei"/>
        <family val="2"/>
      </rPr>
      <t xml:space="preserve">現金支出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</si>
  <si>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</si>
  <si>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部分採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</si>
  <si>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</si>
  <si>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1H26 </t>
    </r>
    <r>
      <rPr>
        <sz val="10"/>
        <rFont val="WenQuanYi Zen Hei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</si>
  <si>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實際值，取代模型推算；已含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</si>
  <si>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WenQuanYi Zen Hei"/>
        <family val="2"/>
      </rPr>
      <t xml:space="preserve">現金（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</si>
  <si>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</si>
  <si>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</si>
  <si>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WenQuanYi Zen Hei"/>
        <family val="2"/>
      </rPr>
      <t xml:space="preserve">Ⓓ 客戶預付（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</si>
  <si>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t xml:space="preserve">營運來源合計</t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</si>
  <si>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</si>
  <si>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私募股權 </t>
    </r>
    <r>
      <rPr>
        <sz val="9"/>
        <color rgb="FF595959"/>
        <rFont val="Arial"/>
        <family val="0"/>
        <charset val="1"/>
      </rPr>
      <t xml:space="preserve">2.982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可轉債淨現金 </t>
    </r>
    <r>
      <rPr>
        <sz val="9"/>
        <color rgb="FF595959"/>
        <rFont val="Arial"/>
        <family val="0"/>
        <charset val="1"/>
      </rPr>
      <t xml:space="preserve">3.2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WenQuanYi Zen Hei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3.0</t>
    </r>
  </si>
  <si>
    <r>
      <rPr>
        <sz val="10"/>
        <rFont val="Arial"/>
        <family val="0"/>
        <charset val="1"/>
      </rPr>
      <t xml:space="preserve">Ⓕ 1H26 </t>
    </r>
    <r>
      <rPr>
        <sz val="10"/>
        <rFont val="WenQuanYi Zen Hei"/>
        <family val="2"/>
      </rPr>
      <t xml:space="preserve">實際借款（融資）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</si>
  <si>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WenQuanYi Zen Hei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16.747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的缺口實際上就是靠舉債填補的</t>
    </r>
  </si>
  <si>
    <t xml:space="preserve">Ⓖ 瀑布：新債（額度＋資產層）</t>
  </si>
  <si>
    <t xml:space="preserve">見下方「期前融資瀑布」</t>
  </si>
  <si>
    <t xml:space="preserve">Ⓗ 瀑布：股權募資</t>
  </si>
  <si>
    <t xml:space="preserve">債務用罄後的殘差；每年不超過股權吸收上限</t>
  </si>
  <si>
    <t xml:space="preserve">Ⓘ 瀑布：高息債（股權上限溢出）</t>
  </si>
  <si>
    <r>
      <rPr>
        <sz val="9"/>
        <color rgb="FF595959"/>
        <rFont val="WenQuanYi Zen Hei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</si>
  <si>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</si>
  <si>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</si>
  <si>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其他／受限現金調節</t>
    </r>
  </si>
  <si>
    <r>
      <rPr>
        <sz val="9"/>
        <color rgb="FF595959"/>
        <rFont val="WenQuanYi Zen Hei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</si>
  <si>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</si>
  <si>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WenQuanYi Zen Hei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WenQuanYi Zen Hei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</si>
  <si>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</si>
  <si>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</si>
  <si>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</si>
  <si>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</si>
  <si>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</si>
  <si>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</si>
  <si>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</si>
  <si>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WenQuanYi Zen Hei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</t>
    </r>
  </si>
  <si>
    <t xml:space="preserve">高息債期初餘額</t>
  </si>
  <si>
    <r>
      <rPr>
        <sz val="10"/>
        <rFont val="WenQuanYi Zen Hei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</si>
  <si>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</si>
  <si>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</si>
  <si>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</si>
  <si>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103.7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25</t>
    </r>
  </si>
  <si>
    <r>
      <rPr>
        <sz val="10"/>
        <rFont val="WenQuanYi Zen Hei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年期）</t>
    </r>
  </si>
  <si>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</si>
  <si>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</si>
  <si>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r>
      <rPr>
        <sz val="10"/>
        <rFont val="WenQuanYi Zen Hei"/>
        <family val="2"/>
      </rPr>
      <t xml:space="preserve">既有債務＋</t>
    </r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可轉債（期末）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</si>
  <si>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35.551)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WenQuanYi Zen Hei"/>
        <family val="2"/>
      </rPr>
      <t xml:space="preserve">可轉債 </t>
    </r>
    <r>
      <rPr>
        <sz val="9"/>
        <color rgb="FF595959"/>
        <rFont val="Arial"/>
        <family val="0"/>
        <charset val="1"/>
      </rPr>
      <t xml:space="preserve">3.7</t>
    </r>
  </si>
  <si>
    <r>
      <rPr>
        <sz val="10"/>
        <rFont val="WenQuanYi Zen Hei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WenQuanYi Zen Hei"/>
        <family val="2"/>
      </rPr>
      <t xml:space="preserve">）</t>
    </r>
  </si>
  <si>
    <t xml:space="preserve">未動用額度（期初）</t>
  </si>
  <si>
    <t xml:space="preserve">新債可借上限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</si>
  <si>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WenQuanYi Zen Hei"/>
        <family val="2"/>
      </rPr>
      <t xml:space="preserve">上限 − 既有債務 − 期初新債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</si>
  <si>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</si>
  <si>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WenQuanYi Zen Hei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WenQuanYi Zen Hei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</si>
  <si>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</si>
  <si>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每年股權吸收上限</t>
  </si>
  <si>
    <r>
      <rPr>
        <sz val="9"/>
        <color rgb="FF595959"/>
        <rFont val="WenQuanYi Zen Hei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0.5865bn </t>
    </r>
    <r>
      <rPr>
        <sz val="9"/>
        <color rgb="FF595959"/>
        <rFont val="WenQuanYi Zen Hei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WenQuanYi Zen Hei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</si>
  <si>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</si>
  <si>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</si>
  <si>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</si>
  <si>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10"/>
        <rFont val="WenQuanYi Zen Hei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WenQuanYi Zen Hei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</si>
  <si>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</si>
  <si>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</si>
  <si>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</si>
  <si>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</si>
  <si>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</si>
  <si>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</si>
  <si>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</si>
  <si>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</si>
  <si>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</si>
  <si>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WenQuanYi Zen Hei"/>
        <family val="2"/>
      </rPr>
      <t xml:space="preserve">期初現金（</t>
    </r>
    <r>
      <rPr>
        <sz val="10"/>
        <rFont val="Arial"/>
        <family val="0"/>
        <charset val="1"/>
      </rPr>
      <t xml:space="preserve">2025-12-31</t>
    </r>
    <r>
      <rPr>
        <sz val="10"/>
        <rFont val="WenQuanYi Zen Hei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</si>
  <si>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</si>
  <si>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</si>
  <si>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</si>
  <si>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1H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</si>
  <si>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其他／受限現金調節</t>
    </r>
  </si>
  <si>
    <t xml:space="preserve">＋ 瀑布新債＋股權＋高息債合計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</si>
  <si>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</si>
  <si>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</si>
  <si>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</si>
  <si>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WenQuanYi Zen Hei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</si>
  <si>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</si>
  <si>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WenQuanYi Zen Hei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</si>
  <si>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總營收（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模型）</t>
    </r>
  </si>
  <si>
    <r>
      <rPr>
        <sz val="9"/>
        <color rgb="FF595959"/>
        <rFont val="WenQuanYi Zen Hei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12.4–13.2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</si>
  <si>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WenQuanYi Zen Hei"/>
        <family val="2"/>
      </rPr>
      <t xml:space="preserve">認列（</t>
    </r>
    <r>
      <rPr>
        <sz val="10"/>
        <rFont val="Arial"/>
        <family val="0"/>
        <charset val="1"/>
      </rPr>
      <t xml:space="preserve">1H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</si>
  <si>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35–39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</si>
  <si>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</si>
  <si>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WenQuanYi Zen Hei"/>
        <family val="2"/>
      </rPr>
      <t xml:space="preserve">／季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</si>
  <si>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租賃現金（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</si>
  <si>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0.748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</si>
  <si>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排程還本（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</si>
  <si>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</si>
  <si>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</si>
  <si>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WenQuanYi Zen Hei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</si>
  <si>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WenQuanYi Zen Hei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</si>
  <si>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</si>
  <si>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</si>
  <si>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</si>
  <si>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WenQuanYi Zen Hei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</si>
  <si>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</si>
  <si>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</si>
  <si>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WenQuanYi Zen Hei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</si>
  <si>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</si>
  <si>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模型</t>
    </r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</si>
  <si>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共識</t>
    </r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</si>
  <si>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指引中點</t>
    </r>
  </si>
  <si>
    <r>
      <rPr>
        <b val="true"/>
        <sz val="11"/>
        <color rgb="FFFFFFFF"/>
        <rFont val="WenQuanYi Zen Hei"/>
        <family val="2"/>
      </rPr>
      <t xml:space="preserve">利潤率 </t>
    </r>
    <r>
      <rPr>
        <b val="true"/>
        <sz val="11"/>
        <color rgb="FFFFFFFF"/>
        <rFont val="Arial"/>
        <family val="0"/>
        <charset val="1"/>
      </rPr>
      <t xml:space="preserve">pt</t>
    </r>
    <r>
      <rPr>
        <b val="true"/>
        <sz val="11"/>
        <color rgb="FFFFFFFF"/>
        <rFont val="WenQuanYi Zen Hei"/>
        <family val="2"/>
      </rPr>
      <t xml:space="preserve">：模型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共識</t>
    </r>
  </si>
  <si>
    <r>
      <rPr>
        <b val="true"/>
        <sz val="11"/>
        <color rgb="FFFFFFFF"/>
        <rFont val="WenQuanYi Zen Hei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</t>
    </r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</si>
  <si>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</t>
    </r>
  </si>
  <si>
    <t xml:space="preserve">焦點｜營收</t>
  </si>
  <si>
    <r>
      <rPr>
        <sz val="10"/>
        <rFont val="WenQuanYi Zen Hei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</si>
  <si>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t xml:space="preserve">不適用</t>
  </si>
  <si>
    <r>
      <rPr>
        <sz val="10"/>
        <rFont val="WenQuanYi Zen Hei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</si>
  <si>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t xml:space="preserve">焦點｜調整後營業利益</t>
  </si>
  <si>
    <r>
      <rPr>
        <sz val="10"/>
        <rFont val="WenQuanYi Zen Hei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</si>
  <si>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焦點｜季末 </t>
    </r>
    <r>
      <rPr>
        <sz val="10"/>
        <rFont val="Arial"/>
        <family val="0"/>
        <charset val="1"/>
      </rPr>
      <t xml:space="preserve">Accepted MW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</si>
  <si>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</si>
  <si>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</si>
  <si>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WenQuanYi Zen Hei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</si>
  <si>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</si>
  <si>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FY27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</si>
  <si>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</si>
  <si>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WenQuanYi Zen Hei"/>
        <family val="2"/>
      </rPr>
      <t xml:space="preserve">軸</t>
    </r>
  </si>
  <si>
    <r>
      <rPr>
        <sz val="10"/>
        <rFont val="WenQuanYi Zen Hei"/>
        <family val="2"/>
      </rPr>
      <t xml:space="preserve">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（模型）</t>
    </r>
  </si>
  <si>
    <r>
      <rPr>
        <sz val="9"/>
        <color rgb="FF595959"/>
        <rFont val="WenQuanYi Zen Hei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WenQuanYi Zen Hei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</t>
    </r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</si>
  <si>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WenQuanYi Zen Hei"/>
        <family val="2"/>
      </rPr>
      <t xml:space="preserve">，拆分依據）</t>
    </r>
  </si>
  <si>
    <r>
      <rPr>
        <sz val="9"/>
        <color rgb="FF595959"/>
        <rFont val="WenQuanYi Zen Hei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WenQuanYi Zen Hei"/>
        <family val="2"/>
      </rPr>
      <t xml:space="preserve">之間線性內插的季平均</t>
    </r>
  </si>
  <si>
    <r>
      <rPr>
        <sz val="10"/>
        <rFont val="WenQuanYi Zen Hei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</si>
  <si>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拆分依據</t>
    </r>
  </si>
  <si>
    <t xml:space="preserve">營收（模型）</t>
  </si>
  <si>
    <r>
      <rPr>
        <sz val="9"/>
        <color rgb="FF595959"/>
        <rFont val="WenQuanYi Zen Hei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</si>
  <si>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</si>
  <si>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WenQuanYi Zen Hei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</si>
  <si>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</si>
  <si>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</si>
  <si>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</si>
  <si>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WenQuanYi Zen Hei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WenQuanYi Zen Hei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WenQuanYi Zen Hei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</si>
  <si>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率（模型）</t>
    </r>
  </si>
  <si>
    <r>
      <rPr>
        <sz val="9"/>
        <color rgb="FF595959"/>
        <rFont val="WenQuanYi Zen Hei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加總＝年度</t>
    </r>
  </si>
  <si>
    <r>
      <rPr>
        <sz val="10"/>
        <rFont val="WenQuanYi Zen Hei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</si>
  <si>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</si>
  <si>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WenQuanYi Zen Hei"/>
        <family val="2"/>
      </rPr>
      <t xml:space="preserve">依期內平均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WenQuanYi Zen Hei"/>
        <family val="2"/>
      </rPr>
      <t xml:space="preserve">（與年度車隊折舊公式相同）</t>
    </r>
  </si>
  <si>
    <t xml:space="preserve">調整後營業利益（模型）</t>
  </si>
  <si>
    <r>
      <rPr>
        <sz val="9"/>
        <color rgb="FF595959"/>
        <rFont val="WenQuanYi Zen Hei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車隊折舊（未扣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WenQuanYi Zen Hei"/>
        <family val="2"/>
      </rPr>
      <t xml:space="preserve">）</t>
    </r>
  </si>
  <si>
    <t xml:space="preserve">指引｜營收（低）</t>
  </si>
  <si>
    <t xml:space="preserve">指引｜營收（高）</t>
  </si>
  <si>
    <t xml:space="preserve">指引｜調整後營業利益（低）</t>
  </si>
  <si>
    <t xml:space="preserve">指引｜調整後營業利益（高）</t>
  </si>
  <si>
    <t xml:space="preserve">指引（文字）｜調整後營業利益</t>
  </si>
  <si>
    <t xml:space="preserve">文字指引：只列不計差距</t>
  </si>
  <si>
    <r>
      <rPr>
        <sz val="10"/>
        <rFont val="WenQuanYi Zen Hei"/>
        <family val="2"/>
      </rPr>
      <t xml:space="preserve">指引｜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（毛額）（低）</t>
    </r>
  </si>
  <si>
    <r>
      <rPr>
        <sz val="10"/>
        <rFont val="WenQuanYi Zen Hei"/>
        <family val="2"/>
      </rPr>
      <t xml:space="preserve">指引｜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（毛額）（高）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</si>
  <si>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指引錨定值</t>
    </r>
  </si>
  <si>
    <r>
      <rPr>
        <sz val="9"/>
        <color rgb="FF595959"/>
        <rFont val="WenQuanYi Zen Hei"/>
        <family val="2"/>
      </rPr>
      <t xml:space="preserve">有季度指引的季取指引中點（</t>
    </r>
    <r>
      <rPr>
        <sz val="9"/>
        <color rgb="FF595959"/>
        <rFont val="Arial"/>
        <family val="0"/>
        <charset val="1"/>
      </rPr>
      <t xml:space="preserve">capexSplit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guidanceAnchor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</si>
  <si>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未錨定季的新增 </t>
    </r>
    <r>
      <rPr>
        <sz val="10"/>
        <rFont val="Arial"/>
        <family val="0"/>
        <charset val="1"/>
      </rPr>
      <t xml:space="preserve">MW</t>
    </r>
  </si>
  <si>
    <t xml:space="preserve">期間餘數依此分配</t>
  </si>
  <si>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（毛額）（模型）</t>
    </r>
  </si>
  <si>
    <r>
      <rPr>
        <sz val="9"/>
        <color rgb="FF595959"/>
        <rFont val="WenQuanYi Zen Hei"/>
        <family val="2"/>
      </rPr>
      <t xml:space="preserve">有季度指引的季＝指引中點；其餘季＝期間餘數依新增 </t>
    </r>
    <r>
      <rPr>
        <sz val="9"/>
        <color rgb="FF595959"/>
        <rFont val="Arial"/>
        <family val="0"/>
        <charset val="1"/>
      </rPr>
      <t xml:space="preserve">Accepted MW </t>
    </r>
    <r>
      <rPr>
        <sz val="9"/>
        <color rgb="FF595959"/>
        <rFont val="WenQuanYi Zen Hei"/>
        <family val="2"/>
      </rPr>
      <t xml:space="preserve">分配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</si>
  <si>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</si>
  <si>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</si>
  <si>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</si>
  <si>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</si>
  <si>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WenQuanYi Zen Hei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WenQuanYi Zen Hei"/>
        <family val="2"/>
      </rPr>
      <t xml:space="preserve">共識營收</t>
    </r>
  </si>
  <si>
    <r>
      <rPr>
        <sz val="10"/>
        <rFont val="WenQuanYi Zen Hei"/>
        <family val="2"/>
      </rPr>
      <t xml:space="preserve">共識 </t>
    </r>
    <r>
      <rPr>
        <sz val="10"/>
        <rFont val="Arial"/>
        <family val="0"/>
        <charset val="1"/>
      </rPr>
      <t xml:space="preserve">EBIT</t>
    </r>
    <r>
      <rPr>
        <sz val="10"/>
        <rFont val="WenQuanYi Zen Hei"/>
        <family val="2"/>
      </rPr>
      <t xml:space="preserve">（口徑未揭露）</t>
    </r>
  </si>
  <si>
    <t xml:space="preserve">口徑未揭露：只列不比較</t>
  </si>
  <si>
    <t xml:space="preserve">實際｜營收</t>
  </si>
  <si>
    <r>
      <rPr>
        <sz val="10"/>
        <rFont val="WenQuanYi Zen Hei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</si>
  <si>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</si>
  <si>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WenQuanYi Zen Hei"/>
        <family val="2"/>
      </rPr>
      <t xml:space="preserve">實際營收</t>
    </r>
  </si>
  <si>
    <t xml:space="preserve">實際｜調整後營業利益</t>
  </si>
  <si>
    <r>
      <rPr>
        <sz val="10"/>
        <rFont val="WenQuanYi Zen Hei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</si>
  <si>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實際｜季末 </t>
    </r>
    <r>
      <rPr>
        <sz val="10"/>
        <rFont val="Arial"/>
        <family val="0"/>
        <charset val="1"/>
      </rPr>
      <t xml:space="preserve">active power</t>
    </r>
  </si>
  <si>
    <r>
      <rPr>
        <sz val="10"/>
        <rFont val="WenQuanYi Zen Hei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</si>
  <si>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</si>
  <si>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</si>
  <si>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</si>
  <si>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</si>
  <si>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</si>
  <si>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</si>
  <si>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</si>
  <si>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</si>
  <si>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</si>
  <si>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</si>
  <si>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</si>
  <si>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</si>
  <si>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</si>
  <si>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</si>
  <si>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</si>
  <si>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</si>
  <si>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</si>
  <si>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</si>
  <si>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</si>
  <si>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</si>
  <si>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</si>
  <si>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</si>
  <si>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</si>
  <si>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</si>
  <si>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</si>
  <si>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</si>
  <si>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</si>
  <si>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</si>
  <si>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</si>
  <si>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</si>
  <si>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</si>
  <si>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</si>
  <si>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</si>
  <si>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</si>
  <si>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</si>
  <si>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</si>
  <si>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</si>
  <si>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</si>
  <si>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</si>
  <si>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</si>
  <si>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t xml:space="preserve">所屬期間的季度共識合計</t>
  </si>
  <si>
    <r>
      <rPr>
        <sz val="10"/>
        <rFont val="WenQuanYi Zen Hei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共識｜水準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</si>
  <si>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模型期間 − 比較期間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WenQuanYi Zen Hei"/>
        <family val="2"/>
      </rPr>
      <t xml:space="preserve">比較的季占比</t>
    </r>
  </si>
  <si>
    <r>
      <rPr>
        <sz val="10"/>
        <rFont val="WenQuanYi Zen Hei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共識｜分配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</si>
  <si>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模型季占比 − 比較季占比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WenQuanYi Zen Hei"/>
        <family val="2"/>
      </rPr>
      <t xml:space="preserve">模型期間；水準＋分配＝季度差距</t>
    </r>
  </si>
  <si>
    <r>
      <rPr>
        <sz val="10"/>
        <rFont val="WenQuanYi Zen Hei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</t>
    </r>
  </si>
  <si>
    <r>
      <rPr>
        <sz val="9"/>
        <color rgb="FF595959"/>
        <rFont val="WenQuanYi Zen Hei"/>
        <family val="2"/>
      </rPr>
      <t xml:space="preserve">所屬期間的隱含指引中點（全年指引中點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實際）</t>
    </r>
  </si>
  <si>
    <r>
      <rPr>
        <sz val="10"/>
        <rFont val="WenQuanYi Zen Hei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指引｜水準</t>
    </r>
  </si>
  <si>
    <r>
      <rPr>
        <sz val="10"/>
        <rFont val="WenQuanYi Zen Hei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指引｜分配</t>
    </r>
  </si>
  <si>
    <r>
      <rPr>
        <sz val="10"/>
        <rFont val="WenQuanYi Zen Hei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</si>
  <si>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</si>
  <si>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</si>
  <si>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</si>
  <si>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</si>
  <si>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</si>
  <si>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</si>
  <si>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共識｜水準</t>
    </r>
  </si>
  <si>
    <r>
      <rPr>
        <sz val="10"/>
        <rFont val="WenQuanYi Zen Hei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共識｜分配</t>
    </r>
  </si>
  <si>
    <r>
      <rPr>
        <sz val="10"/>
        <rFont val="WenQuanYi Zen Hei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</si>
  <si>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</si>
  <si>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</si>
  <si>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</si>
  <si>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</si>
  <si>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</si>
  <si>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</si>
  <si>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</si>
  <si>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</si>
  <si>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</si>
  <si>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</si>
  <si>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</si>
  <si>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合計基準｜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</t>
    </r>
  </si>
  <si>
    <r>
      <rPr>
        <sz val="10"/>
        <rFont val="WenQuanYi Zen Hei"/>
        <family val="2"/>
      </rPr>
      <t xml:space="preserve">拆解｜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指引｜水準</t>
    </r>
  </si>
  <si>
    <r>
      <rPr>
        <sz val="10"/>
        <rFont val="WenQuanYi Zen Hei"/>
        <family val="2"/>
      </rPr>
      <t xml:space="preserve">拆解｜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指引｜分配</t>
    </r>
  </si>
  <si>
    <r>
      <rPr>
        <sz val="10"/>
        <rFont val="WenQuanYi Zen Hei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</si>
  <si>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</si>
  <si>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</si>
  <si>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</si>
  <si>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</si>
  <si>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</si>
  <si>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</si>
  <si>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</si>
  <si>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</si>
  <si>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</si>
  <si>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</si>
  <si>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</si>
  <si>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</si>
  <si>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</si>
  <si>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WenQuanYi Zen Hei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</si>
  <si>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</si>
  <si>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WenQuanYi Zen Hei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</si>
  <si>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原因標籤｜季末 </t>
    </r>
    <r>
      <rPr>
        <sz val="10"/>
        <rFont val="Arial"/>
        <family val="0"/>
        <charset val="1"/>
      </rPr>
      <t xml:space="preserve">Accepted MW</t>
    </r>
  </si>
  <si>
    <t xml:space="preserve">句｜營收</t>
  </si>
  <si>
    <r>
      <rPr>
        <sz val="10"/>
        <rFont val="WenQuanYi Zen Hei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</si>
  <si>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</si>
  <si>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t xml:space="preserve">句｜調整後營業利益</t>
  </si>
  <si>
    <r>
      <rPr>
        <sz val="10"/>
        <rFont val="WenQuanYi Zen Hei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</si>
  <si>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句｜季末 </t>
    </r>
    <r>
      <rPr>
        <sz val="10"/>
        <rFont val="Arial"/>
        <family val="0"/>
        <charset val="1"/>
      </rPr>
      <t xml:space="preserve">Accepted MW</t>
    </r>
  </si>
  <si>
    <r>
      <rPr>
        <b val="true"/>
        <sz val="10"/>
        <rFont val="WenQuanYi Zen Hei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2H26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WenQuanYi Zen Hei"/>
        <family val="2"/>
      </rPr>
      <t xml:space="preserve">）</t>
    </r>
  </si>
  <si>
    <t xml:space="preserve">核對｜營收</t>
  </si>
  <si>
    <r>
      <rPr>
        <sz val="10"/>
        <rFont val="WenQuanYi Zen Hei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</si>
  <si>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</si>
  <si>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WenQuanYi Zen Hei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</si>
  <si>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t xml:space="preserve">核對｜車隊折舊</t>
  </si>
  <si>
    <r>
      <rPr>
        <b val="true"/>
        <sz val="14"/>
        <rFont val="WenQuanYi Zen Hei"/>
        <family val="2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WenQuanYi Zen Hei"/>
        <family val="2"/>
      </rPr>
      <t xml:space="preserve">機房產能</t>
    </r>
  </si>
  <si>
    <r>
      <rPr>
        <sz val="9"/>
        <color rgb="FF595959"/>
        <rFont val="WenQuanYi Zen Hei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WenQuanYi Zen Hei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WenQuanYi Zen Hei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</si>
  <si>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下半年——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全年」列）。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</si>
  <si>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的模型期只有下半年；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</si>
  <si>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</si>
  <si>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</si>
  <si>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</si>
  <si>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</si>
  <si>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WenQuanYi Zen Hei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WenQuanYi Zen Hei"/>
        <family val="2"/>
      </rPr>
      <t xml:space="preserve">）</t>
    </r>
  </si>
  <si>
    <t xml:space="preserve">引擎規則：可計費不得超過已驗收</t>
  </si>
  <si>
    <r>
      <rPr>
        <sz val="10"/>
        <rFont val="WenQuanYi Zen Hei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</si>
  <si>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</t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</si>
  <si>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欄為下半年平均）</t>
    </r>
  </si>
  <si>
    <r>
      <rPr>
        <sz val="9"/>
        <color rgb="FF595959"/>
        <rFont val="WenQuanYi Zen Hei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WenQuanYi Zen Hei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</si>
  <si>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</si>
  <si>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WenQuanYi Zen Hei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期間係數。只看機房，不看合約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</si>
  <si>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</si>
  <si>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WenQuanYi Zen Hei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</rPr>
      <t xml:space="preserve">（模型期，依 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桶分攤）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</si>
  <si>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WenQuanYi Zen Hei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五期認列比例。只看合約，不看機房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</si>
  <si>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</si>
  <si>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</si>
  <si>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</si>
  <si>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轉換收入（模型期）</t>
    </r>
  </si>
  <si>
    <r>
      <rPr>
        <sz val="9"/>
        <color rgb="FF595959"/>
        <rFont val="WenQuanYi Zen Hei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WenQuanYi Zen Hei"/>
        <family val="2"/>
      </rPr>
      <t xml:space="preserve">時，此值恆等於容量上限</t>
    </r>
  </si>
  <si>
    <r>
      <rPr>
        <sz val="10"/>
        <rFont val="WenQuanYi Zen Hei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占用的產能</t>
    </r>
  </si>
  <si>
    <t xml:space="preserve">容量 − 排程。機房有、期初合約沒占滿 → 要靠新簽約</t>
  </si>
  <si>
    <t xml:space="preserve">新簽約收入</t>
  </si>
  <si>
    <r>
      <rPr>
        <sz val="9"/>
        <color rgb="FF595959"/>
        <rFont val="WenQuanYi Zen Hei"/>
        <family val="2"/>
      </rPr>
      <t xml:space="preserve">尚未簽署的合約。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起模型收入主要來自此列——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WenQuanYi Zen Hei"/>
        <family val="2"/>
      </rPr>
      <t xml:space="preserve">敘事的風險集中點</t>
    </r>
  </si>
  <si>
    <t xml:space="preserve">未售產能（浪費）</t>
  </si>
  <si>
    <r>
      <rPr>
        <sz val="9"/>
        <color rgb="FF595959"/>
        <rFont val="WenQuanYi Zen Hei"/>
        <family val="2"/>
      </rPr>
      <t xml:space="preserve">蓋好但賣不掉。</t>
    </r>
    <r>
      <rPr>
        <sz val="9"/>
        <color rgb="FF595959"/>
        <rFont val="Arial"/>
        <family val="0"/>
        <charset val="1"/>
      </rPr>
      <t xml:space="preserve">Bernstein</t>
    </r>
    <r>
      <rPr>
        <sz val="9"/>
        <color rgb="FF595959"/>
        <rFont val="WenQuanYi Zen Hei"/>
        <family val="2"/>
      </rPr>
      <t xml:space="preserve">：簽約電力 </t>
    </r>
    <r>
      <rPr>
        <sz val="9"/>
        <color rgb="FF595959"/>
        <rFont val="Arial"/>
        <family val="0"/>
        <charset val="1"/>
      </rPr>
      <t xml:space="preserve">74% </t>
    </r>
    <r>
      <rPr>
        <sz val="9"/>
        <color rgb="FF595959"/>
        <rFont val="WenQuanYi Zen Hei"/>
        <family val="2"/>
      </rPr>
      <t xml:space="preserve">位於 </t>
    </r>
    <r>
      <rPr>
        <sz val="9"/>
        <color rgb="FF595959"/>
        <rFont val="Arial"/>
        <family val="0"/>
        <charset val="1"/>
      </rPr>
      <t xml:space="preserve">Tier 3/4 </t>
    </r>
    <r>
      <rPr>
        <sz val="9"/>
        <color rgb="FF595959"/>
        <rFont val="WenQuanYi Zen Hei"/>
        <family val="2"/>
      </rPr>
      <t xml:space="preserve">市場</t>
    </r>
  </si>
  <si>
    <r>
      <rPr>
        <sz val="10"/>
        <rFont val="WenQuanYi Zen Hei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</si>
  <si>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</si>
  <si>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Arial"/>
        <family val="0"/>
        <charset val="1"/>
      </rPr>
      <t xml:space="preserve">1H26 </t>
    </r>
    <r>
      <rPr>
        <sz val="10"/>
        <rFont val="WenQuanYi Zen Hei"/>
        <family val="2"/>
      </rPr>
      <t xml:space="preserve">實際營收（</t>
    </r>
    <r>
      <rPr>
        <sz val="10"/>
        <rFont val="Arial"/>
        <family val="0"/>
        <charset val="1"/>
      </rPr>
      <t xml:space="preserve">10-Q</t>
    </r>
    <r>
      <rPr>
        <sz val="10"/>
        <rFont val="WenQuanYi Zen Hei"/>
        <family val="2"/>
      </rPr>
      <t xml:space="preserve">，已實現）</t>
    </r>
  </si>
  <si>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WenQuanYi Zen Hei"/>
        <family val="2"/>
      </rPr>
      <t xml:space="preserve">已認列營收。已實現，不受下半年產能約束，故不進入上方的瓶頸計算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</si>
  <si>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全年總營收（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實際＋模型期算力＋服務）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</si>
  <si>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欄可直接對照公司全年指引 </t>
    </r>
    <r>
      <rPr>
        <sz val="9"/>
        <color rgb="FF595959"/>
        <rFont val="Arial"/>
        <family val="0"/>
        <charset val="1"/>
      </rPr>
      <t xml:space="preserve">12.4–13.2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以後即為該年度總營收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</si>
  <si>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）收入 → 現金：三道折扣</t>
    </r>
  </si>
  <si>
    <r>
      <rPr>
        <sz val="10"/>
        <rFont val="WenQuanYi Zen Hei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部分）</t>
    </r>
  </si>
  <si>
    <r>
      <rPr>
        <sz val="9"/>
        <color rgb="FF595959"/>
        <rFont val="WenQuanYi Zen Hei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WenQuanYi Zen Hei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</si>
  <si>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</si>
  <si>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</si>
  <si>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</si>
  <si>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</si>
  <si>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營收）</t>
    </r>
  </si>
  <si>
    <r>
      <rPr>
        <sz val="9"/>
        <color rgb="FF595959"/>
        <rFont val="WenQuanYi Zen Hei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</si>
  <si>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</si>
  <si>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WenQuanYi Zen Hei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</si>
  <si>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</si>
  <si>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WenQuanYi Zen Hei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WenQuanYi Zen Hei"/>
        <family val="2"/>
      </rPr>
      <t xml:space="preserve">率</t>
    </r>
  </si>
  <si>
    <r>
      <rPr>
        <b val="true"/>
        <sz val="10"/>
        <rFont val="WenQuanYi Zen Hei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2H</t>
    </r>
    <r>
      <rPr>
        <b val="true"/>
        <sz val="10"/>
        <rFont val="WenQuanYi Zen Hei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WenQuanYi Zen Hei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WenQuanYi Zen Hei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WenQuanYi Zen Hei"/>
        <family val="2"/>
      </rPr>
      <t xml:space="preserve">起反轉，收入愈來愈靠『新簽約收入』這一列。</t>
    </r>
  </si>
  <si>
    <r>
      <rPr>
        <sz val="9"/>
        <color rgb="FF595959"/>
        <rFont val="WenQuanYi Zen Hei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的資金缺口有多大——這是最重要的一個壓力測試。</t>
    </r>
  </si>
  <si>
    <r>
      <rPr>
        <b val="true"/>
        <sz val="14"/>
        <rFont val="WenQuanYi Zen Hei"/>
        <family val="2"/>
      </rPr>
      <t xml:space="preserve">站點租賃 — 房東揭露 </t>
    </r>
    <r>
      <rPr>
        <b val="true"/>
        <sz val="14"/>
        <rFont val="Arial"/>
        <family val="0"/>
        <charset val="1"/>
      </rPr>
      <t xml:space="preserve">vs 10-Q </t>
    </r>
    <r>
      <rPr>
        <b val="true"/>
        <sz val="14"/>
        <rFont val="WenQuanYi Zen Hei"/>
        <family val="2"/>
      </rPr>
      <t xml:space="preserve">總額（檢驗租金路徑用）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</si>
  <si>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不揭露逐站租金；下表為房東公告的合約值（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），用來檢驗『每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年租金』與模型租金路徑是否一致</t>
    </r>
  </si>
  <si>
    <t xml:space="preserve">站點</t>
  </si>
  <si>
    <t xml:space="preserve">房東</t>
  </si>
  <si>
    <r>
      <rPr>
        <b val="true"/>
        <sz val="11"/>
        <color rgb="FFFFFFFF"/>
        <rFont val="WenQuanYi Zen Hei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</si>
  <si>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WenQuanYi Zen Hei"/>
        <family val="2"/>
      </rPr>
      <t xml:space="preserve">已起租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</si>
  <si>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WenQuanYi Zen Hei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</si>
  <si>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</si>
  <si>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WenQuanYi Zen Hei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</si>
  <si>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WenQuanYi Zen Hei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WenQuanYi Zen Hei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</si>
  <si>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起租時程</t>
  </si>
  <si>
    <r>
      <rPr>
        <b val="true"/>
        <sz val="11"/>
        <color rgb="FFFFFFFF"/>
        <rFont val="Arial"/>
        <family val="0"/>
        <charset val="1"/>
      </rPr>
      <t xml:space="preserve">10-Q </t>
    </r>
    <r>
      <rPr>
        <b val="true"/>
        <sz val="11"/>
        <color rgb="FFFFFFFF"/>
        <rFont val="WenQuanYi Zen Hei"/>
        <family val="2"/>
      </rPr>
      <t xml:space="preserve">對應</t>
    </r>
  </si>
  <si>
    <r>
      <rPr>
        <sz val="10"/>
        <rFont val="Arial"/>
        <family val="0"/>
        <charset val="1"/>
      </rPr>
      <t xml:space="preserve">Helios</t>
    </r>
    <r>
      <rPr>
        <sz val="10"/>
        <rFont val="WenQuanYi Zen Hei"/>
        <family val="2"/>
      </rPr>
      <t xml:space="preserve">（德州 </t>
    </r>
    <r>
      <rPr>
        <sz val="10"/>
        <rFont val="Arial"/>
        <family val="0"/>
        <charset val="1"/>
      </rPr>
      <t xml:space="preserve">Dickens</t>
    </r>
    <r>
      <rPr>
        <sz val="10"/>
        <rFont val="WenQuanYi Zen Hei"/>
        <family val="2"/>
      </rPr>
      <t xml:space="preserve">）</t>
    </r>
  </si>
  <si>
    <t xml:space="preserve">Galaxy (GLXY)</t>
  </si>
  <si>
    <r>
      <rPr>
        <sz val="9"/>
        <color rgb="FF595959"/>
        <rFont val="Arial"/>
        <family val="0"/>
        <charset val="1"/>
      </rPr>
      <t xml:space="preserve">Ph I 133 MW 2026Q2 </t>
    </r>
    <r>
      <rPr>
        <sz val="9"/>
        <color rgb="FF595959"/>
        <rFont val="WenQuanYi Zen Hei"/>
        <family val="2"/>
      </rPr>
      <t xml:space="preserve">起租；</t>
    </r>
    <r>
      <rPr>
        <sz val="9"/>
        <color rgb="FF595959"/>
        <rFont val="Arial"/>
        <family val="0"/>
        <charset val="1"/>
      </rPr>
      <t xml:space="preserve">Ph II 260 MW 2027H1 </t>
    </r>
    <r>
      <rPr>
        <sz val="9"/>
        <color rgb="FF595959"/>
        <rFont val="WenQuanYi Zen Hei"/>
        <family val="2"/>
      </rPr>
      <t xml:space="preserve">起；</t>
    </r>
    <r>
      <rPr>
        <sz val="9"/>
        <color rgb="FF595959"/>
        <rFont val="Arial"/>
        <family val="0"/>
        <charset val="1"/>
      </rPr>
      <t xml:space="preserve">Ph III 133 MW</t>
    </r>
  </si>
  <si>
    <r>
      <rPr>
        <sz val="9"/>
        <color rgb="FF595959"/>
        <rFont val="WenQuanYi Zen Hei"/>
        <family val="2"/>
      </rPr>
      <t xml:space="preserve">未交付 </t>
    </r>
    <r>
      <rPr>
        <sz val="9"/>
        <color rgb="FF595959"/>
        <rFont val="Arial"/>
        <family val="0"/>
        <charset val="1"/>
      </rPr>
      <t xml:space="preserve">393 MW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「單站上限 </t>
    </r>
    <r>
      <rPr>
        <sz val="9"/>
        <color rgb="FF595959"/>
        <rFont val="Arial"/>
        <family val="0"/>
        <charset val="1"/>
      </rPr>
      <t xml:space="preserve">14.7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年」</t>
    </r>
  </si>
  <si>
    <r>
      <rPr>
        <sz val="9"/>
        <color rgb="FF595959"/>
        <rFont val="Arial"/>
        <family val="0"/>
        <charset val="1"/>
      </rPr>
      <t xml:space="preserve">Galaxy 2026-07-06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526 MW</t>
    </r>
    <r>
      <rPr>
        <sz val="9"/>
        <color rgb="FF595959"/>
        <rFont val="WenQuanYi Zen Hei"/>
        <family val="2"/>
      </rPr>
      <t xml:space="preserve">、年均租金 </t>
    </r>
    <r>
      <rPr>
        <sz val="9"/>
        <color rgb="FF595959"/>
        <rFont val="Arial"/>
        <family val="0"/>
        <charset val="1"/>
      </rPr>
      <t xml:space="preserve">&gt;$1bn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年＋</t>
    </r>
    <r>
      <rPr>
        <sz val="9"/>
        <color rgb="FF595959"/>
        <rFont val="Arial"/>
        <family val="0"/>
        <charset val="1"/>
      </rPr>
      <t xml:space="preserve">2×5 </t>
    </r>
    <r>
      <rPr>
        <sz val="9"/>
        <color rgb="FF595959"/>
        <rFont val="WenQuanYi Zen Hei"/>
        <family val="2"/>
      </rPr>
      <t xml:space="preserve">年延長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</si>
  <si>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Polaris Forge 1</t>
    </r>
    <r>
      <rPr>
        <sz val="10"/>
        <rFont val="WenQuanYi Zen Hei"/>
        <family val="2"/>
      </rPr>
      <t xml:space="preserve">（北達科他 </t>
    </r>
    <r>
      <rPr>
        <sz val="10"/>
        <rFont val="Arial"/>
        <family val="0"/>
        <charset val="1"/>
      </rPr>
      <t xml:space="preserve">Ellendale</t>
    </r>
    <r>
      <rPr>
        <sz val="10"/>
        <rFont val="WenQuanYi Zen Hei"/>
        <family val="2"/>
      </rPr>
      <t xml:space="preserve">）</t>
    </r>
  </si>
  <si>
    <t xml:space="preserve">Applied Digital (APLD)</t>
  </si>
  <si>
    <r>
      <rPr>
        <sz val="9"/>
        <color rgb="FF595959"/>
        <rFont val="Arial"/>
        <family val="0"/>
        <charset val="1"/>
      </rPr>
      <t xml:space="preserve">100 MW 2025Q4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150 MW 2026 </t>
    </r>
    <r>
      <rPr>
        <sz val="9"/>
        <color rgb="FF595959"/>
        <rFont val="WenQuanYi Zen Hei"/>
        <family val="2"/>
      </rPr>
      <t xml:space="preserve">年中；</t>
    </r>
    <r>
      <rPr>
        <sz val="9"/>
        <color rgb="FF595959"/>
        <rFont val="Arial"/>
        <family val="0"/>
        <charset val="1"/>
      </rPr>
      <t xml:space="preserve">150 MW 2027</t>
    </r>
  </si>
  <si>
    <r>
      <rPr>
        <sz val="9"/>
        <color rgb="FF595959"/>
        <rFont val="WenQuanYi Zen Hei"/>
        <family val="2"/>
      </rPr>
      <t xml:space="preserve">大致落在未起租 </t>
    </r>
    <r>
      <rPr>
        <sz val="9"/>
        <color rgb="FF595959"/>
        <rFont val="Arial"/>
        <family val="0"/>
        <charset val="1"/>
      </rPr>
      <t xml:space="preserve">35.5 </t>
    </r>
    <r>
      <rPr>
        <sz val="9"/>
        <color rgb="FF595959"/>
        <rFont val="WenQuanYi Zen Hei"/>
        <family val="2"/>
      </rPr>
      <t xml:space="preserve">內</t>
    </r>
  </si>
  <si>
    <r>
      <rPr>
        <sz val="9"/>
        <color rgb="FF595959"/>
        <rFont val="Arial"/>
        <family val="0"/>
        <charset val="1"/>
      </rPr>
      <t xml:space="preserve">APLD 2025-08-29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FQ2 </t>
    </r>
    <r>
      <rPr>
        <sz val="9"/>
        <color rgb="FF595959"/>
        <rFont val="WenQuanYi Zen Hei"/>
        <family val="2"/>
      </rPr>
      <t xml:space="preserve">法說：</t>
    </r>
    <r>
      <rPr>
        <sz val="9"/>
        <color rgb="FF595959"/>
        <rFont val="Arial"/>
        <family val="0"/>
        <charset val="1"/>
      </rPr>
      <t xml:space="preserve">400 MW</t>
    </r>
    <r>
      <rPr>
        <sz val="9"/>
        <color rgb="FF595959"/>
        <rFont val="WenQuanYi Zen Hei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$11bn</t>
    </r>
    <r>
      <rPr>
        <sz val="9"/>
        <color rgb="FF595959"/>
        <rFont val="WenQuanYi Zen Hei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</si>
  <si>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Core Scientific </t>
    </r>
    <r>
      <rPr>
        <sz val="10"/>
        <rFont val="WenQuanYi Zen Hei"/>
        <family val="2"/>
      </rPr>
      <t xml:space="preserve">六站（</t>
    </r>
    <r>
      <rPr>
        <sz val="10"/>
        <rFont val="Arial"/>
        <family val="0"/>
        <charset val="1"/>
      </rPr>
      <t xml:space="preserve">Denton </t>
    </r>
    <r>
      <rPr>
        <sz val="10"/>
        <rFont val="WenQuanYi Zen Hei"/>
        <family val="2"/>
      </rPr>
      <t xml:space="preserve">等）</t>
    </r>
  </si>
  <si>
    <t xml:space="preserve">Core Scientific (CORZ)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</si>
  <si>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年約 </t>
    </r>
    <r>
      <rPr>
        <sz val="9"/>
        <color rgb="FF595959"/>
        <rFont val="Arial"/>
        <family val="0"/>
        <charset val="1"/>
      </rPr>
      <t xml:space="preserve">250 MW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年初全數 </t>
    </r>
    <r>
      <rPr>
        <sz val="9"/>
        <color rgb="FF595959"/>
        <rFont val="Arial"/>
        <family val="0"/>
        <charset val="1"/>
      </rPr>
      <t xml:space="preserve">590 MW</t>
    </r>
  </si>
  <si>
    <r>
      <rPr>
        <sz val="9"/>
        <color rgb="FF595959"/>
        <rFont val="WenQuanYi Zen Hei"/>
        <family val="2"/>
      </rPr>
      <t xml:space="preserve">部分在帳、部分未起租；「按造價計租」</t>
    </r>
    <r>
      <rPr>
        <sz val="9"/>
        <color rgb="FF595959"/>
        <rFont val="Arial"/>
        <family val="0"/>
        <charset val="1"/>
      </rPr>
      <t xml:space="preserve">355 MW </t>
    </r>
    <r>
      <rPr>
        <sz val="9"/>
        <color rgb="FF595959"/>
        <rFont val="WenQuanYi Zen Hei"/>
        <family val="2"/>
      </rPr>
      <t xml:space="preserve">可能含部分</t>
    </r>
  </si>
  <si>
    <r>
      <rPr>
        <sz val="9"/>
        <color rgb="FF595959"/>
        <rFont val="Arial"/>
        <family val="0"/>
        <charset val="1"/>
      </rPr>
      <t xml:space="preserve">CORZ 2025-02-26</t>
    </r>
    <r>
      <rPr>
        <sz val="9"/>
        <color rgb="FF595959"/>
        <rFont val="WenQuanYi Zen Hei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590 MW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$10.2bn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年；年均約 </t>
    </r>
    <r>
      <rPr>
        <sz val="9"/>
        <color rgb="FF595959"/>
        <rFont val="Arial"/>
        <family val="0"/>
        <charset val="1"/>
      </rPr>
      <t xml:space="preserve">$850m [Interested-party]</t>
    </r>
  </si>
  <si>
    <r>
      <rPr>
        <sz val="10"/>
        <rFont val="Arial"/>
        <family val="0"/>
        <charset val="1"/>
      </rPr>
      <t xml:space="preserve">Kenilworth</t>
    </r>
    <r>
      <rPr>
        <sz val="10"/>
        <rFont val="WenQuanYi Zen Hei"/>
        <family val="2"/>
      </rPr>
      <t xml:space="preserve">（新澤西 </t>
    </r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</si>
  <si>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持股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WenQuanYi Zen Hei"/>
        <family val="2"/>
      </rPr>
      <t xml:space="preserve">）</t>
    </r>
  </si>
  <si>
    <t xml:space="preserve">未揭露</t>
  </si>
  <si>
    <t xml:space="preserve">施工中；完工後起租</t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</si>
  <si>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：租金＝建造成本的一定比例，推定屬「按造價計租」</t>
    </r>
    <r>
      <rPr>
        <sz val="9"/>
        <color rgb="FF595959"/>
        <rFont val="Arial"/>
        <family val="0"/>
        <charset val="1"/>
      </rPr>
      <t xml:space="preserve">355 MW</t>
    </r>
  </si>
  <si>
    <r>
      <rPr>
        <sz val="9"/>
        <color rgb="FF595959"/>
        <rFont val="Arial"/>
        <family val="0"/>
        <charset val="1"/>
      </rPr>
      <t xml:space="preserve">10-Q Note 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年租約、租金依建造成本計；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與金額未揭露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</si>
  <si>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具名站點合計</t>
  </si>
  <si>
    <r>
      <rPr>
        <sz val="9"/>
        <color rgb="FF595959"/>
        <rFont val="WenQuanYi Zen Hei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年租金＝具名站點的市場基準</t>
    </r>
  </si>
  <si>
    <r>
      <rPr>
        <b val="true"/>
        <sz val="10"/>
        <rFont val="WenQuanYi Zen Hei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10-Q </t>
    </r>
    <r>
      <rPr>
        <b val="true"/>
        <sz val="10"/>
        <rFont val="WenQuanYi Zen Hei"/>
        <family val="2"/>
      </rPr>
      <t xml:space="preserve">租賃承諾總額</t>
    </r>
  </si>
  <si>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在帳租賃（未折現，已起租）</t>
    </r>
  </si>
  <si>
    <r>
      <rPr>
        <sz val="9"/>
        <color rgb="FF595959"/>
        <rFont val="WenQuanYi Zen Hei"/>
        <family val="2"/>
      </rPr>
      <t xml:space="preserve">營業 </t>
    </r>
    <r>
      <rPr>
        <sz val="9"/>
        <color rgb="FF595959"/>
        <rFont val="Arial"/>
        <family val="0"/>
        <charset val="1"/>
      </rPr>
      <t xml:space="preserve">29.135</t>
    </r>
    <r>
      <rPr>
        <sz val="9"/>
        <color rgb="FF595959"/>
        <rFont val="WenQuanYi Zen Hei"/>
        <family val="2"/>
      </rPr>
      <t xml:space="preserve">＋融資 </t>
    </r>
    <r>
      <rPr>
        <sz val="9"/>
        <color rgb="FF595959"/>
        <rFont val="Arial"/>
        <family val="0"/>
        <charset val="1"/>
      </rPr>
      <t xml:space="preserve">0.235 [Verified]</t>
    </r>
  </si>
  <si>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未起租租賃（未折現）</t>
    </r>
  </si>
  <si>
    <r>
      <rPr>
        <sz val="9"/>
        <color rgb="FF595959"/>
        <rFont val="Arial"/>
        <family val="0"/>
        <charset val="1"/>
      </rPr>
      <t xml:space="preserve">2026–2029 </t>
    </r>
    <r>
      <rPr>
        <sz val="9"/>
        <color rgb="FF595959"/>
        <rFont val="WenQuanYi Zen Hei"/>
        <family val="2"/>
      </rPr>
      <t xml:space="preserve">起租、</t>
    </r>
    <r>
      <rPr>
        <sz val="9"/>
        <color rgb="FF595959"/>
        <rFont val="Arial"/>
        <family val="0"/>
        <charset val="1"/>
      </rPr>
      <t xml:space="preserve">7–16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</si>
  <si>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單站按造價計租上限</t>
    </r>
  </si>
  <si>
    <r>
      <rPr>
        <sz val="9"/>
        <color rgb="FF595959"/>
        <rFont val="WenQuanYi Zen Hei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Helios </t>
    </r>
    <r>
      <rPr>
        <sz val="9"/>
        <color rgb="FF595959"/>
        <rFont val="WenQuanYi Zen Hei"/>
        <family val="2"/>
      </rPr>
      <t xml:space="preserve">未交付 </t>
    </r>
    <r>
      <rPr>
        <sz val="9"/>
        <color rgb="FF595959"/>
        <rFont val="Arial"/>
        <family val="0"/>
        <charset val="1"/>
      </rPr>
      <t xml:space="preserve">393 MW [Verified]</t>
    </r>
  </si>
  <si>
    <r>
      <rPr>
        <b val="true"/>
        <sz val="10"/>
        <rFont val="Arial"/>
        <family val="0"/>
        <charset val="1"/>
      </rPr>
      <t xml:space="preserve">10-Q </t>
    </r>
    <r>
      <rPr>
        <b val="true"/>
        <sz val="10"/>
        <rFont val="WenQuanYi Zen Hei"/>
        <family val="2"/>
      </rPr>
      <t xml:space="preserve">已揭露租賃承諾合計</t>
    </r>
  </si>
  <si>
    <r>
      <rPr>
        <sz val="9"/>
        <color rgb="FF595959"/>
        <rFont val="WenQuanYi Zen Hei"/>
        <family val="2"/>
      </rPr>
      <t xml:space="preserve">另有 </t>
    </r>
    <r>
      <rPr>
        <sz val="9"/>
        <color rgb="FF595959"/>
        <rFont val="Arial"/>
        <family val="0"/>
        <charset val="1"/>
      </rPr>
      <t xml:space="preserve">355 MW </t>
    </r>
    <r>
      <rPr>
        <sz val="9"/>
        <color rgb="FF595959"/>
        <rFont val="WenQuanYi Zen Hei"/>
        <family val="2"/>
      </rPr>
      <t xml:space="preserve">按造價計租，金額未定，未含</t>
    </r>
  </si>
  <si>
    <t xml:space="preserve">減：具名站點合約總值</t>
  </si>
  <si>
    <t xml:space="preserve">＝ 未具名站點（殘差）</t>
  </si>
  <si>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WenQuanYi Zen Hei"/>
        <family val="2"/>
      </rPr>
      <t xml:space="preserve">座以上資料中心中未具名者（</t>
    </r>
    <r>
      <rPr>
        <sz val="9"/>
        <color rgb="FF595959"/>
        <rFont val="Arial"/>
        <family val="0"/>
        <charset val="1"/>
      </rPr>
      <t xml:space="preserve">Equinix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Switch </t>
    </r>
    <r>
      <rPr>
        <sz val="9"/>
        <color rgb="FF595959"/>
        <rFont val="WenQuanYi Zen Hei"/>
        <family val="2"/>
      </rPr>
      <t xml:space="preserve">等託管，以及其他房東）。殘差大是必然——公司不揭露逐站</t>
    </r>
  </si>
  <si>
    <r>
      <rPr>
        <sz val="10"/>
        <rFont val="WenQuanYi Zen Hei"/>
        <family val="2"/>
      </rPr>
      <t xml:space="preserve">殘差占 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總額</t>
    </r>
  </si>
  <si>
    <r>
      <rPr>
        <b val="true"/>
        <sz val="10"/>
        <rFont val="WenQuanYi Zen Hei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WenQuanYi Zen Hei"/>
        <family val="2"/>
      </rPr>
      <t xml:space="preserve">市場基準</t>
    </r>
  </si>
  <si>
    <t xml:space="preserve">模型租金（在帳＋表外）</t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</si>
  <si>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Accepted</t>
    </r>
    <r>
      <rPr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</si>
  <si>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</si>
  <si>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欄只含下半年租金、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取全年平均，略有低估</t>
    </r>
  </si>
  <si>
    <t xml:space="preserve">第三方租賃占比</t>
  </si>
  <si>
    <r>
      <rPr>
        <sz val="9"/>
        <color rgb="FF595959"/>
        <rFont val="WenQuanYi Zen Hei"/>
        <family val="2"/>
      </rPr>
      <t xml:space="preserve">其餘為自建／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Kenilworth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Lancaster</t>
    </r>
    <r>
      <rPr>
        <sz val="9"/>
        <color rgb="FF595959"/>
        <rFont val="WenQuanYi Zen Hei"/>
        <family val="2"/>
      </rPr>
      <t xml:space="preserve">），成本走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WenQuanYi Zen Hei"/>
        <family val="2"/>
      </rPr>
      <t xml:space="preserve">出資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</si>
  <si>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WenQuanYi Zen Hei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占比）</t>
    </r>
  </si>
  <si>
    <r>
      <rPr>
        <sz val="9"/>
        <color rgb="FF595959"/>
        <rFont val="WenQuanYi Zen Hei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WenQuanYi Zen Hei"/>
        <family val="2"/>
      </rPr>
      <t xml:space="preserve">多數比照 </t>
    </r>
    <r>
      <rPr>
        <sz val="9"/>
        <color rgb="FF595959"/>
        <rFont val="Arial"/>
        <family val="0"/>
        <charset val="1"/>
      </rPr>
      <t xml:space="preserve">Helios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APLD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CORZ </t>
    </r>
    <r>
      <rPr>
        <sz val="9"/>
        <color rgb="FF595959"/>
        <rFont val="WenQuanYi Zen Hei"/>
        <family val="2"/>
      </rPr>
      <t xml:space="preserve">的租金水準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</si>
  <si>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</si>
  <si>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</si>
  <si>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</si>
  <si>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WenQuanYi Zen Hei"/>
        <family val="2"/>
      </rPr>
      <t xml:space="preserve">債務明細 — </t>
    </r>
    <r>
      <rPr>
        <b val="true"/>
        <sz val="14"/>
        <rFont val="Arial"/>
        <family val="0"/>
        <charset val="1"/>
      </rPr>
      <t xml:space="preserve">10-Q Note 10</t>
    </r>
    <r>
      <rPr>
        <b val="true"/>
        <sz val="14"/>
        <rFont val="WenQuanYi Zen Hei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WenQuanYi Zen Hei"/>
        <family val="2"/>
      </rPr>
      <t xml:space="preserve">）逐筆＋存量利息推導</t>
    </r>
  </si>
  <si>
    <r>
      <rPr>
        <sz val="9"/>
        <color rgb="FF595959"/>
        <rFont val="WenQuanYi Zen Hei"/>
        <family val="2"/>
      </rPr>
      <t xml:space="preserve">有效利率為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揭露值（含折價攤銷，四捨五入至整數 </t>
    </r>
    <r>
      <rPr>
        <sz val="9"/>
        <color rgb="FF595959"/>
        <rFont val="Arial"/>
        <family val="0"/>
        <charset val="1"/>
      </rPr>
      <t xml:space="preserve">%</t>
    </r>
    <r>
      <rPr>
        <sz val="9"/>
        <color rgb="FF595959"/>
        <rFont val="WenQuanYi Zen Hei"/>
        <family val="2"/>
      </rPr>
      <t xml:space="preserve">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</si>
  <si>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</si>
  <si>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</si>
  <si>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</si>
  <si>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</si>
  <si>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WenQuanYi Zen Hei"/>
        <family val="2"/>
      </rPr>
      <t xml:space="preserve">本金</t>
    </r>
  </si>
  <si>
    <t xml:space="preserve">年化利息</t>
  </si>
  <si>
    <t xml:space="preserve">DDTL 1.0</t>
  </si>
  <si>
    <t xml:space="preserve">追索</t>
  </si>
  <si>
    <t xml:space="preserve">2028-03</t>
  </si>
  <si>
    <r>
      <rPr>
        <sz val="9"/>
        <color rgb="FF595959"/>
        <rFont val="WenQuanYi Zen Hei"/>
        <family val="2"/>
      </rPr>
      <t xml:space="preserve">資產層、隨客戶付款攤還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</si>
  <si>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DDTL 2.0</t>
  </si>
  <si>
    <t xml:space="preserve">2030-08</t>
  </si>
  <si>
    <t xml:space="preserve">DDTL 2.1</t>
  </si>
  <si>
    <t xml:space="preserve">2031-03</t>
  </si>
  <si>
    <t xml:space="preserve">DDTL 3.0</t>
  </si>
  <si>
    <t xml:space="preserve">DDTL 5.0</t>
  </si>
  <si>
    <t xml:space="preserve">2031-11</t>
  </si>
  <si>
    <r>
      <rPr>
        <sz val="9"/>
        <color rgb="FF595959"/>
        <rFont val="Arial"/>
        <family val="0"/>
        <charset val="1"/>
      </rPr>
      <t xml:space="preserve">SOFR+4.50%</t>
    </r>
    <r>
      <rPr>
        <sz val="9"/>
        <color rgb="FF595959"/>
        <rFont val="WenQuanYi Zen Hei"/>
        <family val="2"/>
      </rPr>
      <t xml:space="preserve">；額度 </t>
    </r>
    <r>
      <rPr>
        <sz val="9"/>
        <color rgb="FF595959"/>
        <rFont val="Arial"/>
        <family val="0"/>
        <charset val="1"/>
      </rPr>
      <t xml:space="preserve">3.1 [Verified]</t>
    </r>
  </si>
  <si>
    <t xml:space="preserve">2030 Senior Notes</t>
  </si>
  <si>
    <t xml:space="preserve">2030-06</t>
  </si>
  <si>
    <r>
      <rPr>
        <sz val="9"/>
        <color rgb="FF595959"/>
        <rFont val="WenQuanYi Zen Hei"/>
        <family val="2"/>
      </rPr>
      <t xml:space="preserve">到期一次還本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</si>
  <si>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2031 9.00% Senior Notes</t>
  </si>
  <si>
    <t xml:space="preserve">2031-02</t>
  </si>
  <si>
    <t xml:space="preserve">2031 9.75% Senior Notes</t>
  </si>
  <si>
    <t xml:space="preserve">2031-10</t>
  </si>
  <si>
    <r>
      <rPr>
        <sz val="9"/>
        <color rgb="FF595959"/>
        <rFont val="Arial"/>
        <family val="0"/>
        <charset val="1"/>
      </rPr>
      <t xml:space="preserve">2026-04 </t>
    </r>
    <r>
      <rPr>
        <sz val="9"/>
        <color rgb="FF595959"/>
        <rFont val="WenQuanYi Zen Hei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</si>
  <si>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2032 9.625% Senior Notes</t>
  </si>
  <si>
    <t xml:space="preserve">2032-07</t>
  </si>
  <si>
    <r>
      <rPr>
        <sz val="9"/>
        <color rgb="FF595959"/>
        <rFont val="Arial"/>
        <family val="0"/>
        <charset val="1"/>
      </rPr>
      <t xml:space="preserve">2026-06 </t>
    </r>
    <r>
      <rPr>
        <sz val="9"/>
        <color rgb="FF595959"/>
        <rFont val="WenQuanYi Zen Hei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</si>
  <si>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2032 EUR Senior Notes</t>
    </r>
    <r>
      <rPr>
        <sz val="10"/>
        <rFont val="WenQuanYi Zen Hei"/>
        <family val="2"/>
      </rPr>
      <t xml:space="preserve">（€</t>
    </r>
    <r>
      <rPr>
        <sz val="10"/>
        <rFont val="Arial"/>
        <family val="0"/>
        <charset val="1"/>
      </rPr>
      <t xml:space="preserve">2.0bn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</si>
  <si>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票面 </t>
    </r>
    <r>
      <rPr>
        <sz val="9"/>
        <color rgb="FF595959"/>
        <rFont val="Arial"/>
        <family val="0"/>
        <charset val="1"/>
      </rPr>
      <t xml:space="preserve">8.50%</t>
    </r>
    <r>
      <rPr>
        <sz val="9"/>
        <color rgb="FF595959"/>
        <rFont val="WenQuanYi Zen Hei"/>
        <family val="2"/>
      </rPr>
      <t xml:space="preserve">；已做換匯換利避險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</si>
  <si>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2031 </t>
    </r>
    <r>
      <rPr>
        <sz val="10"/>
        <rFont val="WenQuanYi Zen Hei"/>
        <family val="2"/>
      </rPr>
      <t xml:space="preserve">可轉債</t>
    </r>
  </si>
  <si>
    <t xml:space="preserve">2031-12</t>
  </si>
  <si>
    <r>
      <rPr>
        <sz val="10"/>
        <rFont val="Arial"/>
        <family val="0"/>
        <charset val="1"/>
      </rPr>
      <t xml:space="preserve">2032 </t>
    </r>
    <r>
      <rPr>
        <sz val="10"/>
        <rFont val="WenQuanYi Zen Hei"/>
        <family val="2"/>
      </rPr>
      <t xml:space="preserve">可轉債</t>
    </r>
  </si>
  <si>
    <t xml:space="preserve">2032-10</t>
  </si>
  <si>
    <r>
      <rPr>
        <sz val="9"/>
        <color rgb="FF595959"/>
        <rFont val="WenQuanYi Zen Hei"/>
        <family val="2"/>
      </rPr>
      <t xml:space="preserve">票面 </t>
    </r>
    <r>
      <rPr>
        <sz val="9"/>
        <color rgb="FF595959"/>
        <rFont val="Arial"/>
        <family val="0"/>
        <charset val="1"/>
      </rPr>
      <t xml:space="preserve">1.75%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2026-04 </t>
    </r>
    <r>
      <rPr>
        <sz val="9"/>
        <color rgb="FF595959"/>
        <rFont val="WenQuanYi Zen Hei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</si>
  <si>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OEM </t>
    </r>
    <r>
      <rPr>
        <sz val="10"/>
        <rFont val="WenQuanYi Zen Hei"/>
        <family val="2"/>
      </rPr>
      <t xml:space="preserve">與軟體授權融資</t>
    </r>
  </si>
  <si>
    <r>
      <rPr>
        <sz val="9"/>
        <color rgb="FF595959"/>
        <rFont val="Arial"/>
        <family val="0"/>
        <charset val="1"/>
      </rPr>
      <t xml:space="preserve">2026-12</t>
    </r>
    <r>
      <rPr>
        <sz val="9"/>
        <color rgb="FF595959"/>
        <rFont val="WenQuanYi Zen Hei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2030-07</t>
    </r>
  </si>
  <si>
    <r>
      <rPr>
        <sz val="9"/>
        <color rgb="FF595959"/>
        <rFont val="WenQuanYi Zen Hei"/>
        <family val="2"/>
      </rPr>
      <t xml:space="preserve">短期部分加權 </t>
    </r>
    <r>
      <rPr>
        <sz val="9"/>
        <color rgb="FF595959"/>
        <rFont val="Arial"/>
        <family val="0"/>
        <charset val="1"/>
      </rPr>
      <t xml:space="preserve">9% [Verified]</t>
    </r>
  </si>
  <si>
    <t xml:space="preserve">Magnetar Loan</t>
  </si>
  <si>
    <t xml:space="preserve">2029-01</t>
  </si>
  <si>
    <t xml:space="preserve">DDTL 4.0</t>
  </si>
  <si>
    <t xml:space="preserve">非追索</t>
  </si>
  <si>
    <t xml:space="preserve">2032-03</t>
  </si>
  <si>
    <r>
      <rPr>
        <sz val="9"/>
        <color rgb="FF595959"/>
        <rFont val="Arial"/>
        <family val="0"/>
        <charset val="1"/>
      </rPr>
      <t xml:space="preserve">SOFR+2.25%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Treasury+2.00%</t>
    </r>
    <r>
      <rPr>
        <sz val="9"/>
        <color rgb="FF595959"/>
        <rFont val="WenQuanYi Zen Hei"/>
        <family val="2"/>
      </rPr>
      <t xml:space="preserve">；額度 </t>
    </r>
    <r>
      <rPr>
        <sz val="9"/>
        <color rgb="FF595959"/>
        <rFont val="Arial"/>
        <family val="0"/>
        <charset val="1"/>
      </rPr>
      <t xml:space="preserve">8.5</t>
    </r>
    <r>
      <rPr>
        <sz val="9"/>
        <color rgb="FF595959"/>
        <rFont val="WenQuanYi Zen Hei"/>
        <family val="2"/>
      </rPr>
      <t xml:space="preserve">，可動用至 </t>
    </r>
    <r>
      <rPr>
        <sz val="9"/>
        <color rgb="FF595959"/>
        <rFont val="Arial"/>
        <family val="0"/>
        <charset val="1"/>
      </rPr>
      <t xml:space="preserve">2027-06 [Verified]</t>
    </r>
  </si>
  <si>
    <r>
      <rPr>
        <sz val="10"/>
        <rFont val="Arial"/>
        <family val="0"/>
        <charset val="1"/>
      </rPr>
      <t xml:space="preserve">OEM </t>
    </r>
    <r>
      <rPr>
        <sz val="10"/>
        <rFont val="WenQuanYi Zen Hei"/>
        <family val="2"/>
      </rPr>
      <t xml:space="preserve">融資（非追索）</t>
    </r>
  </si>
  <si>
    <r>
      <rPr>
        <sz val="9"/>
        <color rgb="FF595959"/>
        <rFont val="Arial"/>
        <family val="0"/>
        <charset val="1"/>
      </rPr>
      <t xml:space="preserve">2026-08</t>
    </r>
    <r>
      <rPr>
        <sz val="9"/>
        <color rgb="FF595959"/>
        <rFont val="WenQuanYi Zen Hei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2028-08</t>
    </r>
  </si>
  <si>
    <r>
      <rPr>
        <b val="true"/>
        <sz val="10"/>
        <rFont val="WenQuanYi Zen Hei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</si>
  <si>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應等於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</si>
  <si>
    <t xml:space="preserve">加權有效利率</t>
  </si>
  <si>
    <r>
      <rPr>
        <sz val="9"/>
        <color rgb="FF595959"/>
        <rFont val="WenQuanYi Zen Hei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WenQuanYi Zen Hei"/>
        <family val="2"/>
      </rPr>
      <t xml:space="preserve">簡報：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8.3%</t>
    </r>
    <r>
      <rPr>
        <sz val="9"/>
        <color rgb="FF595959"/>
        <rFont val="WenQuanYi Zen Hei"/>
        <family val="2"/>
      </rPr>
      <t xml:space="preserve">、含新可轉債 </t>
    </r>
    <r>
      <rPr>
        <sz val="9"/>
        <color rgb="FF595959"/>
        <rFont val="Arial"/>
        <family val="0"/>
        <charset val="1"/>
      </rPr>
      <t xml:space="preserve">pro forma 7.8%</t>
    </r>
    <r>
      <rPr>
        <sz val="9"/>
        <color rgb="FF595959"/>
        <rFont val="WenQuanYi Zen Hei"/>
        <family val="2"/>
      </rPr>
      <t xml:space="preserve">（該口徑用票面，本頁用有效利率）</t>
    </r>
  </si>
  <si>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期後：</t>
    </r>
    <r>
      <rPr>
        <sz val="10"/>
        <rFont val="Arial"/>
        <family val="0"/>
        <charset val="1"/>
      </rPr>
      <t xml:space="preserve">2033 </t>
    </r>
    <r>
      <rPr>
        <sz val="10"/>
        <rFont val="WenQuanYi Zen Hei"/>
        <family val="2"/>
      </rPr>
      <t xml:space="preserve">可轉債</t>
    </r>
  </si>
  <si>
    <r>
      <rPr>
        <sz val="9"/>
        <color rgb="FF595959"/>
        <rFont val="WenQuanYi Zen Hei"/>
        <family val="2"/>
      </rPr>
      <t xml:space="preserve">轉換價 </t>
    </r>
    <r>
      <rPr>
        <sz val="9"/>
        <color rgb="FF595959"/>
        <rFont val="Arial"/>
        <family val="0"/>
        <charset val="1"/>
      </rPr>
      <t xml:space="preserve">$97.85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2033 </t>
    </r>
    <r>
      <rPr>
        <sz val="9"/>
        <color rgb="FF595959"/>
        <rFont val="WenQuanYi Zen Hei"/>
        <family val="2"/>
      </rPr>
      <t xml:space="preserve">到期，不在五期還本表內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</si>
  <si>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rFont val="WenQuanYi Zen Hei"/>
        <family val="2"/>
      </rPr>
      <t xml:space="preserve">存量利息推導（本金依 </t>
    </r>
    <r>
      <rPr>
        <b val="true"/>
        <sz val="10"/>
        <rFont val="Arial"/>
        <family val="0"/>
        <charset val="1"/>
      </rPr>
      <t xml:space="preserve">10-Q </t>
    </r>
    <r>
      <rPr>
        <b val="true"/>
        <sz val="10"/>
        <rFont val="WenQuanYi Zen Hei"/>
        <family val="2"/>
      </rPr>
      <t xml:space="preserve">到期表遞減）</t>
    </r>
  </si>
  <si>
    <t xml:space="preserve">期初本金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</si>
  <si>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本金（模型期起點）</t>
    </r>
  </si>
  <si>
    <t xml:space="preserve">排程還本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</si>
  <si>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到期表</t>
    </r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</si>
  <si>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</si>
  <si>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</si>
  <si>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</si>
  <si>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WenQuanYi Zen Hei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期間長度。限制：假設利率組合不變（實際上 </t>
    </r>
    <r>
      <rPr>
        <sz val="9"/>
        <color rgb="FF595959"/>
        <rFont val="Arial"/>
        <family val="0"/>
        <charset val="1"/>
      </rPr>
      <t xml:space="preserve">15%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DDTL 1.0 </t>
    </r>
    <r>
      <rPr>
        <sz val="9"/>
        <color rgb="FF595959"/>
        <rFont val="WenQuanYi Zen Hei"/>
        <family val="2"/>
      </rPr>
      <t xml:space="preserve">先到期，後期利率會略降）</t>
    </r>
  </si>
  <si>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可轉債利息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</si>
  <si>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新增借款利息校準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</si>
  <si>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WenQuanYi Zen Hei"/>
        <family val="2"/>
      </rPr>
      <t xml:space="preserve">／季含 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新動用的 </t>
    </r>
    <r>
      <rPr>
        <sz val="9"/>
        <color rgb="FF595959"/>
        <rFont val="Arial"/>
        <family val="0"/>
        <charset val="1"/>
      </rPr>
      <t xml:space="preserve">DDTL</t>
    </r>
    <r>
      <rPr>
        <sz val="9"/>
        <color rgb="FF595959"/>
        <rFont val="WenQuanYi Zen Hei"/>
        <family val="2"/>
      </rPr>
      <t xml:space="preserve">；存量推算約 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WenQuanYi Zen Hei"/>
        <family val="2"/>
      </rPr>
      <t xml:space="preserve">／季，差額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WenQuanYi Zen Hei"/>
        <family val="2"/>
      </rPr>
      <t xml:space="preserve">季≈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起新增借款改由瀑布新債利息承接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</si>
  <si>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存量利息合計（連回輸入頁）</t>
  </si>
  <si>
    <r>
      <rPr>
        <sz val="9"/>
        <color rgb="FF595959"/>
        <rFont val="Arial"/>
        <family val="0"/>
        <charset val="1"/>
      </rPr>
      <t xml:space="preserve">v1.4 </t>
    </r>
    <r>
      <rPr>
        <sz val="9"/>
        <color rgb="FF595959"/>
        <rFont val="WenQuanYi Zen Hei"/>
        <family val="2"/>
      </rPr>
      <t xml:space="preserve">手動值為 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1.8</t>
    </r>
  </si>
  <si>
    <t xml:space="preserve">新債與新股（類資產負債表：現金、債務、股本、槓桿）</t>
  </si>
  <si>
    <r>
      <rPr>
        <sz val="9"/>
        <color rgb="FF595959"/>
        <rFont val="WenQuanYi Zen Hei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</si>
  <si>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</si>
  <si>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</si>
  <si>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現金（模型期起點）</t>
    </r>
  </si>
  <si>
    <r>
      <rPr>
        <sz val="10"/>
        <rFont val="WenQuanYi Zen Hei"/>
        <family val="2"/>
      </rPr>
      <t xml:space="preserve">營運收支淨額（含 </t>
    </r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可轉債／</t>
    </r>
    <r>
      <rPr>
        <sz val="10"/>
        <rFont val="Arial"/>
        <family val="0"/>
        <charset val="1"/>
      </rPr>
      <t xml:space="preserve">ATM</t>
    </r>
    <r>
      <rPr>
        <sz val="10"/>
        <rFont val="WenQuanYi Zen Hei"/>
        <family val="2"/>
      </rPr>
      <t xml:space="preserve">，不含瀑布）</t>
    </r>
  </si>
  <si>
    <t xml:space="preserve">＝融資前累積現金的當期變動；負值即當期外部資金需求</t>
  </si>
  <si>
    <t xml:space="preserve">＋ 瀑布：新債（額度＋資產層）</t>
  </si>
  <si>
    <t xml:space="preserve">＋ 瀑布：高息債</t>
  </si>
  <si>
    <t xml:space="preserve">＋ 瀑布：股權募資</t>
  </si>
  <si>
    <t xml:space="preserve">− 新融資利息（新債＋高息債）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</si>
  <si>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</si>
  <si>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</si>
  <si>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</si>
  <si>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WenQuanYi Zen Hei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</si>
  <si>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</si>
  <si>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r>
      <rPr>
        <sz val="10"/>
        <rFont val="WenQuanYi Zen Hei"/>
        <family val="2"/>
      </rPr>
      <t xml:space="preserve">既有債務期初（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本金）</t>
    </r>
  </si>
  <si>
    <t xml:space="preserve">− 排程還本（模型期）</t>
  </si>
  <si>
    <t xml:space="preserve">既有債務期末</t>
  </si>
  <si>
    <r>
      <rPr>
        <sz val="9"/>
        <color rgb="FF595959"/>
        <rFont val="WenQuanYi Zen Hei"/>
        <family val="2"/>
      </rPr>
      <t xml:space="preserve">＝依到期表遞減（關閉攤還時維持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</si>
  <si>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可轉債（</t>
    </r>
    <r>
      <rPr>
        <sz val="10"/>
        <rFont val="Arial"/>
        <family val="0"/>
        <charset val="1"/>
      </rPr>
      <t xml:space="preserve">2033 </t>
    </r>
    <r>
      <rPr>
        <sz val="10"/>
        <rFont val="WenQuanYi Zen Hei"/>
        <family val="2"/>
      </rPr>
      <t xml:space="preserve">到期）</t>
    </r>
  </si>
  <si>
    <t xml:space="preserve">＋ 瀑布新債餘額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</si>
  <si>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</si>
  <si>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</si>
  <si>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</si>
  <si>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</si>
  <si>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</si>
  <si>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WenQuanYi Zen Hei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WenQuanYi Zen Hei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</si>
  <si>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</si>
  <si>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</si>
  <si>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</si>
  <si>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</si>
  <si>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WenQuanYi Zen Hei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</si>
  <si>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WenQuanYi Zen Hei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上限約束</t>
    </r>
  </si>
  <si>
    <r>
      <rPr>
        <sz val="10"/>
        <rFont val="WenQuanYi Zen Hei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WenQuanYi Zen Hei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</si>
  <si>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以半年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WenQuanYi Zen Hei"/>
        <family val="2"/>
      </rPr>
      <t xml:space="preserve">年化</t>
    </r>
  </si>
  <si>
    <r>
      <rPr>
        <b val="true"/>
        <sz val="14"/>
        <rFont val="WenQuanYi Zen Hei"/>
        <family val="2"/>
      </rPr>
      <t xml:space="preserve">租賃與承諾 — </t>
    </r>
    <r>
      <rPr>
        <b val="true"/>
        <sz val="14"/>
        <rFont val="Arial"/>
        <family val="0"/>
        <charset val="1"/>
      </rPr>
      <t xml:space="preserve">10-Q</t>
    </r>
    <r>
      <rPr>
        <b val="true"/>
        <sz val="14"/>
        <rFont val="WenQuanYi Zen Hei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WenQuanYi Zen Hei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</si>
  <si>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</si>
  <si>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</si>
  <si>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WenQuanYi Zen Hei"/>
        <family val="2"/>
      </rPr>
      <t xml:space="preserve">下半</t>
    </r>
  </si>
  <si>
    <t xml:space="preserve">2027</t>
  </si>
  <si>
    <t xml:space="preserve">2028</t>
  </si>
  <si>
    <t xml:space="preserve">2029</t>
  </si>
  <si>
    <t xml:space="preserve">2030</t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</si>
  <si>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</si>
  <si>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</si>
  <si>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</si>
  <si>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</si>
  <si>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WenQuanYi Zen Hei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16.319</t>
    </r>
    <r>
      <rPr>
        <sz val="9"/>
        <color rgb="FF595959"/>
        <rFont val="WenQuanYi Zen Hei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0.221</t>
    </r>
    <r>
      <rPr>
        <sz val="9"/>
        <color rgb="FF595959"/>
        <rFont val="WenQuanYi Zen Hei"/>
        <family val="2"/>
      </rPr>
      <t xml:space="preserve">；加權剩餘租期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10%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</si>
  <si>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</si>
  <si>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</si>
  <si>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WenQuanYi Zen Hei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DDTL 13.6</t>
    </r>
    <r>
      <rPr>
        <sz val="9"/>
        <color rgb="FF595959"/>
        <rFont val="WenQuanYi Zen Hei"/>
        <family val="2"/>
      </rPr>
      <t xml:space="preserve">、票據 </t>
    </r>
    <r>
      <rPr>
        <sz val="9"/>
        <color rgb="FF595959"/>
        <rFont val="Arial"/>
        <family val="0"/>
        <charset val="1"/>
      </rPr>
      <t xml:space="preserve">16.6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OEM 5.1 </t>
    </r>
    <r>
      <rPr>
        <sz val="9"/>
        <color rgb="FF595959"/>
        <rFont val="WenQuanYi Zen Hei"/>
        <family val="2"/>
      </rPr>
      <t xml:space="preserve">等）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</si>
  <si>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合計</t>
  </si>
  <si>
    <t xml:space="preserve">表外與契約性承諾（未入表）</t>
  </si>
  <si>
    <t xml:space="preserve">金額</t>
  </si>
  <si>
    <t xml:space="preserve">時程</t>
  </si>
  <si>
    <t xml:space="preserve">入表？</t>
  </si>
  <si>
    <t xml:space="preserve">模型位置</t>
  </si>
  <si>
    <t xml:space="preserve">未起租租賃（未折現）</t>
  </si>
  <si>
    <r>
      <rPr>
        <sz val="9"/>
        <color rgb="FF595959"/>
        <rFont val="Arial"/>
        <family val="0"/>
        <charset val="1"/>
      </rPr>
      <t xml:space="preserve">2026–2029 </t>
    </r>
    <r>
      <rPr>
        <sz val="9"/>
        <color rgb="FF595959"/>
        <rFont val="WenQuanYi Zen Hei"/>
        <family val="2"/>
      </rPr>
      <t xml:space="preserve">起租，</t>
    </r>
    <r>
      <rPr>
        <sz val="9"/>
        <color rgb="FF595959"/>
        <rFont val="Arial"/>
        <family val="0"/>
        <charset val="1"/>
      </rPr>
      <t xml:space="preserve">7–16 </t>
    </r>
    <r>
      <rPr>
        <sz val="9"/>
        <color rgb="FF595959"/>
        <rFont val="WenQuanYi Zen Hei"/>
        <family val="2"/>
      </rPr>
      <t xml:space="preserve">年</t>
    </r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</si>
  <si>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</si>
  <si>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</si>
  <si>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</si>
  <si>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Arial"/>
        <family val="0"/>
        <charset val="1"/>
      </rPr>
      <t xml:space="preserve">393 MW </t>
    </r>
    <r>
      <rPr>
        <sz val="9"/>
        <color rgb="FF595959"/>
        <rFont val="WenQuanYi Zen Hei"/>
        <family val="2"/>
      </rPr>
      <t xml:space="preserve">未交付，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年</t>
    </r>
  </si>
  <si>
    <r>
      <rPr>
        <sz val="10"/>
        <rFont val="WenQuanYi Zen Hei"/>
        <family val="2"/>
      </rPr>
      <t xml:space="preserve">按造價計租，</t>
    </r>
    <r>
      <rPr>
        <sz val="10"/>
        <rFont val="Arial"/>
        <family val="0"/>
        <charset val="1"/>
      </rPr>
      <t xml:space="preserve">355 MW</t>
    </r>
  </si>
  <si>
    <t xml:space="preserve">未定</t>
  </si>
  <si>
    <r>
      <rPr>
        <sz val="9"/>
        <color rgb="FF595959"/>
        <rFont val="Arial"/>
        <family val="0"/>
        <charset val="1"/>
      </rPr>
      <t xml:space="preserve">2026–2028 </t>
    </r>
    <r>
      <rPr>
        <sz val="9"/>
        <color rgb="FF595959"/>
        <rFont val="WenQuanYi Zen Hei"/>
        <family val="2"/>
      </rPr>
      <t xml:space="preserve">分期，金額未定</t>
    </r>
  </si>
  <si>
    <t xml:space="preserve">承租人自備設備承諾</t>
  </si>
  <si>
    <r>
      <rPr>
        <sz val="9"/>
        <color rgb="FF595959"/>
        <rFont val="Arial"/>
        <family val="0"/>
        <charset val="1"/>
      </rPr>
      <t xml:space="preserve">0.5–1.2</t>
    </r>
    <r>
      <rPr>
        <sz val="9"/>
        <color rgb="FF595959"/>
        <rFont val="WenQuanYi Zen Hei"/>
        <family val="2"/>
      </rPr>
      <t xml:space="preserve">，分期至 </t>
    </r>
    <r>
      <rPr>
        <sz val="9"/>
        <color rgb="FF595959"/>
        <rFont val="Arial"/>
        <family val="0"/>
        <charset val="1"/>
      </rPr>
      <t xml:space="preserve">2028</t>
    </r>
  </si>
  <si>
    <r>
      <rPr>
        <sz val="9"/>
        <color rgb="FF595959"/>
        <rFont val="WenQuanYi Zen Hei"/>
        <family val="2"/>
      </rPr>
      <t xml:space="preserve">併入毛 </t>
    </r>
    <r>
      <rPr>
        <sz val="9"/>
        <color rgb="FF595959"/>
        <rFont val="Arial"/>
        <family val="0"/>
        <charset val="1"/>
      </rPr>
      <t xml:space="preserve">CapEx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</si>
  <si>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出資承諾</t>
    </r>
  </si>
  <si>
    <r>
      <rPr>
        <sz val="9"/>
        <color rgb="FF595959"/>
        <rFont val="WenQuanYi Zen Hei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</t>
    </r>
  </si>
  <si>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／策略投資出資</t>
    </r>
  </si>
  <si>
    <r>
      <rPr>
        <sz val="10"/>
        <rFont val="Arial"/>
        <family val="0"/>
        <charset val="1"/>
      </rPr>
      <t xml:space="preserve">VIE </t>
    </r>
    <r>
      <rPr>
        <sz val="10"/>
        <rFont val="WenQuanYi Zen Hei"/>
        <family val="2"/>
      </rPr>
      <t xml:space="preserve">最大損失暴露</t>
    </r>
  </si>
  <si>
    <t xml:space="preserve">—</t>
  </si>
  <si>
    <t xml:space="preserve">不另列</t>
  </si>
  <si>
    <r>
      <rPr>
        <sz val="10"/>
        <rFont val="WenQuanYi Zen Hei"/>
        <family val="2"/>
      </rPr>
      <t xml:space="preserve">可用信用額度（</t>
    </r>
    <r>
      <rPr>
        <sz val="10"/>
        <rFont val="Arial"/>
        <family val="0"/>
        <charset val="1"/>
      </rPr>
      <t xml:space="preserve">RCF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DDTL </t>
    </r>
    <r>
      <rPr>
        <sz val="10"/>
        <rFont val="WenQuanYi Zen Hei"/>
        <family val="2"/>
      </rPr>
      <t xml:space="preserve">未動用）</t>
    </r>
  </si>
  <si>
    <r>
      <rPr>
        <sz val="9"/>
        <color rgb="FF595959"/>
        <rFont val="Arial"/>
        <family val="0"/>
        <charset val="1"/>
      </rPr>
      <t xml:space="preserve">DDTL 4.0 </t>
    </r>
    <r>
      <rPr>
        <sz val="9"/>
        <color rgb="FF595959"/>
        <rFont val="WenQuanYi Zen Hei"/>
        <family val="2"/>
      </rPr>
      <t xml:space="preserve">可動用至 </t>
    </r>
    <r>
      <rPr>
        <sz val="9"/>
        <color rgb="FF595959"/>
        <rFont val="Arial"/>
        <family val="0"/>
        <charset val="1"/>
      </rPr>
      <t xml:space="preserve">2027-06</t>
    </r>
  </si>
  <si>
    <t xml:space="preserve">否（來源）</t>
  </si>
  <si>
    <t xml:space="preserve">選用開關</t>
  </si>
  <si>
    <t xml:space="preserve">已揭露金額之承諾合計（未起租＋單站上限）</t>
  </si>
  <si>
    <t xml:space="preserve">模型表外租金五期合計</t>
  </si>
  <si>
    <r>
      <rPr>
        <sz val="10"/>
        <rFont val="WenQuanYi Zen Hei"/>
        <family val="2"/>
      </rPr>
      <t xml:space="preserve">模型表外租金尾端（</t>
    </r>
    <r>
      <rPr>
        <sz val="10"/>
        <rFont val="Arial"/>
        <family val="0"/>
        <charset val="1"/>
      </rPr>
      <t xml:space="preserve">FY30×12 </t>
    </r>
    <r>
      <rPr>
        <sz val="10"/>
        <rFont val="WenQuanYi Zen Hei"/>
        <family val="2"/>
      </rPr>
      <t xml:space="preserve">年）</t>
    </r>
  </si>
  <si>
    <r>
      <rPr>
        <b val="true"/>
        <sz val="10"/>
        <rFont val="WenQuanYi Zen Hei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WenQuanYi Zen Hei"/>
        <family val="2"/>
      </rPr>
      <t xml:space="preserve">為合理）</t>
    </r>
  </si>
  <si>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WenQuanYi Zen Hei"/>
        <family val="2"/>
      </rPr>
      <t xml:space="preserve">路徑所需新租約多數尚未簽署，路徑高於已承諾屬假設而非錯誤</t>
    </r>
  </si>
  <si>
    <t xml:space="preserve">損益（類損益表）— 與資金模型同一組收入</t>
  </si>
  <si>
    <r>
      <rPr>
        <sz val="9"/>
        <color rgb="FF595959"/>
        <rFont val="WenQuanYi Zen Hei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WenQuanYi Zen Hei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</si>
  <si>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</si>
  <si>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</si>
  <si>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轉換＋新簽約</t>
    </r>
  </si>
  <si>
    <t xml:space="preserve">非算力服務</t>
  </si>
  <si>
    <t xml:space="preserve">總營收</t>
  </si>
  <si>
    <r>
      <rPr>
        <sz val="10"/>
        <rFont val="WenQuanYi Zen Hei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</si>
  <si>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＝營收</t>
    </r>
    <r>
      <rPr>
        <sz val="9"/>
        <color rgb="FF595959"/>
        <rFont val="Arial"/>
        <family val="0"/>
        <charset val="1"/>
      </rPr>
      <t xml:space="preserve">×EBITDA </t>
    </r>
    <r>
      <rPr>
        <sz val="9"/>
        <color rgb="FF595959"/>
        <rFont val="WenQuanYi Zen Hei"/>
        <family val="2"/>
      </rPr>
      <t xml:space="preserve">率 − 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</si>
  <si>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</si>
  <si>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</si>
  <si>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</si>
  <si>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4.0</t>
    </r>
  </si>
  <si>
    <r>
      <rPr>
        <sz val="10"/>
        <rFont val="WenQuanYi Zen Hei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</si>
  <si>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WenQuanYi Zen Hei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80%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</si>
  <si>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</si>
  <si>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</si>
  <si>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</si>
  <si>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</si>
  <si>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t xml:space="preserve">車隊折舊，見輸入頁</t>
  </si>
  <si>
    <t xml:space="preserve">EBITDA</t>
  </si>
  <si>
    <r>
      <rPr>
        <sz val="10"/>
        <rFont val="WenQuanYi Zen Hei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WenQuanYi Zen Hei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</si>
  <si>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＝含 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WenQuanYi Zen Hei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0.587</t>
    </r>
    <r>
      <rPr>
        <sz val="9"/>
        <color rgb="FF595959"/>
        <rFont val="WenQuanYi Zen Hei"/>
        <family val="2"/>
      </rPr>
      <t xml:space="preserve">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WenQuanYi Zen Hei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</si>
  <si>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</si>
  <si>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</si>
  <si>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WenQuanYi Zen Hei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</si>
  <si>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欄只含下半年；全年口徑見下方</t>
    </r>
  </si>
  <si>
    <r>
      <rPr>
        <b val="true"/>
        <sz val="10"/>
        <rFont val="WenQuanYi Zen Hei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WenQuanYi Zen Hei"/>
        <family val="2"/>
      </rPr>
      <t xml:space="preserve">實際＋下半年模型；與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WenQuanYi Zen Hei"/>
        <family val="2"/>
      </rPr>
      <t xml:space="preserve">損益簡表一致）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</si>
  <si>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WenQuanYi Zen Hei"/>
        <family val="2"/>
      </rPr>
      <t xml:space="preserve">實際營收（已實現）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</si>
  <si>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</si>
  <si>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可對照指引 </t>
    </r>
    <r>
      <rPr>
        <sz val="9"/>
        <color rgb="FF595959"/>
        <rFont val="Arial"/>
        <family val="0"/>
        <charset val="1"/>
      </rPr>
      <t xml:space="preserve">12.4–13.2</t>
    </r>
  </si>
  <si>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</si>
  <si>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5.131</t>
    </r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</si>
  <si>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營業利益</t>
    </r>
  </si>
  <si>
    <t xml:space="preserve">營利率</t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</si>
  <si>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</si>
  <si>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2.540</t>
    </r>
  </si>
  <si>
    <r>
      <rPr>
        <b val="true"/>
        <sz val="10"/>
        <rFont val="WenQuanYi Zen Hei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</si>
  <si>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</si>
  <si>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起瀑布新債利息（</t>
    </r>
    <r>
      <rPr>
        <sz val="9"/>
        <color rgb="FF595959"/>
        <rFont val="Arial"/>
        <family val="0"/>
        <charset val="1"/>
      </rPr>
      <t xml:space="preserve">9%</t>
    </r>
    <r>
      <rPr>
        <sz val="9"/>
        <color rgb="FF595959"/>
        <rFont val="WenQuanYi Zen Hei"/>
        <family val="2"/>
      </rPr>
      <t xml:space="preserve">）與新股同時影響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</si>
  <si>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</si>
  <si>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</si>
  <si>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WenQuanYi Zen Hei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</si>
  <si>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−2.53</t>
    </r>
    <r>
      <rPr>
        <sz val="9"/>
        <color rgb="FF595959"/>
        <rFont val="WenQuanYi Zen Hei"/>
        <family val="2"/>
      </rPr>
      <t xml:space="preserve">＋下半年淨利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股數</t>
    </r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</si>
  <si>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</si>
  <si>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WenQuanYi Zen Hei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WenQuanYi Zen Hei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全額加回</t>
    </r>
  </si>
  <si>
    <r>
      <rPr>
        <b val="true"/>
        <sz val="14"/>
        <rFont val="WenQuanYi Zen Hei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WenQuanYi Zen Hei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WenQuanYi Zen Hei"/>
        <family val="2"/>
      </rPr>
      <t xml:space="preserve">、加權目標價</t>
    </r>
  </si>
  <si>
    <r>
      <rPr>
        <sz val="9"/>
        <color rgb="FF595959"/>
        <rFont val="WenQuanYi Zen Hei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WenQuanYi Zen Hei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</si>
  <si>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WenQuanYi Zen Hei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</si>
  <si>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WenQuanYi Zen Hei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</si>
  <si>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14.117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</si>
  <si>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</si>
  <si>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5.131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4.653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模型期營收</t>
    </r>
  </si>
  <si>
    <t xml:space="preserve">營運資金變動</t>
  </si>
  <si>
    <r>
      <rPr>
        <sz val="9"/>
        <color rgb="FF595959"/>
        <rFont val="WenQuanYi Zen Hei"/>
        <family val="2"/>
      </rPr>
      <t xml:space="preserve">營收增量的 </t>
    </r>
    <r>
      <rPr>
        <sz val="9"/>
        <color rgb="FF595959"/>
        <rFont val="Arial"/>
        <family val="0"/>
        <charset val="1"/>
      </rPr>
      <t xml:space="preserve">2%</t>
    </r>
  </si>
  <si>
    <r>
      <rPr>
        <sz val="10"/>
        <rFont val="WenQuanYi Zen Hei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</si>
  <si>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WenQuanYi Zen Hei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WenQuanYi Zen Hei"/>
        <family val="2"/>
      </rPr>
      <t xml:space="preserve">）</t>
    </r>
  </si>
  <si>
    <t xml:space="preserve">　本期動用（無槓桿）</t>
  </si>
  <si>
    <r>
      <rPr>
        <sz val="10"/>
        <rFont val="WenQuanYi Zen Hei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期末</t>
    </r>
  </si>
  <si>
    <r>
      <rPr>
        <sz val="10"/>
        <rFont val="WenQuanYi Zen Hei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用）</t>
    </r>
  </si>
  <si>
    <r>
      <rPr>
        <sz val="9"/>
        <color rgb="FF595959"/>
        <rFont val="WenQuanYi Zen Hei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的正確口徑</t>
    </r>
  </si>
  <si>
    <t xml:space="preserve">UFCF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</si>
  <si>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WenQuanYi Zen Hei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CapEx−</t>
    </r>
    <r>
      <rPr>
        <sz val="9"/>
        <color rgb="FF595959"/>
        <rFont val="WenQuanYi Zen Hei"/>
        <family val="2"/>
      </rPr>
      <t xml:space="preserve">營運資金。建置期全為負是正常的</t>
    </r>
  </si>
  <si>
    <t xml:space="preserve">折現期數</t>
  </si>
  <si>
    <r>
      <rPr>
        <sz val="9"/>
        <color rgb="FF595959"/>
        <rFont val="WenQuanYi Zen Hei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模型期（下半年）的現金流平均落在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WenQuanYi Zen Hei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</si>
  <si>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</si>
  <si>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</rPr>
      <t xml:space="preserve">現值</t>
    </r>
  </si>
  <si>
    <r>
      <rPr>
        <sz val="10"/>
        <rFont val="WenQuanYi Zen Hei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</rPr>
      <t xml:space="preserve">現值合計</t>
    </r>
  </si>
  <si>
    <t xml:space="preserve">建置期現金流現值</t>
  </si>
  <si>
    <r>
      <rPr>
        <sz val="10"/>
        <rFont val="WenQuanYi Zen Hei"/>
        <family val="2"/>
      </rPr>
      <t xml:space="preserve">常態化 </t>
    </r>
    <r>
      <rPr>
        <sz val="10"/>
        <rFont val="Arial"/>
        <family val="0"/>
        <charset val="1"/>
      </rPr>
      <t xml:space="preserve">FCF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</si>
  <si>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EBIT×(1−</t>
    </r>
    <r>
      <rPr>
        <sz val="9"/>
        <color rgb="FF595959"/>
        <rFont val="WenQuanYi Zen Hei"/>
        <family val="2"/>
      </rPr>
      <t xml:space="preserve">稅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WenQuanYi Zen Hei"/>
        <family val="2"/>
      </rPr>
      <t xml:space="preserve">維持性 </t>
    </r>
    <r>
      <rPr>
        <sz val="9"/>
        <color rgb="FF595959"/>
        <rFont val="Arial"/>
        <family val="0"/>
        <charset val="1"/>
      </rPr>
      <t xml:space="preserve">CapEx(D&amp;A×</t>
    </r>
    <r>
      <rPr>
        <sz val="9"/>
        <color rgb="FF595959"/>
        <rFont val="WenQuanYi Zen Hei"/>
        <family val="2"/>
      </rPr>
      <t xml:space="preserve">比率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。不讓成長性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</t>
    </r>
  </si>
  <si>
    <r>
      <rPr>
        <sz val="10"/>
        <rFont val="WenQuanYi Zen Hei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</si>
  <si>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</si>
  <si>
    <t xml:space="preserve">終值現值</t>
  </si>
  <si>
    <r>
      <rPr>
        <sz val="10"/>
        <rFont val="WenQuanYi Zen Hei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</si>
  <si>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</si>
  <si>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本金 </t>
    </r>
    <r>
      <rPr>
        <sz val="9"/>
        <color rgb="FF595959"/>
        <rFont val="Arial"/>
        <family val="0"/>
        <charset val="1"/>
      </rPr>
      <t xml:space="preserve">35.551 − </t>
    </r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5.524</t>
    </r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</si>
  <si>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</si>
  <si>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</t>
    </r>
  </si>
  <si>
    <r>
      <rPr>
        <sz val="9"/>
        <color rgb="FF595959"/>
        <rFont val="WenQuanYi Zen Hei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截斷或選擇權</t>
    </r>
  </si>
  <si>
    <r>
      <rPr>
        <sz val="10"/>
        <rFont val="WenQuanYi Zen Hei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</si>
  <si>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</si>
  <si>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WenQuanYi Zen Hei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WenQuanYi Zen Hei"/>
        <family val="2"/>
      </rPr>
      <t xml:space="preserve">年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</si>
  <si>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</si>
  <si>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WenQuanYi Zen Hei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</si>
  <si>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WenQuanYi Zen Hei"/>
        <family val="2"/>
      </rPr>
      <t xml:space="preserve">。股權為負不算失效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</si>
  <si>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</si>
  <si>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</si>
  <si>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WenQuanYi Zen Hei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＝淨負債</t>
    </r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</si>
  <si>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</si>
  <si>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</si>
  <si>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WenQuanYi Zen Hei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WenQuanYi Zen Hei"/>
        <family val="2"/>
      </rPr>
      <t xml:space="preserve">；折回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WenQuanYi Zen Hei"/>
        <family val="2"/>
      </rPr>
      <t xml:space="preserve">）</t>
    </r>
  </si>
  <si>
    <t xml:space="preserve">錨定年度</t>
  </si>
  <si>
    <r>
      <rPr>
        <sz val="9"/>
        <color rgb="FF595959"/>
        <rFont val="WenQuanYi Zen Hei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區可改</t>
    </r>
  </si>
  <si>
    <r>
      <rPr>
        <sz val="10"/>
        <rFont val="WenQuanYi Zen Hei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</si>
  <si>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WenQuanYi Zen Hei"/>
        <family val="2"/>
      </rPr>
      <t xml:space="preserve">）</t>
    </r>
  </si>
  <si>
    <t xml:space="preserve">錨定年度末淨負債（總債務 − 現金）</t>
  </si>
  <si>
    <t xml:space="preserve">含瀑布新債</t>
  </si>
  <si>
    <t xml:space="preserve">錨定年度末股數（含瀑布新股）</t>
  </si>
  <si>
    <r>
      <rPr>
        <sz val="9"/>
        <color rgb="FF595959"/>
        <rFont val="WenQuanYi Zen Hei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逐年稀釋＋瀑布新股</t>
    </r>
  </si>
  <si>
    <r>
      <rPr>
        <sz val="10"/>
        <rFont val="WenQuanYi Zen Hei"/>
        <family val="2"/>
      </rPr>
      <t xml:space="preserve">折回 </t>
    </r>
    <r>
      <rPr>
        <sz val="10"/>
        <rFont val="Arial"/>
        <family val="0"/>
        <charset val="1"/>
      </rPr>
      <t xml:space="preserve">2027-06-30 </t>
    </r>
    <r>
      <rPr>
        <sz val="10"/>
        <rFont val="WenQuanYi Zen Hei"/>
        <family val="2"/>
      </rPr>
      <t xml:space="preserve">的折現因子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</si>
  <si>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WenQuanYi Zen Hei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</si>
  <si>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每股（融資後）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</si>
  <si>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為下限</t>
    </r>
  </si>
  <si>
    <t xml:space="preserve">加權目標價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</si>
  <si>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每股（推到目標價時點）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</si>
  <si>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每股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^</t>
    </r>
    <r>
      <rPr>
        <sz val="9"/>
        <color rgb="FF595959"/>
        <rFont val="WenQuanYi Zen Hei"/>
        <family val="2"/>
      </rPr>
      <t xml:space="preserve">（評價日至目標價時點的年數）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</si>
  <si>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</si>
  <si>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</si>
  <si>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</si>
  <si>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</si>
  <si>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</si>
  <si>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權重說明</t>
    </r>
  </si>
  <si>
    <r>
      <rPr>
        <sz val="9"/>
        <color rgb="FF595959"/>
        <rFont val="WenQuanYi Zen Hei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失效時改為一句；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</si>
  <si>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</si>
  <si>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</si>
  <si>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WenQuanYi Zen Hei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WenQuanYi Zen Hei"/>
        <family val="2"/>
      </rPr>
      <t xml:space="preserve">（評等用）</t>
    </r>
  </si>
  <si>
    <r>
      <rPr>
        <sz val="10"/>
        <rFont val="WenQuanYi Zen Hei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現市值（評等用）</t>
    </r>
  </si>
  <si>
    <r>
      <rPr>
        <sz val="10"/>
        <rFont val="WenQuanYi Zen Hei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＝賣出）</t>
    </r>
  </si>
  <si>
    <r>
      <rPr>
        <sz val="10"/>
        <rFont val="WenQuanYi Zen Hei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</si>
  <si>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目標價區間｜保守 </t>
    </r>
    <r>
      <rPr>
        <sz val="10"/>
        <rFont val="Arial"/>
        <family val="0"/>
        <charset val="1"/>
      </rPr>
      <t xml:space="preserve">4.2 GW</t>
    </r>
    <r>
      <rPr>
        <sz val="10"/>
        <rFont val="WenQuanYi Zen Hei"/>
        <family val="2"/>
      </rPr>
      <t xml:space="preserve">（加權目標價／評等代碼／距賣出門檻）</t>
    </r>
  </si>
  <si>
    <r>
      <rPr>
        <sz val="9"/>
        <color rgb="FF595959"/>
        <rFont val="WenQuanYi Zen Hei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），保留其餘手動輸入</t>
    </r>
  </si>
  <si>
    <r>
      <rPr>
        <sz val="10"/>
        <rFont val="WenQuanYi Zen Hei"/>
        <family val="2"/>
      </rPr>
      <t xml:space="preserve">目標價區間｜基準 </t>
    </r>
    <r>
      <rPr>
        <sz val="10"/>
        <rFont val="Arial"/>
        <family val="0"/>
        <charset val="1"/>
      </rPr>
      <t xml:space="preserve">5.6 GW</t>
    </r>
    <r>
      <rPr>
        <sz val="10"/>
        <rFont val="WenQuanYi Zen Hei"/>
        <family val="2"/>
      </rPr>
      <t xml:space="preserve">（加權目標價／評等代碼／距賣出門檻）</t>
    </r>
  </si>
  <si>
    <r>
      <rPr>
        <sz val="10"/>
        <rFont val="WenQuanYi Zen Hei"/>
        <family val="2"/>
      </rPr>
      <t xml:space="preserve">目標價區間｜積極 </t>
    </r>
    <r>
      <rPr>
        <sz val="10"/>
        <rFont val="Arial"/>
        <family val="0"/>
        <charset val="1"/>
      </rPr>
      <t xml:space="preserve">8 GW</t>
    </r>
    <r>
      <rPr>
        <sz val="10"/>
        <rFont val="WenQuanYi Zen Hei"/>
        <family val="2"/>
      </rPr>
      <t xml:space="preserve">（加權目標價／評等代碼／距賣出門檻）</t>
    </r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</si>
  <si>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</si>
  <si>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</si>
  <si>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</si>
  <si>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</t>
    </r>
  </si>
  <si>
    <r>
      <rPr>
        <sz val="10"/>
        <rFont val="WenQuanYi Zen Hei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WenQuanYi Zen Hei"/>
        <family val="2"/>
      </rPr>
      <t xml:space="preserve">目標價（價位／評等代碼）</t>
    </r>
  </si>
  <si>
    <r>
      <rPr>
        <sz val="10"/>
        <rFont val="WenQuanYi Zen Hei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</si>
  <si>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</si>
  <si>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</si>
  <si>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</si>
  <si>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</si>
  <si>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WenQuanYi Zen Hei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WenQuanYi Zen Hei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</si>
  <si>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WenQuanYi Zen Hei"/>
        <family val="2"/>
      </rPr>
      <t xml:space="preserve">腿）</t>
    </r>
  </si>
  <si>
    <t xml:space="preserve">倍數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</si>
  <si>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錨定年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WenQuanYi Zen Hei"/>
        <family val="2"/>
      </rPr>
      <t xml:space="preserve">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WenQuanYi Zen Hei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有效權重。綠底＝不低於現價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</si>
  <si>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</si>
  <si>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</si>
  <si>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</si>
  <si>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</si>
  <si>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</si>
  <si>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t xml:space="preserve">倍數 ＼ 錨定（加權目標價）</t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</si>
  <si>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</si>
  <si>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</si>
  <si>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</si>
  <si>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</si>
  <si>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</si>
  <si>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WenQuanYi Zen Hei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WenQuanYi Zen Hei"/>
        <family val="2"/>
      </rPr>
      <t xml:space="preserve">現價隱含什麼樣的收入與成本</t>
    </r>
  </si>
  <si>
    <r>
      <rPr>
        <sz val="9"/>
        <color rgb="FF595959"/>
        <rFont val="WenQuanYi Zen Hei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WenQuanYi Zen Hei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WenQuanYi Zen Hei"/>
        <family val="2"/>
      </rPr>
      <t xml:space="preserve">預設輸入）</t>
    </r>
  </si>
  <si>
    <r>
      <rPr>
        <b val="true"/>
        <sz val="10"/>
        <rFont val="WenQuanYi Zen Hei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與現價的差距</t>
    </r>
  </si>
  <si>
    <r>
      <rPr>
        <sz val="10"/>
        <rFont val="WenQuanYi Zen Hei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每股（依下限方式）</t>
    </r>
  </si>
  <si>
    <r>
      <rPr>
        <b val="true"/>
        <sz val="10"/>
        <rFont val="WenQuanYi Zen Hei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WenQuanYi Zen Hei"/>
        <family val="2"/>
      </rPr>
      <t xml:space="preserve">現價）＝目標搜尋的『設定儲存格』</t>
    </r>
  </si>
  <si>
    <r>
      <rPr>
        <sz val="10"/>
        <rFont val="WenQuanYi Zen Hei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</si>
  <si>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</si>
  <si>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WenQuanYi Zen Hei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WenQuanYi Zen Hei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</si>
  <si>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WenQuanYi Zen Hei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率』</t>
    </r>
  </si>
  <si>
    <r>
      <rPr>
        <sz val="9"/>
        <color rgb="FF595959"/>
        <rFont val="WenQuanYi Zen Hei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以上開始搜尋</t>
    </r>
  </si>
  <si>
    <r>
      <rPr>
        <sz val="9"/>
        <color rgb="FF595959"/>
        <rFont val="WenQuanYi Zen Hei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年收入倍數』做目標搜尋，即得下方矩陣中的一格</t>
    </r>
  </si>
  <si>
    <r>
      <rPr>
        <b val="true"/>
        <sz val="10"/>
        <rFont val="WenQuanYi Zen Hei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WenQuanYi Zen Hei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WenQuanYi Zen Hei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</si>
  <si>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</si>
  <si>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</si>
  <si>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</si>
  <si>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變動</t>
  </si>
  <si>
    <t xml:space="preserve">對照</t>
  </si>
  <si>
    <r>
      <rPr>
        <sz val="10"/>
        <rFont val="Arial"/>
        <family val="0"/>
        <charset val="1"/>
      </rPr>
      <t xml:space="preserve">FY30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</si>
  <si>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WenQuanYi Zen Hei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$10.0–10.5m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</rPr>
      <t xml:space="preserve">月新約漲價約 </t>
    </r>
    <r>
      <rPr>
        <sz val="9"/>
        <color rgb="FF595959"/>
        <rFont val="Arial"/>
        <family val="0"/>
        <charset val="1"/>
      </rPr>
      <t xml:space="preserve">25%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</si>
  <si>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</si>
  <si>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$32–37m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</si>
  <si>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WenQuanYi Zen Hei"/>
        <family val="2"/>
      </rPr>
      <t xml:space="preserve">；由下而上上緣約 </t>
    </r>
    <r>
      <rPr>
        <sz val="9"/>
        <color rgb="FF595959"/>
        <rFont val="Arial"/>
        <family val="0"/>
        <charset val="1"/>
      </rPr>
      <t xml:space="preserve">67–71%</t>
    </r>
    <r>
      <rPr>
        <sz val="9"/>
        <color rgb="FF595959"/>
        <rFont val="WenQuanYi Zen Hei"/>
        <family val="2"/>
      </rPr>
      <t xml:space="preserve">（變動為百分點）</t>
    </r>
  </si>
  <si>
    <r>
      <rPr>
        <sz val="10"/>
        <rFont val="WenQuanYi Zen Hei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</t>
    </r>
  </si>
  <si>
    <r>
      <rPr>
        <sz val="9"/>
        <color rgb="FF595959"/>
        <rFont val="WenQuanYi Zen Hei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6x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WenQuanYi Zen Hei"/>
        <family val="2"/>
      </rPr>
      <t xml:space="preserve">錨定） 腿；非純反向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</si>
  <si>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WenQuanYi Zen Hei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FY30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</si>
  <si>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WenQuanYi Zen Hei"/>
        <family val="2"/>
      </rPr>
      <t xml:space="preserve">率</t>
    </r>
  </si>
  <si>
    <r>
      <rPr>
        <sz val="10"/>
        <rFont val="Arial"/>
        <family val="0"/>
        <charset val="1"/>
      </rPr>
      <t xml:space="preserve">$23.8m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</si>
  <si>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$27.2m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</si>
  <si>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$30.6m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</si>
  <si>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$34.0m</t>
    </r>
    <r>
      <rPr>
        <sz val="10"/>
        <rFont val="WenQuanYi Zen Hei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</si>
  <si>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$37.4m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</si>
  <si>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WenQuanYi Zen Hei"/>
        <family val="2"/>
      </rPr>
      <t xml:space="preserve">』</t>
    </r>
  </si>
  <si>
    <r>
      <rPr>
        <b val="true"/>
        <sz val="14"/>
        <rFont val="WenQuanYi Zen Hei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WenQuanYi Zen Hei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WenQuanYi Zen Hei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</si>
  <si>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WenQuanYi Zen Hei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WenQuanYi Zen Hei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僅供參考（同業 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WenQuanYi Zen Hei"/>
        <family val="2"/>
      </rPr>
      <t xml:space="preserve">皆為負，顯示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WenQuanYi Zen Hei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WenQuanYi Zen Hei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</si>
  <si>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</si>
  <si>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</si>
  <si>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</si>
  <si>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</si>
  <si>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WenQuanYi Zen Hei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</si>
  <si>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WenQuanYi Zen Hei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</si>
  <si>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</si>
  <si>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</si>
  <si>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</si>
  <si>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</si>
  <si>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NBIS Nebius</t>
  </si>
  <si>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FY25 20-F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</si>
  <si>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-0.612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WenQuanYi Zen Hei"/>
        <family val="2"/>
      </rPr>
      <t xml:space="preserve">。季報未 </t>
    </r>
    <r>
      <rPr>
        <sz val="9"/>
        <color rgb="FF595959"/>
        <rFont val="Arial"/>
        <family val="0"/>
        <charset val="1"/>
      </rPr>
      <t xml:space="preserve">XBRL </t>
    </r>
    <r>
      <rPr>
        <sz val="9"/>
        <color rgb="FF595959"/>
        <rFont val="WenQuanYi Zen Hei"/>
        <family val="2"/>
      </rPr>
      <t xml:space="preserve">標註，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FY2025</t>
    </r>
    <r>
      <rPr>
        <sz val="9"/>
        <color rgb="FF595959"/>
        <rFont val="WenQuanYi Zen Hei"/>
        <family val="2"/>
      </rPr>
      <t xml:space="preserve">；營收為 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WenQuanYi Zen Hei"/>
        <family val="2"/>
      </rPr>
      <t xml:space="preserve">。前瞻 </t>
    </r>
    <r>
      <rPr>
        <sz val="9"/>
        <color rgb="FF595959"/>
        <rFont val="Arial"/>
        <family val="0"/>
        <charset val="1"/>
      </rPr>
      <t xml:space="preserve">EV/Sales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9.3x</t>
    </r>
    <r>
      <rPr>
        <sz val="9"/>
        <color rgb="FF595959"/>
        <rFont val="WenQuanYi Zen Hei"/>
        <family val="2"/>
      </rPr>
      <t xml:space="preserve">（由 </t>
    </r>
    <r>
      <rPr>
        <sz val="9"/>
        <color rgb="FF595959"/>
        <rFont val="Arial"/>
        <family val="0"/>
        <charset val="1"/>
      </rPr>
      <t xml:space="preserve">9/18 forward PS 8.46 </t>
    </r>
    <r>
      <rPr>
        <sz val="9"/>
        <color rgb="FF595959"/>
        <rFont val="WenQuanYi Zen Hei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）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</si>
  <si>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</si>
  <si>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</si>
  <si>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WenQuanYi Zen Hei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</si>
  <si>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</si>
  <si>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</si>
  <si>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WenQuanYi Zen Hei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WenQuanYi Zen Hei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</si>
  <si>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</si>
  <si>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</si>
  <si>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WenQuanYi Zen Hei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</si>
  <si>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</si>
  <si>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CRWV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WenQuanYi Zen Hei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</si>
  <si>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</si>
  <si>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9/21 </t>
    </r>
    <r>
      <rPr>
        <sz val="9"/>
        <color rgb="FF595959"/>
        <rFont val="WenQuanYi Zen Hei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淨負債；含租賃再加營業租賃負債 </t>
    </r>
    <r>
      <rPr>
        <sz val="9"/>
        <color rgb="FF595959"/>
        <rFont val="Arial"/>
        <family val="0"/>
        <charset val="1"/>
      </rPr>
      <t xml:space="preserve">16.319</t>
    </r>
  </si>
  <si>
    <r>
      <rPr>
        <sz val="10"/>
        <rFont val="Arial"/>
        <family val="0"/>
        <charset val="1"/>
      </rPr>
      <t xml:space="preserve">CRWV </t>
    </r>
    <r>
      <rPr>
        <sz val="10"/>
        <rFont val="WenQuanYi Zen Hei"/>
        <family val="2"/>
      </rPr>
      <t xml:space="preserve">模型 </t>
    </r>
    <r>
      <rPr>
        <sz val="10"/>
        <rFont val="Arial"/>
        <family val="0"/>
        <charset val="1"/>
      </rPr>
      <t xml:space="preserve">FY27E</t>
    </r>
  </si>
  <si>
    <r>
      <rPr>
        <sz val="9"/>
        <color rgb="FF595959"/>
        <rFont val="WenQuanYi Zen Hei"/>
        <family val="2"/>
      </rPr>
      <t xml:space="preserve">市值用模型股數（含 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WenQuanYi Zen Hei"/>
        <family val="2"/>
      </rPr>
      <t xml:space="preserve">上限）；分母為模型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營收</t>
    </r>
  </si>
  <si>
    <r>
      <rPr>
        <sz val="9"/>
        <color rgb="FF595959"/>
        <rFont val="WenQuanYi Zen Hei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TTM EV/Sales </t>
    </r>
    <r>
      <rPr>
        <sz val="9"/>
        <color rgb="FF595959"/>
        <rFont val="WenQuanYi Zen Hei"/>
        <family val="2"/>
      </rPr>
      <t xml:space="preserve">約為同業中位數的四成。折價來源有三，不能全部解讀為便宜：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同業仍在爬坡，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營收遠小於已簽約規模，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倍數偏高；</t>
    </r>
  </si>
  <si>
    <r>
      <rPr>
        <sz val="9"/>
        <color rgb="FF595959"/>
        <rFont val="Arial"/>
        <family val="0"/>
        <charset val="1"/>
      </rPr>
      <t xml:space="preserve">(2) CRWV </t>
    </r>
    <r>
      <rPr>
        <sz val="9"/>
        <color rgb="FF595959"/>
        <rFont val="WenQuanYi Zen Hei"/>
        <family val="2"/>
      </rPr>
      <t xml:space="preserve">用租約取得機房，加入營業租賃負債後倍數升至約 </t>
    </r>
    <r>
      <rPr>
        <sz val="9"/>
        <color rgb="FF595959"/>
        <rFont val="Arial"/>
        <family val="0"/>
        <charset val="1"/>
      </rPr>
      <t xml:space="preserve">12x</t>
    </r>
    <r>
      <rPr>
        <sz val="9"/>
        <color rgb="FF595959"/>
        <rFont val="WenQuanYi Zen Hei"/>
        <family val="2"/>
      </rPr>
      <t xml:space="preserve">，同業加與不加差別很小；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WenQuanYi Zen Hei"/>
        <family val="2"/>
      </rPr>
      <t xml:space="preserve">客戶集中（前三大 </t>
    </r>
    <r>
      <rPr>
        <sz val="9"/>
        <color rgb="FF595959"/>
        <rFont val="Arial"/>
        <family val="0"/>
        <charset val="1"/>
      </rPr>
      <t xml:space="preserve">72%</t>
    </r>
    <r>
      <rPr>
        <sz val="9"/>
        <color rgb="FF595959"/>
        <rFont val="WenQuanYi Zen Hei"/>
        <family val="2"/>
      </rPr>
      <t xml:space="preserve">）與五期外部資金需求。</t>
    </r>
  </si>
  <si>
    <r>
      <rPr>
        <sz val="9"/>
        <color rgb="FF595959"/>
        <rFont val="WenQuanYi Zen Hei"/>
        <family val="2"/>
      </rPr>
      <t xml:space="preserve">前瞻：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WenQuanYi Zen Hei"/>
        <family val="2"/>
      </rPr>
      <t xml:space="preserve">前瞻 </t>
    </r>
    <r>
      <rPr>
        <sz val="9"/>
        <color rgb="FF595959"/>
        <rFont val="Arial"/>
        <family val="0"/>
        <charset val="1"/>
      </rPr>
      <t xml:space="preserve">EV/Sales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9.3x</t>
    </r>
    <r>
      <rPr>
        <sz val="9"/>
        <color rgb="FF595959"/>
        <rFont val="WenQuanYi Zen Hei"/>
        <family val="2"/>
      </rPr>
      <t xml:space="preserve">（由 </t>
    </r>
    <r>
      <rPr>
        <sz val="9"/>
        <color rgb="FF595959"/>
        <rFont val="Arial"/>
        <family val="0"/>
        <charset val="1"/>
      </rPr>
      <t xml:space="preserve">9/18 forward PS </t>
    </r>
    <r>
      <rPr>
        <sz val="9"/>
        <color rgb="FF595959"/>
        <rFont val="WenQuanYi Zen Hei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FY27E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3x</t>
    </r>
    <r>
      <rPr>
        <sz val="9"/>
        <color rgb="FF595959"/>
        <rFont val="WenQuanYi Zen Hei"/>
        <family val="2"/>
      </rPr>
      <t xml:space="preserve">。此表為市場比較用，不進入目標價（</t>
    </r>
    <r>
      <rPr>
        <sz val="9"/>
        <color rgb="FF595959"/>
        <rFont val="Arial"/>
        <family val="0"/>
        <charset val="1"/>
      </rPr>
      <t xml:space="preserve">DCF 45%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EV/EBITDA 55%</t>
    </r>
    <r>
      <rPr>
        <sz val="9"/>
        <color rgb="FF595959"/>
        <rFont val="WenQuanYi Zen Hei"/>
        <family val="2"/>
      </rPr>
      <t xml:space="preserve">）。</t>
    </r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</si>
  <si>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</si>
  <si>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</si>
  <si>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</si>
  <si>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</si>
  <si>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</si>
  <si>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桶 </t>
    </r>
    <r>
      <rPr>
        <sz val="9"/>
        <color rgb="FF595959"/>
        <rFont val="Arial"/>
        <family val="0"/>
        <charset val="1"/>
      </rPr>
      <t xml:space="preserve">41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WenQuanYi Zen Hei"/>
        <family val="2"/>
      </rPr>
      <t xml:space="preserve">線性分攤後應為 </t>
    </r>
    <r>
      <rPr>
        <sz val="9"/>
        <color rgb="FF595959"/>
        <rFont val="Arial"/>
        <family val="0"/>
        <charset val="1"/>
      </rPr>
      <t xml:space="preserve">84%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</si>
  <si>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</si>
  <si>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</si>
  <si>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</si>
  <si>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t xml:space="preserve">≥0</t>
  </si>
  <si>
    <r>
      <rPr>
        <sz val="9"/>
        <color rgb="FF595959"/>
        <rFont val="WenQuanYi Zen Hei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WenQuanYi Zen Hei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</si>
  <si>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WenQuanYi Zen Hei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</t>
    </r>
  </si>
  <si>
    <t xml:space="preserve">35–39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</si>
  <si>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16.139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模型；公司 </t>
    </r>
    <r>
      <rPr>
        <sz val="9"/>
        <color rgb="FF595959"/>
        <rFont val="Arial"/>
        <family val="0"/>
        <charset val="1"/>
      </rPr>
      <t xml:space="preserve">8/11 </t>
    </r>
    <r>
      <rPr>
        <sz val="9"/>
        <color rgb="FF595959"/>
        <rFont val="WenQuanYi Zen Hei"/>
        <family val="2"/>
      </rPr>
      <t xml:space="preserve">上修全年 </t>
    </r>
    <r>
      <rPr>
        <sz val="9"/>
        <color rgb="FF595959"/>
        <rFont val="Arial"/>
        <family val="0"/>
        <charset val="1"/>
      </rPr>
      <t xml:space="preserve">35–39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</si>
  <si>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</t>
    </r>
  </si>
  <si>
    <t xml:space="preserve">12.4–13.2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</si>
  <si>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4.653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模型（算力＋非算力服務）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</si>
  <si>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強度（模型期合計）</t>
    </r>
  </si>
  <si>
    <t xml:space="preserve">$28–34m/MW</t>
  </si>
  <si>
    <r>
      <rPr>
        <sz val="9"/>
        <color rgb="FF595959"/>
        <rFont val="WenQuanYi Zen Hei"/>
        <family val="2"/>
      </rPr>
      <t xml:space="preserve">公司自身比率：</t>
    </r>
    <r>
      <rPr>
        <sz val="9"/>
        <color rgb="FF595959"/>
        <rFont val="Arial"/>
        <family val="0"/>
        <charset val="1"/>
      </rPr>
      <t xml:space="preserve">2026 CapEx 35–39bn </t>
    </r>
    <r>
      <rPr>
        <sz val="9"/>
        <color rgb="FF595959"/>
        <rFont val="WenQuanYi Zen Hei"/>
        <family val="2"/>
      </rPr>
      <t xml:space="preserve">對應約 </t>
    </r>
    <r>
      <rPr>
        <sz val="9"/>
        <color rgb="FF595959"/>
        <rFont val="Arial"/>
        <family val="0"/>
        <charset val="1"/>
      </rPr>
      <t xml:space="preserve">+1.25 GW </t>
    </r>
    <r>
      <rPr>
        <sz val="9"/>
        <color rgb="FF595959"/>
        <rFont val="WenQuanYi Zen Hei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$28–34m/MW</t>
    </r>
  </si>
  <si>
    <r>
      <rPr>
        <sz val="10"/>
        <rFont val="WenQuanYi Zen Hei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已承諾</t>
    </r>
  </si>
  <si>
    <t xml:space="preserve">≥0.8x</t>
  </si>
  <si>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WenQuanYi Zen Hei"/>
        <family val="2"/>
      </rPr>
      <t xml:space="preserve">路徑所需新租約多數未簽，路徑高於承諾屬假設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</si>
  <si>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</si>
  <si>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t xml:space="preserve">≥2.9</t>
  </si>
  <si>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</si>
  <si>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WenQuanYi Zen Hei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</si>
  <si>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FY28–30 </t>
    </r>
    <r>
      <rPr>
        <sz val="9"/>
        <color rgb="FF595959"/>
        <rFont val="WenQuanYi Zen Hei"/>
        <family val="2"/>
      </rPr>
      <t xml:space="preserve">新簽約收入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同期總算力收入。高＝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WenQuanYi Zen Hei"/>
        <family val="2"/>
      </rPr>
      <t xml:space="preserve">敘事的風險集中點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</si>
  <si>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</si>
  <si>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WenQuanYi Zen Hei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</si>
  <si>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</si>
  <si>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單一來源（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損益 </t>
    </r>
    <r>
      <rPr>
        <sz val="10"/>
        <rFont val="Arial"/>
        <family val="0"/>
        <charset val="1"/>
      </rPr>
      <t xml:space="preserve">EBITDA÷</t>
    </r>
    <r>
      <rPr>
        <sz val="10"/>
        <rFont val="WenQuanYi Zen Hei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率）</t>
    </r>
  </si>
  <si>
    <r>
      <rPr>
        <sz val="9"/>
        <color rgb="FF595959"/>
        <rFont val="WenQuanYi Zen Hei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</si>
  <si>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</si>
  <si>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WenQuanYi Zen Hei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</si>
  <si>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＝失效）</t>
    </r>
  </si>
  <si>
    <t xml:space="preserve">0</t>
  </si>
  <si>
    <r>
      <rPr>
        <sz val="9"/>
        <color rgb="FF595959"/>
        <rFont val="WenQuanYi Zen Hei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 </t>
    </r>
    <r>
      <rPr>
        <sz val="9"/>
        <color rgb="FF595959"/>
        <rFont val="WenQuanYi Zen Hei"/>
        <family val="2"/>
      </rPr>
      <t xml:space="preserve">或常態化 </t>
    </r>
    <r>
      <rPr>
        <sz val="9"/>
        <color rgb="FF595959"/>
        <rFont val="Arial"/>
        <family val="0"/>
        <charset val="1"/>
      </rPr>
      <t xml:space="preserve">FCF ≤ 0</t>
    </r>
    <r>
      <rPr>
        <sz val="9"/>
        <color rgb="FF595959"/>
        <rFont val="WenQuanYi Zen Hei"/>
        <family val="2"/>
      </rPr>
      <t xml:space="preserve">；股權為負不算失效</t>
    </r>
  </si>
  <si>
    <t xml:space="preserve">期末現金 ≥ 最低現金（期前融資）</t>
  </si>
  <si>
    <t xml:space="preserve">≥2.0</t>
  </si>
  <si>
    <t xml:space="preserve">瀑布每期補足至最低現金；最小值應等於最低現金</t>
  </si>
  <si>
    <r>
      <rPr>
        <sz val="10"/>
        <rFont val="WenQuanYi Zen Hei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</t>
    </r>
  </si>
  <si>
    <r>
      <rPr>
        <sz val="10"/>
        <rFont val="WenQuanYi Zen Hei"/>
        <family val="2"/>
      </rPr>
      <t xml:space="preserve">債務明細合計 </t>
    </r>
    <r>
      <rPr>
        <sz val="10"/>
        <rFont val="Arial"/>
        <family val="0"/>
        <charset val="1"/>
      </rPr>
      <t xml:space="preserve">= 10-Q </t>
    </r>
    <r>
      <rPr>
        <sz val="10"/>
        <rFont val="WenQuanYi Zen Hei"/>
        <family val="2"/>
      </rPr>
      <t xml:space="preserve">本金 </t>
    </r>
    <r>
      <rPr>
        <sz val="10"/>
        <rFont val="Arial"/>
        <family val="0"/>
        <charset val="1"/>
      </rPr>
      <t xml:space="preserve">35.551</t>
    </r>
  </si>
  <si>
    <t xml:space="preserve">35.551</t>
  </si>
  <si>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筆工具逐筆加總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</si>
  <si>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公式）</t>
    </r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</si>
  <si>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YE25 850→YE26 1,850 MW </t>
    </r>
    <r>
      <rPr>
        <sz val="9"/>
        <color rgb="FF595959"/>
        <rFont val="WenQuanYi Zen Hei"/>
        <family val="2"/>
      </rPr>
      <t xml:space="preserve">與預建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推得；應重現公司全年指引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</si>
  <si>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已承諾餘額於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年內履行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</si>
  <si>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1.7 </t>
    </r>
    <r>
      <rPr>
        <sz val="9"/>
        <color rgb="FF595959"/>
        <rFont val="WenQuanYi Zen Hei"/>
        <family val="2"/>
      </rPr>
      <t xml:space="preserve">承諾預計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年內履行，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WenQuanYi Zen Hei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</t>
    </r>
  </si>
  <si>
    <r>
      <rPr>
        <sz val="10"/>
        <rFont val="WenQuanYi Zen Hei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年租金（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</si>
  <si>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占比</t>
    </r>
  </si>
  <si>
    <r>
      <rPr>
        <sz val="9"/>
        <color rgb="FF595959"/>
        <rFont val="WenQuanYi Zen Hei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</si>
  <si>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</si>
  <si>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</si>
  <si>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WenQuanYi Zen Hei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WenQuanYi Zen Hei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</si>
  <si>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WenQuanYi Zen Hei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WenQuanYi Zen Hei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WenQuanYi Zen Hei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WenQuanYi Zen Hei"/>
        <family val="2"/>
      </rPr>
      <t xml:space="preserve">同口徑）</t>
    </r>
  </si>
  <si>
    <r>
      <rPr>
        <sz val="10"/>
        <rFont val="WenQuanYi Zen Hei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</si>
  <si>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</si>
  <si>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</si>
  <si>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WenQuanYi Zen Hei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</si>
  <si>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</si>
  <si>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起，含瀑布新債）</t>
    </r>
  </si>
  <si>
    <r>
      <rPr>
        <sz val="10"/>
        <rFont val="WenQuanYi Zen Hei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</si>
  <si>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</si>
  <si>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</si>
  <si>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</si>
  <si>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</si>
  <si>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WenQuanYi Zen Hei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WenQuanYi Zen Hei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WenQuanYi Zen Hei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WenQuanYi Zen Hei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WenQuanYi Zen Hei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WenQuanYi Zen Hei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</si>
  <si>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</si>
  <si>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</si>
  <si>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</si>
  <si>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</si>
  <si>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</si>
  <si>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v4.5</t>
  </si>
  <si>
    <t xml:space="preserve">09-26</t>
  </si>
  <si>
    <r>
      <rPr>
        <sz val="10"/>
        <rFont val="WenQuanYi Zen Hei"/>
        <family val="2"/>
      </rPr>
      <t xml:space="preserve">期間滾動＋反向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company.json </t>
    </r>
    <r>
      <rPr>
        <sz val="10"/>
        <rFont val="WenQuanYi Zen Hei"/>
        <family val="2"/>
      </rPr>
      <t xml:space="preserve">新增 </t>
    </r>
    <r>
      <rPr>
        <sz val="10"/>
        <rFont val="Arial"/>
        <family val="0"/>
        <charset val="1"/>
      </rPr>
      <t xml:space="preserve">calendar</t>
    </r>
    <r>
      <rPr>
        <sz val="10"/>
        <rFont val="WenQuanYi Zen Hei"/>
        <family val="2"/>
      </rPr>
      <t xml:space="preserve">（財年結束月份、最新已申報／已公布季度），期間、評價日（最新已申報季末）與折現年數由日曆推算（首期 </t>
    </r>
    <r>
      <rPr>
        <sz val="10"/>
        <rFont val="Arial"/>
        <family val="0"/>
        <charset val="1"/>
      </rPr>
      <t xml:space="preserve">0.25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0.5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0.75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年、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月財年、無實際數皆可）；</t>
    </r>
    <r>
      <rPr>
        <sz val="10"/>
        <rFont val="Arial"/>
        <family val="0"/>
        <charset val="1"/>
      </rPr>
      <t xml:space="preserve">actual1H </t>
    </r>
    <r>
      <rPr>
        <sz val="10"/>
        <rFont val="WenQuanYi Zen Hei"/>
        <family val="2"/>
      </rPr>
      <t xml:space="preserve">改為 </t>
    </r>
    <r>
      <rPr>
        <sz val="10"/>
        <rFont val="Arial"/>
        <family val="0"/>
        <charset val="1"/>
      </rPr>
      <t xml:space="preserve">ytdActual</t>
    </r>
    <r>
      <rPr>
        <sz val="10"/>
        <rFont val="WenQuanYi Zen Hei"/>
        <family val="2"/>
      </rPr>
      <t xml:space="preserve">；目標價時點改為「評價日＋</t>
    </r>
    <r>
      <rPr>
        <sz val="10"/>
        <rFont val="Arial"/>
        <family val="0"/>
        <charset val="1"/>
      </rPr>
      <t xml:space="preserve">12 </t>
    </r>
    <r>
      <rPr>
        <sz val="10"/>
        <rFont val="WenQuanYi Zen Hei"/>
        <family val="2"/>
      </rPr>
      <t xml:space="preserve">個月」（</t>
    </r>
    <r>
      <rPr>
        <sz val="10"/>
        <rFont val="Arial"/>
        <family val="0"/>
        <charset val="1"/>
      </rPr>
      <t xml:space="preserve">2027-06-30</t>
    </r>
    <r>
      <rPr>
        <sz val="10"/>
        <rFont val="WenQuanYi Zen Hei"/>
        <family val="2"/>
      </rPr>
      <t xml:space="preserve">），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腿折回、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腿（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截斷與選擇權）以 </t>
    </r>
    <r>
      <rPr>
        <sz val="10"/>
        <rFont val="Arial"/>
        <family val="0"/>
        <charset val="1"/>
      </rPr>
      <t xml:space="preserve">WACC </t>
    </r>
    <r>
      <rPr>
        <sz val="10"/>
        <rFont val="WenQuanYi Zen Hei"/>
        <family val="2"/>
      </rPr>
      <t xml:space="preserve">推到同一時點；反向 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改由 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求解；一頁摘要與各分頁第一屏的日期與期間文字依日曆產生</t>
    </r>
  </si>
  <si>
    <t xml:space="preserve">$45.5</t>
  </si>
  <si>
    <r>
      <rPr>
        <sz val="10"/>
        <rFont val="WenQuanYi Zen Hei"/>
        <family val="2"/>
      </rPr>
      <t xml:space="preserve">口徑變更（目標價時點）：基準 </t>
    </r>
    <r>
      <rPr>
        <sz val="10"/>
        <rFont val="Arial"/>
        <family val="0"/>
        <charset val="1"/>
      </rPr>
      <t xml:space="preserve">$47.9→$45.5</t>
    </r>
    <r>
      <rPr>
        <sz val="10"/>
        <rFont val="WenQuanYi Zen Hei"/>
        <family val="2"/>
      </rPr>
      <t xml:space="preserve">、保守 </t>
    </r>
    <r>
      <rPr>
        <sz val="10"/>
        <rFont val="Arial"/>
        <family val="0"/>
        <charset val="1"/>
      </rPr>
      <t xml:space="preserve">$71.7→$69.7</t>
    </r>
    <r>
      <rPr>
        <sz val="10"/>
        <rFont val="WenQuanYi Zen Hei"/>
        <family val="2"/>
      </rPr>
      <t xml:space="preserve">、積極 </t>
    </r>
    <r>
      <rPr>
        <sz val="10"/>
        <rFont val="Arial"/>
        <family val="0"/>
        <charset val="1"/>
      </rPr>
      <t xml:space="preserve">$32.6→$31.0</t>
    </r>
    <r>
      <rPr>
        <sz val="10"/>
        <rFont val="WenQuanYi Zen Hei"/>
        <family val="2"/>
      </rPr>
      <t xml:space="preserve">，三者皆賣出。拆解：</t>
    </r>
    <r>
      <rPr>
        <sz val="10"/>
        <rFont val="Arial"/>
        <family val="0"/>
        <charset val="1"/>
      </rPr>
      <t xml:space="preserve">(a) </t>
    </r>
    <r>
      <rPr>
        <sz val="10"/>
        <rFont val="WenQuanYi Zen Hei"/>
        <family val="2"/>
      </rPr>
      <t xml:space="preserve">時間推移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（評價日仍為 </t>
    </r>
    <r>
      <rPr>
        <sz val="10"/>
        <rFont val="Arial"/>
        <family val="0"/>
        <charset val="1"/>
      </rPr>
      <t xml:space="preserve">6/30</t>
    </r>
    <r>
      <rPr>
        <sz val="10"/>
        <rFont val="WenQuanYi Zen Hei"/>
        <family val="2"/>
      </rPr>
      <t xml:space="preserve">）、</t>
    </r>
    <r>
      <rPr>
        <sz val="10"/>
        <rFont val="Arial"/>
        <family val="0"/>
        <charset val="1"/>
      </rPr>
      <t xml:space="preserve">(b) </t>
    </r>
    <r>
      <rPr>
        <sz val="10"/>
        <rFont val="WenQuanYi Zen Hei"/>
        <family val="2"/>
      </rPr>
      <t xml:space="preserve">實際數更新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(c) </t>
    </r>
    <r>
      <rPr>
        <sz val="10"/>
        <rFont val="WenQuanYi Zen Hei"/>
        <family val="2"/>
      </rPr>
      <t xml:space="preserve">假設變更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；變動全部來自口徑</t>
    </r>
  </si>
  <si>
    <t xml:space="preserve">v4.4</t>
  </si>
  <si>
    <r>
      <rPr>
        <sz val="10"/>
        <rFont val="WenQuanYi Zen Hei"/>
        <family val="2"/>
      </rPr>
      <t xml:space="preserve">季度層：資金模型新增「季度追蹤」分頁，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新增「季度追蹤」分頁與「輸入與假設」</t>
    </r>
    <r>
      <rPr>
        <sz val="10"/>
        <rFont val="Arial"/>
        <family val="0"/>
        <charset val="1"/>
      </rPr>
      <t xml:space="preserve">J </t>
    </r>
    <r>
      <rPr>
        <sz val="10"/>
        <rFont val="WenQuanYi Zen Hei"/>
        <family val="2"/>
      </rPr>
      <t xml:space="preserve">區（</t>
    </r>
    <r>
      <rPr>
        <sz val="10"/>
        <rFont val="Arial"/>
        <family val="0"/>
        <charset val="1"/>
      </rPr>
      <t xml:space="preserve">2026 Q3–2027 Q4</t>
    </r>
    <r>
      <rPr>
        <sz val="10"/>
        <rFont val="WenQuanYi Zen Hei"/>
        <family val="2"/>
      </rPr>
      <t xml:space="preserve">，由年度模型拆分、只用於追蹤；實際數輸入格預設空白）；差距超過門檻（營收等 </t>
    </r>
    <r>
      <rPr>
        <sz val="10"/>
        <rFont val="Arial"/>
        <family val="0"/>
        <charset val="1"/>
      </rPr>
      <t xml:space="preserve">5%</t>
    </r>
    <r>
      <rPr>
        <sz val="10"/>
        <rFont val="WenQuanYi Zen Hei"/>
        <family val="2"/>
      </rPr>
      <t xml:space="preserve">、利潤類利潤率 </t>
    </r>
    <r>
      <rPr>
        <sz val="10"/>
        <rFont val="Arial"/>
        <family val="0"/>
        <charset val="1"/>
      </rPr>
      <t xml:space="preserve">2pt</t>
    </r>
    <r>
      <rPr>
        <sz val="10"/>
        <rFont val="WenQuanYi Zen Hei"/>
        <family val="2"/>
      </rPr>
      <t xml:space="preserve">）或落在指引區間外的項目附差異原因（觀點／拆法／已知限制；拆法以水準／分配拆解判定）；差距寫法：營收、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為比例，利潤類為金額差＋利潤率百分點；一頁摘要驗證點改為焦點季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個指標，方法註腳與最新分析師動作移至市場共識分頁</t>
    </r>
  </si>
  <si>
    <t xml:space="preserve">$47.9</t>
  </si>
  <si>
    <t xml:space="preserve">無變動（季度層不影響年度數字與目標價）</t>
  </si>
  <si>
    <t xml:space="preserve">v4.3</t>
  </si>
  <si>
    <t xml:space="preserve">09-25</t>
  </si>
  <si>
    <r>
      <rPr>
        <sz val="10"/>
        <rFont val="WenQuanYi Zen Hei"/>
        <family val="2"/>
      </rPr>
      <t xml:space="preserve">一頁摘要＋市場共識對照：總結頁新增一頁摘要（原 </t>
    </r>
    <r>
      <rPr>
        <sz val="10"/>
        <rFont val="Arial"/>
        <family val="0"/>
        <charset val="1"/>
      </rPr>
      <t xml:space="preserve">9 </t>
    </r>
    <r>
      <rPr>
        <sz val="10"/>
        <rFont val="WenQuanYi Zen Hei"/>
        <family val="2"/>
      </rPr>
      <t xml:space="preserve">頁改為附錄，共 </t>
    </r>
    <r>
      <rPr>
        <sz val="10"/>
        <rFont val="Arial"/>
        <family val="0"/>
        <charset val="1"/>
      </rPr>
      <t xml:space="preserve">10 </t>
    </r>
    <r>
      <rPr>
        <sz val="10"/>
        <rFont val="WenQuanYi Zen Hei"/>
        <family val="2"/>
      </rPr>
      <t xml:space="preserve">頁）；損益與評價新增「市場共識」分頁，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新增「摘要」分頁與「輸入與假設」</t>
    </r>
    <r>
      <rPr>
        <sz val="10"/>
        <rFont val="Arial"/>
        <family val="0"/>
        <charset val="1"/>
      </rPr>
      <t xml:space="preserve">I </t>
    </r>
    <r>
      <rPr>
        <sz val="10"/>
        <rFont val="WenQuanYi Zen Hei"/>
        <family val="2"/>
      </rPr>
      <t xml:space="preserve">區（逐筆附來源、擷取日期、標記）；移除 </t>
    </r>
    <r>
      <rPr>
        <sz val="10"/>
        <rFont val="Arial"/>
        <family val="0"/>
        <charset val="1"/>
      </rPr>
      <t xml:space="preserve">Street </t>
    </r>
    <r>
      <rPr>
        <sz val="10"/>
        <rFont val="WenQuanYi Zen Hei"/>
        <family val="2"/>
      </rPr>
      <t xml:space="preserve">參考欄位；現價更新至 </t>
    </r>
    <r>
      <rPr>
        <sz val="10"/>
        <rFont val="Arial"/>
        <family val="0"/>
        <charset val="1"/>
      </rPr>
      <t xml:space="preserve">9/24 </t>
    </r>
    <r>
      <rPr>
        <sz val="10"/>
        <rFont val="WenQuanYi Zen Hei"/>
        <family val="2"/>
      </rPr>
      <t xml:space="preserve">收盤 </t>
    </r>
    <r>
      <rPr>
        <sz val="10"/>
        <rFont val="Arial"/>
        <family val="0"/>
        <charset val="1"/>
      </rPr>
      <t xml:space="preserve">$90.13</t>
    </r>
    <r>
      <rPr>
        <sz val="10"/>
        <rFont val="WenQuanYi Zen Hei"/>
        <family val="2"/>
      </rPr>
      <t xml:space="preserve">（股權發行價同步）</t>
    </r>
  </si>
  <si>
    <r>
      <rPr>
        <sz val="10"/>
        <rFont val="WenQuanYi Zen Hei"/>
        <family val="2"/>
      </rPr>
      <t xml:space="preserve">現價 </t>
    </r>
    <r>
      <rPr>
        <sz val="10"/>
        <rFont val="Arial"/>
        <family val="0"/>
        <charset val="1"/>
      </rPr>
      <t xml:space="preserve">$85.43→$90.13</t>
    </r>
    <r>
      <rPr>
        <sz val="10"/>
        <rFont val="WenQuanYi Zen Hei"/>
        <family val="2"/>
      </rPr>
      <t xml:space="preserve">：發行價提高、新股減少，基準 </t>
    </r>
    <r>
      <rPr>
        <sz val="10"/>
        <rFont val="Arial"/>
        <family val="0"/>
        <charset val="1"/>
      </rPr>
      <t xml:space="preserve">$47.5→$47.9</t>
    </r>
    <r>
      <rPr>
        <sz val="10"/>
        <rFont val="WenQuanYi Zen Hei"/>
        <family val="2"/>
      </rPr>
      <t xml:space="preserve">；保守 −</t>
    </r>
    <r>
      <rPr>
        <sz val="10"/>
        <rFont val="Arial"/>
        <family val="0"/>
        <charset val="1"/>
      </rPr>
      <t xml:space="preserve">16%→−20%</t>
    </r>
    <r>
      <rPr>
        <sz val="10"/>
        <rFont val="WenQuanYi Zen Hei"/>
        <family val="2"/>
      </rPr>
      <t xml:space="preserve">，距賣出門檻 </t>
    </r>
    <r>
      <rPr>
        <sz val="10"/>
        <rFont val="Arial"/>
        <family val="0"/>
        <charset val="1"/>
      </rPr>
      <t xml:space="preserve">$0.9→$4.9</t>
    </r>
  </si>
  <si>
    <t xml:space="preserve">v4.2</t>
  </si>
  <si>
    <r>
      <rPr>
        <sz val="10"/>
        <rFont val="WenQuanYi Zen Hei"/>
        <family val="2"/>
      </rPr>
      <t xml:space="preserve">設定集中：同業 </t>
    </r>
    <r>
      <rPr>
        <sz val="10"/>
        <rFont val="Arial"/>
        <family val="0"/>
        <charset val="1"/>
      </rPr>
      <t xml:space="preserve">Comps</t>
    </r>
    <r>
      <rPr>
        <sz val="10"/>
        <rFont val="WenQuanYi Zen Hei"/>
        <family val="2"/>
      </rPr>
      <t xml:space="preserve">（數字、名稱、備註、說明文字）與評等門檻移入 </t>
    </r>
    <r>
      <rPr>
        <sz val="10"/>
        <rFont val="Arial"/>
        <family val="0"/>
        <charset val="1"/>
      </rPr>
      <t xml:space="preserve">company.json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peers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methodology.rating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Excel</t>
    </r>
    <r>
      <rPr>
        <sz val="10"/>
        <rFont val="WenQuanYi Zen Hei"/>
        <family val="2"/>
      </rPr>
      <t xml:space="preserve">「輸入與假設」</t>
    </r>
    <r>
      <rPr>
        <sz val="10"/>
        <rFont val="Arial"/>
        <family val="0"/>
        <charset val="1"/>
      </rPr>
      <t xml:space="preserve">F </t>
    </r>
    <r>
      <rPr>
        <sz val="10"/>
        <rFont val="WenQuanYi Zen Hei"/>
        <family val="2"/>
      </rPr>
      <t xml:space="preserve">區新增「評等門檻」</t>
    </r>
    <r>
      <rPr>
        <sz val="10"/>
        <rFont val="Arial"/>
        <family val="0"/>
        <charset val="1"/>
      </rPr>
      <t xml:space="preserve">7 </t>
    </r>
    <r>
      <rPr>
        <sz val="10"/>
        <rFont val="WenQuanYi Zen Hei"/>
        <family val="2"/>
      </rPr>
      <t xml:space="preserve">格，評等代碼、賣出門檻價、判斷句與檢查頁改為引用；評等規則說明改為活公式；數字與畫面與 </t>
    </r>
    <r>
      <rPr>
        <sz val="10"/>
        <rFont val="Arial"/>
        <family val="0"/>
        <charset val="1"/>
      </rPr>
      <t xml:space="preserve">v4.1 </t>
    </r>
    <r>
      <rPr>
        <sz val="10"/>
        <rFont val="WenQuanYi Zen Hei"/>
        <family val="2"/>
      </rPr>
      <t xml:space="preserve">相同</t>
    </r>
  </si>
  <si>
    <t xml:space="preserve">$47.5</t>
  </si>
  <si>
    <t xml:space="preserve">無變動（純結構）</t>
  </si>
  <si>
    <t xml:space="preserve">v4.1</t>
  </si>
  <si>
    <r>
      <rPr>
        <sz val="10"/>
        <rFont val="WenQuanYi Zen Hei"/>
        <family val="2"/>
      </rPr>
      <t xml:space="preserve">目標價改為區間呈現：情境區間（保守與積極情境，保留手動調整）與方法區間（目前情境，</t>
    </r>
    <r>
      <rPr>
        <sz val="10"/>
        <rFont val="Arial"/>
        <family val="0"/>
        <charset val="1"/>
      </rPr>
      <t xml:space="preserve">EV/EBITDA 5–6x</t>
    </r>
    <r>
      <rPr>
        <sz val="10"/>
        <rFont val="WenQuanYi Zen Hei"/>
        <family val="2"/>
      </rPr>
      <t xml:space="preserve">）；判斷句揭露與賣出門檻的餘裕；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權重說明；刪除評價頁舊的下檔／上檔與操作區間；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情境區間以模擬運算表計算（活公式）</t>
    </r>
  </si>
  <si>
    <r>
      <rPr>
        <sz val="10"/>
        <rFont val="WenQuanYi Zen Hei"/>
        <family val="2"/>
      </rPr>
      <t xml:space="preserve">點位無變動；情境區間 </t>
    </r>
    <r>
      <rPr>
        <sz val="10"/>
        <rFont val="Arial"/>
        <family val="0"/>
        <charset val="1"/>
      </rPr>
      <t xml:space="preserve">$32.1–$71.7</t>
    </r>
    <r>
      <rPr>
        <sz val="10"/>
        <rFont val="WenQuanYi Zen Hei"/>
        <family val="2"/>
      </rPr>
      <t xml:space="preserve">、方法區間 </t>
    </r>
    <r>
      <rPr>
        <sz val="10"/>
        <rFont val="Arial"/>
        <family val="0"/>
        <charset val="1"/>
      </rPr>
      <t xml:space="preserve">$30.8–$47.5</t>
    </r>
  </si>
  <si>
    <t xml:space="preserve">v4.0</t>
  </si>
  <si>
    <t xml:space="preserve">09-24</t>
  </si>
  <si>
    <r>
      <rPr>
        <sz val="10"/>
        <rFont val="WenQuanYi Zen Hei"/>
        <family val="2"/>
      </rPr>
      <t xml:space="preserve">結構重整：公司資料集中到 </t>
    </r>
    <r>
      <rPr>
        <sz val="10"/>
        <rFont val="Arial"/>
        <family val="0"/>
        <charset val="1"/>
      </rPr>
      <t xml:space="preserve">company.json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HTML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共用，</t>
    </r>
    <r>
      <rPr>
        <sz val="10"/>
        <rFont val="Arial"/>
        <family val="0"/>
        <charset val="1"/>
      </rPr>
      <t xml:space="preserve">Excel 75 </t>
    </r>
    <r>
      <rPr>
        <sz val="10"/>
        <rFont val="WenQuanYi Zen Hei"/>
        <family val="2"/>
      </rPr>
      <t xml:space="preserve">項輸入改讀此檔）；資料常數與引擎主函式改為可讀名稱；數字與畫面與 </t>
    </r>
    <r>
      <rPr>
        <sz val="10"/>
        <rFont val="Arial"/>
        <family val="0"/>
        <charset val="1"/>
      </rPr>
      <t xml:space="preserve">v3.6 </t>
    </r>
    <r>
      <rPr>
        <sz val="10"/>
        <rFont val="WenQuanYi Zen Hei"/>
        <family val="2"/>
      </rPr>
      <t xml:space="preserve">完全相同</t>
    </r>
  </si>
  <si>
    <t xml:space="preserve">v3.6</t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</si>
  <si>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錨定年度預設改為 </t>
    </r>
    <r>
      <rPr>
        <sz val="10"/>
        <rFont val="Arial"/>
        <family val="0"/>
        <charset val="1"/>
      </rPr>
      <t xml:space="preserve">FY29</t>
    </r>
    <r>
      <rPr>
        <sz val="10"/>
        <rFont val="WenQuanYi Zen Hei"/>
        <family val="2"/>
      </rPr>
      <t xml:space="preserve">（接近穩態利潤率，與 </t>
    </r>
    <r>
      <rPr>
        <sz val="10"/>
        <rFont val="Arial"/>
        <family val="0"/>
        <charset val="1"/>
      </rPr>
      <t xml:space="preserve">6x </t>
    </r>
    <r>
      <rPr>
        <sz val="10"/>
        <rFont val="WenQuanYi Zen Hei"/>
        <family val="2"/>
      </rPr>
      <t xml:space="preserve">穩態倍數一致）</t>
    </r>
  </si>
  <si>
    <r>
      <rPr>
        <sz val="10"/>
        <rFont val="WenQuanYi Zen Hei"/>
        <family val="2"/>
      </rPr>
      <t xml:space="preserve">錨定 </t>
    </r>
    <r>
      <rPr>
        <sz val="10"/>
        <rFont val="Arial"/>
        <family val="0"/>
        <charset val="1"/>
      </rPr>
      <t xml:space="preserve">FY27→FY29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 </t>
    </r>
    <r>
      <rPr>
        <sz val="10"/>
        <rFont val="Arial"/>
        <family val="0"/>
        <charset val="1"/>
      </rPr>
      <t xml:space="preserve">$38.7→$86.4</t>
    </r>
    <r>
      <rPr>
        <sz val="10"/>
        <rFont val="WenQuanYi Zen Hei"/>
        <family val="2"/>
      </rPr>
      <t xml:space="preserve">；保守情境 </t>
    </r>
    <r>
      <rPr>
        <sz val="10"/>
        <rFont val="Arial"/>
        <family val="0"/>
        <charset val="1"/>
      </rPr>
      <t xml:space="preserve">$71.7</t>
    </r>
    <r>
      <rPr>
        <sz val="10"/>
        <rFont val="WenQuanYi Zen Hei"/>
        <family val="2"/>
      </rPr>
      <t xml:space="preserve">（−</t>
    </r>
    <r>
      <rPr>
        <sz val="10"/>
        <rFont val="Arial"/>
        <family val="0"/>
        <charset val="1"/>
      </rPr>
      <t xml:space="preserve">16%</t>
    </r>
    <r>
      <rPr>
        <sz val="10"/>
        <rFont val="WenQuanYi Zen Hei"/>
        <family val="2"/>
      </rPr>
      <t xml:space="preserve">）接近賣出門檻</t>
    </r>
  </si>
  <si>
    <t xml:space="preserve">v3.5</t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</si>
  <si>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錨定年度可選（</t>
    </r>
    <r>
      <rPr>
        <sz val="10"/>
        <rFont val="Arial"/>
        <family val="0"/>
        <charset val="1"/>
      </rPr>
      <t xml:space="preserve">FY27–FY30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起以 </t>
    </r>
    <r>
      <rPr>
        <sz val="10"/>
        <rFont val="Arial"/>
        <family val="0"/>
        <charset val="1"/>
      </rPr>
      <t xml:space="preserve">WACC </t>
    </r>
    <r>
      <rPr>
        <sz val="10"/>
        <rFont val="WenQuanYi Zen Hei"/>
        <family val="2"/>
      </rPr>
      <t xml:space="preserve">折回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末）；評價頁與總結頁新增「錨定年度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倍數」矩陣；總結頁新增評價方法頁（</t>
    </r>
    <r>
      <rPr>
        <sz val="10"/>
        <rFont val="Arial"/>
        <family val="0"/>
        <charset val="1"/>
      </rPr>
      <t xml:space="preserve">9 </t>
    </r>
    <r>
      <rPr>
        <sz val="10"/>
        <rFont val="WenQuanYi Zen Hei"/>
        <family val="2"/>
      </rPr>
      <t xml:space="preserve">頁）</t>
    </r>
  </si>
  <si>
    <t xml:space="preserve">$21.3</t>
  </si>
  <si>
    <r>
      <rPr>
        <sz val="10"/>
        <rFont val="WenQuanYi Zen Hei"/>
        <family val="2"/>
      </rPr>
      <t xml:space="preserve">預設仍錨定 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，無變動；</t>
    </r>
    <r>
      <rPr>
        <sz val="10"/>
        <rFont val="Arial"/>
        <family val="0"/>
        <charset val="1"/>
      </rPr>
      <t xml:space="preserve">FY29 × 6x </t>
    </r>
    <r>
      <rPr>
        <sz val="10"/>
        <rFont val="WenQuanYi Zen Hei"/>
        <family val="2"/>
      </rPr>
      <t xml:space="preserve">為 </t>
    </r>
    <r>
      <rPr>
        <sz val="10"/>
        <rFont val="Arial"/>
        <family val="0"/>
        <charset val="1"/>
      </rPr>
      <t xml:space="preserve">$47.5</t>
    </r>
  </si>
  <si>
    <t xml:space="preserve">v3.4</t>
  </si>
  <si>
    <r>
      <rPr>
        <sz val="10"/>
        <rFont val="WenQuanYi Zen Hei"/>
        <family val="2"/>
      </rPr>
      <t xml:space="preserve">新增「總結」簡報頁（</t>
    </r>
    <r>
      <rPr>
        <sz val="10"/>
        <rFont val="Arial"/>
        <family val="0"/>
        <charset val="1"/>
      </rPr>
      <t xml:space="preserve">8 </t>
    </r>
    <r>
      <rPr>
        <sz val="10"/>
        <rFont val="WenQuanYi Zen Hei"/>
        <family val="2"/>
      </rPr>
      <t xml:space="preserve">頁、即時連動、簡報模式、列印 </t>
    </r>
    <r>
      <rPr>
        <sz val="10"/>
        <rFont val="Arial"/>
        <family val="0"/>
        <charset val="1"/>
      </rPr>
      <t xml:space="preserve">16:9</t>
    </r>
    <r>
      <rPr>
        <sz val="10"/>
        <rFont val="WenQuanYi Zen Hei"/>
        <family val="2"/>
      </rPr>
      <t xml:space="preserve">）；股權敏感度表加註融資組合與自動說明；更正融資瀑布說明的股權年度；修正 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無法開啟（</t>
    </r>
    <r>
      <rPr>
        <sz val="10"/>
        <rFont val="Arial"/>
        <family val="0"/>
        <charset val="1"/>
      </rPr>
      <t xml:space="preserve">sheetPr </t>
    </r>
    <r>
      <rPr>
        <sz val="10"/>
        <rFont val="WenQuanYi Zen Hei"/>
        <family val="2"/>
      </rPr>
      <t xml:space="preserve">子元素順序，</t>
    </r>
    <r>
      <rPr>
        <sz val="10"/>
        <rFont val="Arial"/>
        <family val="0"/>
        <charset val="1"/>
      </rPr>
      <t xml:space="preserve">v3.3 </t>
    </r>
    <r>
      <rPr>
        <sz val="10"/>
        <rFont val="WenQuanYi Zen Hei"/>
        <family val="2"/>
      </rPr>
      <t xml:space="preserve">起即存在）</t>
    </r>
  </si>
  <si>
    <t xml:space="preserve">無變動</t>
  </si>
  <si>
    <t xml:space="preserve">v3.3</t>
  </si>
  <si>
    <t xml:space="preserve">09-23</t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</si>
  <si>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（收入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成本組合）；版本變更紀錄；每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年收入／建置成本倍數</t>
    </r>
  </si>
  <si>
    <r>
      <rPr>
        <sz val="10"/>
        <rFont val="WenQuanYi Zen Hei"/>
        <family val="2"/>
      </rPr>
      <t xml:space="preserve">倍數預設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，無變動</t>
    </r>
  </si>
  <si>
    <t xml:space="preserve">v3.2</t>
  </si>
  <si>
    <t xml:space="preserve">切換情境時保留手動調整的數字</t>
  </si>
  <si>
    <t xml:space="preserve">v3.1</t>
  </si>
  <si>
    <r>
      <rPr>
        <sz val="10"/>
        <rFont val="WenQuanYi Zen Hei"/>
        <family val="2"/>
      </rPr>
      <t xml:space="preserve">模組化（輸入與假設／各期收支／運營活動／資產與負債／損益／評價）；新債與新股；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分頁改名與拆分</t>
    </r>
  </si>
  <si>
    <t xml:space="preserve">v3.0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</si>
  <si>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失效條件；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下限方式切換（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／選擇權）；</t>
    </r>
    <r>
      <rPr>
        <sz val="10"/>
        <rFont val="Arial"/>
        <family val="0"/>
        <charset val="1"/>
      </rPr>
      <t xml:space="preserve">HTML </t>
    </r>
    <r>
      <rPr>
        <sz val="10"/>
        <rFont val="WenQuanYi Zen Hei"/>
        <family val="2"/>
      </rPr>
      <t xml:space="preserve">左欄分類選單；日期與版本同步</t>
    </r>
  </si>
  <si>
    <r>
      <rPr>
        <sz val="10"/>
        <rFont val="WenQuanYi Zen Hei"/>
        <family val="2"/>
      </rPr>
      <t xml:space="preserve">選擇權模式為 </t>
    </r>
    <r>
      <rPr>
        <sz val="10"/>
        <rFont val="Arial"/>
        <family val="0"/>
        <charset val="1"/>
      </rPr>
      <t xml:space="preserve">$26.3</t>
    </r>
  </si>
  <si>
    <t xml:space="preserve">v2.9</t>
  </si>
  <si>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依類別排序並可收合；原生併入 </t>
    </r>
    <r>
      <rPr>
        <sz val="10"/>
        <rFont val="Arial"/>
        <family val="0"/>
        <charset val="1"/>
      </rPr>
      <t xml:space="preserve">Copilot </t>
    </r>
    <r>
      <rPr>
        <sz val="10"/>
        <rFont val="WenQuanYi Zen Hei"/>
        <family val="2"/>
      </rPr>
      <t xml:space="preserve">改動</t>
    </r>
  </si>
  <si>
    <t xml:space="preserve">v2.6–2.8</t>
  </si>
  <si>
    <r>
      <rPr>
        <sz val="10"/>
        <rFont val="WenQuanYi Zen Hei"/>
        <family val="2"/>
      </rPr>
      <t xml:space="preserve">外部（</t>
    </r>
    <r>
      <rPr>
        <sz val="10"/>
        <rFont val="Arial"/>
        <family val="0"/>
        <charset val="1"/>
      </rPr>
      <t xml:space="preserve">Copilot</t>
    </r>
    <r>
      <rPr>
        <sz val="10"/>
        <rFont val="WenQuanYi Zen Hei"/>
        <family val="2"/>
      </rPr>
      <t xml:space="preserve">）版面調整與每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年收入敏感性</t>
    </r>
  </si>
  <si>
    <r>
      <rPr>
        <sz val="10"/>
        <rFont val="WenQuanYi Zen Hei"/>
        <family val="2"/>
      </rPr>
      <t xml:space="preserve">於 </t>
    </r>
    <r>
      <rPr>
        <sz val="10"/>
        <rFont val="Arial"/>
        <family val="0"/>
        <charset val="1"/>
      </rPr>
      <t xml:space="preserve">v2.9 </t>
    </r>
    <r>
      <rPr>
        <sz val="10"/>
        <rFont val="WenQuanYi Zen Hei"/>
        <family val="2"/>
      </rPr>
      <t xml:space="preserve">併入</t>
    </r>
  </si>
  <si>
    <t xml:space="preserve">v2.5</t>
  </si>
  <si>
    <t xml:space="preserve">09-22</t>
  </si>
  <si>
    <t xml:space="preserve">敏感性改以目標價為指標；附錄移至結論下方</t>
  </si>
  <si>
    <t xml:space="preserve">v2.4</t>
  </si>
  <si>
    <r>
      <rPr>
        <sz val="10"/>
        <rFont val="WenQuanYi Zen Hei"/>
        <family val="2"/>
      </rPr>
      <t xml:space="preserve">股權吸收上限 </t>
    </r>
    <r>
      <rPr>
        <sz val="10"/>
        <rFont val="Arial"/>
        <family val="0"/>
        <charset val="1"/>
      </rPr>
      <t xml:space="preserve">20%</t>
    </r>
    <r>
      <rPr>
        <sz val="10"/>
        <rFont val="WenQuanYi Zen Hei"/>
        <family val="2"/>
      </rPr>
      <t xml:space="preserve">＋高息債 </t>
    </r>
    <r>
      <rPr>
        <sz val="10"/>
        <rFont val="Arial"/>
        <family val="0"/>
        <charset val="1"/>
      </rPr>
      <t xml:space="preserve">12%</t>
    </r>
    <r>
      <rPr>
        <sz val="10"/>
        <rFont val="WenQuanYi Zen Hei"/>
        <family val="2"/>
      </rPr>
      <t xml:space="preserve">；融資前缺口圖；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更名；標題與摘要改寫</t>
    </r>
  </si>
  <si>
    <t xml:space="preserve">v2.3</t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</si>
  <si>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率單一來源（</t>
    </r>
    <r>
      <rPr>
        <sz val="10"/>
        <rFont val="Arial"/>
        <family val="0"/>
        <charset val="1"/>
      </rPr>
      <t xml:space="preserve">59%→65%</t>
    </r>
    <r>
      <rPr>
        <sz val="10"/>
        <rFont val="WenQuanYi Zen Hei"/>
        <family val="2"/>
      </rPr>
      <t xml:space="preserve">）；資金端現金與損益連動；服務營收統一；債務上限 </t>
    </r>
    <r>
      <rPr>
        <sz val="10"/>
        <rFont val="Arial"/>
        <family val="0"/>
        <charset val="1"/>
      </rPr>
      <t xml:space="preserve">1.0x</t>
    </r>
  </si>
  <si>
    <r>
      <rPr>
        <sz val="10"/>
        <rFont val="WenQuanYi Zen Hei"/>
        <family val="2"/>
      </rPr>
      <t xml:space="preserve">債務上限依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年實際融資組合校準為主因</t>
    </r>
  </si>
  <si>
    <t xml:space="preserve">v2.2</t>
  </si>
  <si>
    <r>
      <rPr>
        <sz val="10"/>
        <rFont val="Arial"/>
        <family val="0"/>
        <charset val="1"/>
      </rPr>
      <t xml:space="preserve">Comps </t>
    </r>
    <r>
      <rPr>
        <sz val="10"/>
        <rFont val="WenQuanYi Zen Hei"/>
        <family val="2"/>
      </rPr>
      <t xml:space="preserve">改以 </t>
    </r>
    <r>
      <rPr>
        <sz val="10"/>
        <rFont val="Arial"/>
        <family val="0"/>
        <charset val="1"/>
      </rPr>
      <t xml:space="preserve">EV/Sales </t>
    </r>
    <r>
      <rPr>
        <sz val="10"/>
        <rFont val="WenQuanYi Zen Hei"/>
        <family val="2"/>
      </rPr>
      <t xml:space="preserve">為主，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列為參考</t>
    </r>
  </si>
  <si>
    <t xml:space="preserve">$32.4</t>
  </si>
  <si>
    <t xml:space="preserve">v2.1</t>
  </si>
  <si>
    <t xml:space="preserve">更正先前「重複計費」的說法（僅文字）</t>
  </si>
  <si>
    <t xml:space="preserve">v2.0</t>
  </si>
  <si>
    <r>
      <rPr>
        <sz val="10"/>
        <rFont val="WenQuanYi Zen Hei"/>
        <family val="2"/>
      </rPr>
      <t xml:space="preserve">期前融資瀑布＋稀釋取代透支利息＋扣缺口（債務上限 </t>
    </r>
    <r>
      <rPr>
        <sz val="10"/>
        <rFont val="Arial"/>
        <family val="0"/>
        <charset val="1"/>
      </rPr>
      <t xml:space="preserve">0.4× backlog</t>
    </r>
    <r>
      <rPr>
        <sz val="10"/>
        <rFont val="WenQuanYi Zen Hei"/>
        <family val="2"/>
      </rPr>
      <t xml:space="preserve">）</t>
    </r>
  </si>
  <si>
    <t xml:space="preserve">股權以高於模型內在價值的價格發行</t>
  </si>
  <si>
    <t xml:space="preserve">v1.9</t>
  </si>
  <si>
    <t xml:space="preserve">09-21</t>
  </si>
  <si>
    <r>
      <rPr>
        <sz val="10"/>
        <rFont val="WenQuanYi Zen Hei"/>
        <family val="2"/>
      </rPr>
      <t xml:space="preserve">移除 </t>
    </r>
    <r>
      <rPr>
        <sz val="10"/>
        <rFont val="Arial"/>
        <family val="0"/>
        <charset val="1"/>
      </rPr>
      <t xml:space="preserve">EV/Sales</t>
    </r>
    <r>
      <rPr>
        <sz val="10"/>
        <rFont val="WenQuanYi Zen Hei"/>
        <family val="2"/>
      </rPr>
      <t xml:space="preserve">；現價更新至 </t>
    </r>
    <r>
      <rPr>
        <sz val="10"/>
        <rFont val="Arial"/>
        <family val="0"/>
        <charset val="1"/>
      </rPr>
      <t xml:space="preserve">9/21 </t>
    </r>
    <r>
      <rPr>
        <sz val="10"/>
        <rFont val="WenQuanYi Zen Hei"/>
        <family val="2"/>
      </rPr>
      <t xml:space="preserve">收盤 </t>
    </r>
    <r>
      <rPr>
        <sz val="10"/>
        <rFont val="Arial"/>
        <family val="0"/>
        <charset val="1"/>
      </rPr>
      <t xml:space="preserve">$85.43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價值 </t>
    </r>
    <r>
      <rPr>
        <sz val="10"/>
        <rFont val="Arial"/>
        <family val="0"/>
        <charset val="1"/>
      </rPr>
      <t xml:space="preserve">6.2</t>
    </r>
  </si>
  <si>
    <t xml:space="preserve">$19.5</t>
  </si>
  <si>
    <t xml:space="preserve">股價更新</t>
  </si>
  <si>
    <t xml:space="preserve">v1.8</t>
  </si>
  <si>
    <t xml:space="preserve">09-18</t>
  </si>
  <si>
    <r>
      <rPr>
        <sz val="10"/>
        <rFont val="WenQuanYi Zen Hei"/>
        <family val="2"/>
      </rPr>
      <t xml:space="preserve">情境改為 </t>
    </r>
    <r>
      <rPr>
        <sz val="10"/>
        <rFont val="Arial"/>
        <family val="0"/>
        <charset val="1"/>
      </rPr>
      <t xml:space="preserve">4.2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5.6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8 GW</t>
    </r>
  </si>
  <si>
    <t xml:space="preserve">$19.3</t>
  </si>
  <si>
    <r>
      <rPr>
        <sz val="10"/>
        <rFont val="WenQuanYi Zen Hei"/>
        <family val="2"/>
      </rPr>
      <t xml:space="preserve">基準改為 </t>
    </r>
    <r>
      <rPr>
        <sz val="10"/>
        <rFont val="Arial"/>
        <family val="0"/>
        <charset val="1"/>
      </rPr>
      <t xml:space="preserve">5.6 GW</t>
    </r>
  </si>
  <si>
    <t xml:space="preserve">v1.7</t>
  </si>
  <si>
    <r>
      <rPr>
        <sz val="10"/>
        <rFont val="WenQuanYi Zen Hei"/>
        <family val="2"/>
      </rPr>
      <t xml:space="preserve">權重移至 </t>
    </r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45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55</t>
    </r>
    <r>
      <rPr>
        <sz val="10"/>
        <rFont val="WenQuanYi Zen Hei"/>
        <family val="2"/>
      </rPr>
      <t xml:space="preserve">）；情境改為擴張力道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8 GW</t>
    </r>
    <r>
      <rPr>
        <sz val="10"/>
        <rFont val="WenQuanYi Zen Hei"/>
        <family val="2"/>
      </rPr>
      <t xml:space="preserve">；車隊折舊；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汰換</t>
    </r>
  </si>
  <si>
    <r>
      <rPr>
        <sz val="10"/>
        <rFont val="WenQuanYi Zen Hei"/>
        <family val="2"/>
      </rPr>
      <t xml:space="preserve">基準改為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；情境定義改變，與前版不可直接比較</t>
    </r>
  </si>
  <si>
    <t xml:space="preserve">v1.6</t>
  </si>
  <si>
    <r>
      <rPr>
        <sz val="10"/>
        <rFont val="Arial"/>
        <family val="0"/>
        <charset val="1"/>
      </rPr>
      <t xml:space="preserve">HTML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一致性修正 </t>
    </r>
    <r>
      <rPr>
        <sz val="10"/>
        <rFont val="Arial"/>
        <family val="0"/>
        <charset val="1"/>
      </rPr>
      <t xml:space="preserve">7 </t>
    </r>
    <r>
      <rPr>
        <sz val="10"/>
        <rFont val="WenQuanYi Zen Hei"/>
        <family val="2"/>
      </rPr>
      <t xml:space="preserve">處；</t>
    </r>
    <r>
      <rPr>
        <sz val="10"/>
        <rFont val="Arial"/>
        <family val="0"/>
        <charset val="1"/>
      </rPr>
      <t xml:space="preserve">Comps </t>
    </r>
    <r>
      <rPr>
        <sz val="10"/>
        <rFont val="WenQuanYi Zen Hei"/>
        <family val="2"/>
      </rPr>
      <t xml:space="preserve">改 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P/S</t>
    </r>
  </si>
  <si>
    <t xml:space="preserve">$7.7</t>
  </si>
  <si>
    <t xml:space="preserve">v1.5</t>
  </si>
  <si>
    <r>
      <rPr>
        <sz val="10"/>
        <rFont val="WenQuanYi Zen Hei"/>
        <family val="2"/>
      </rPr>
      <t xml:space="preserve">回應 </t>
    </r>
    <r>
      <rPr>
        <sz val="10"/>
        <rFont val="Arial"/>
        <family val="0"/>
        <charset val="1"/>
      </rPr>
      <t xml:space="preserve">Andy </t>
    </r>
    <r>
      <rPr>
        <sz val="10"/>
        <rFont val="WenQuanYi Zen Hei"/>
        <family val="2"/>
      </rPr>
      <t xml:space="preserve">反饋：站點租賃對帳、債務明細、</t>
    </r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拆分、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連動、刪除受產能約束列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</si>
  <si>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連動使模型期 </t>
    </r>
    <r>
      <rPr>
        <sz val="10"/>
        <rFont val="Arial"/>
        <family val="0"/>
        <charset val="1"/>
      </rPr>
      <t xml:space="preserve">CapEx +15.6bn</t>
    </r>
  </si>
  <si>
    <t xml:space="preserve">v1.4</t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</si>
  <si>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改完整年度（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實際＋下半年模型）；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式排版；浮動說明；扣缺口列以 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為下限</t>
    </r>
  </si>
  <si>
    <t xml:space="preserve">$16</t>
  </si>
  <si>
    <t xml:space="preserve">v1.3</t>
  </si>
  <si>
    <r>
      <rPr>
        <sz val="10"/>
        <rFont val="WenQuanYi Zen Hei"/>
        <family val="2"/>
      </rPr>
      <t xml:space="preserve">回應 </t>
    </r>
    <r>
      <rPr>
        <sz val="10"/>
        <rFont val="Arial"/>
        <family val="0"/>
        <charset val="1"/>
      </rPr>
      <t xml:space="preserve">Grok </t>
    </r>
    <r>
      <rPr>
        <sz val="10"/>
        <rFont val="WenQuanYi Zen Hei"/>
        <family val="2"/>
      </rPr>
      <t xml:space="preserve">比較：</t>
    </r>
    <r>
      <rPr>
        <sz val="10"/>
        <rFont val="Arial"/>
        <family val="0"/>
        <charset val="1"/>
      </rPr>
      <t xml:space="preserve">Helios 526 MW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遞延稅、服務營收下修、</t>
    </r>
    <r>
      <rPr>
        <sz val="10"/>
        <rFont val="Arial"/>
        <family val="0"/>
        <charset val="1"/>
      </rPr>
      <t xml:space="preserve">2H26 </t>
    </r>
    <r>
      <rPr>
        <sz val="10"/>
        <rFont val="WenQuanYi Zen Hei"/>
        <family val="2"/>
      </rPr>
      <t xml:space="preserve">利息 </t>
    </r>
    <r>
      <rPr>
        <sz val="10"/>
        <rFont val="Arial"/>
        <family val="0"/>
        <charset val="1"/>
      </rPr>
      <t xml:space="preserve">1.8</t>
    </r>
    <r>
      <rPr>
        <sz val="10"/>
        <rFont val="WenQuanYi Zen Hei"/>
        <family val="2"/>
      </rPr>
      <t xml:space="preserve">、可轉債淨額 </t>
    </r>
    <r>
      <rPr>
        <sz val="10"/>
        <rFont val="Arial"/>
        <family val="0"/>
        <charset val="1"/>
      </rPr>
      <t xml:space="preserve">3.2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版</t>
    </r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</si>
  <si>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與服務營收下修</t>
    </r>
  </si>
  <si>
    <t xml:space="preserve">v1.2</t>
  </si>
  <si>
    <r>
      <rPr>
        <sz val="10"/>
        <rFont val="WenQuanYi Zen Hei"/>
        <family val="2"/>
      </rPr>
      <t xml:space="preserve">同業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改由 </t>
    </r>
    <r>
      <rPr>
        <sz val="10"/>
        <rFont val="Arial"/>
        <family val="0"/>
        <charset val="1"/>
      </rPr>
      <t xml:space="preserve">SEC </t>
    </r>
    <r>
      <rPr>
        <sz val="10"/>
        <rFont val="WenQuanYi Zen Hei"/>
        <family val="2"/>
      </rPr>
      <t xml:space="preserve">申報自行計算；新增含租賃 </t>
    </r>
    <r>
      <rPr>
        <sz val="10"/>
        <rFont val="Arial"/>
        <family val="0"/>
        <charset val="1"/>
      </rPr>
      <t xml:space="preserve">EV</t>
    </r>
  </si>
  <si>
    <t xml:space="preserve">$19</t>
  </si>
  <si>
    <t xml:space="preserve">v1.1</t>
  </si>
  <si>
    <r>
      <rPr>
        <sz val="10"/>
        <rFont val="Arial"/>
        <family val="0"/>
        <charset val="1"/>
      </rPr>
      <t xml:space="preserve">Comps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NBIS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IREN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APLD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CORZ</t>
    </r>
    <r>
      <rPr>
        <sz val="10"/>
        <rFont val="WenQuanYi Zen Hei"/>
        <family val="2"/>
      </rPr>
      <t xml:space="preserve">）、</t>
    </r>
    <r>
      <rPr>
        <sz val="10"/>
        <rFont val="Arial"/>
        <family val="0"/>
        <charset val="1"/>
      </rPr>
      <t xml:space="preserve">CDS 720bps</t>
    </r>
    <r>
      <rPr>
        <sz val="10"/>
        <rFont val="WenQuanYi Zen Hei"/>
        <family val="2"/>
      </rPr>
      <t xml:space="preserve">、未動用額度開關</t>
    </r>
  </si>
  <si>
    <t xml:space="preserve">v1.0</t>
  </si>
  <si>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模板改寫為 </t>
    </r>
    <r>
      <rPr>
        <sz val="10"/>
        <rFont val="Arial"/>
        <family val="0"/>
        <charset val="1"/>
      </rPr>
      <t xml:space="preserve">CoreWeave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2H26–FY30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10-Q</t>
    </r>
    <r>
      <rPr>
        <sz val="10"/>
        <rFont val="WenQuanYi Zen Hei"/>
        <family val="2"/>
      </rPr>
      <t xml:space="preserve">／法說／</t>
    </r>
    <r>
      <rPr>
        <sz val="10"/>
        <rFont val="Arial"/>
        <family val="0"/>
        <charset val="1"/>
      </rPr>
      <t xml:space="preserve">8-K </t>
    </r>
    <r>
      <rPr>
        <sz val="10"/>
        <rFont val="WenQuanYi Zen Hei"/>
        <family val="2"/>
      </rPr>
      <t xml:space="preserve">數據</t>
    </r>
  </si>
  <si>
    <r>
      <rPr>
        <sz val="10"/>
        <rFont val="WenQuanYi Zen Hei"/>
        <family val="2"/>
      </rPr>
      <t xml:space="preserve">基準當時為 </t>
    </r>
    <r>
      <rPr>
        <sz val="10"/>
        <rFont val="Arial"/>
        <family val="0"/>
        <charset val="1"/>
      </rPr>
      <t xml:space="preserve">8 GW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</si>
  <si>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</si>
  <si>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</si>
  <si>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</si>
  <si>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Q2 2026 10-Q</t>
    </r>
    <r>
      <rPr>
        <sz val="10"/>
        <rFont val="WenQuanYi Zen Hei"/>
        <family val="2"/>
      </rPr>
      <t xml:space="preserve">（期末 </t>
    </r>
    <r>
      <rPr>
        <sz val="10"/>
        <rFont val="Arial"/>
        <family val="0"/>
        <charset val="1"/>
      </rPr>
      <t xml:space="preserve">2026-06-30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2026-08-12 </t>
    </r>
    <r>
      <rPr>
        <sz val="10"/>
        <rFont val="WenQuanYi Zen Hei"/>
        <family val="2"/>
      </rPr>
      <t xml:space="preserve">申報，</t>
    </r>
    <r>
      <rPr>
        <sz val="10"/>
        <rFont val="Arial"/>
        <family val="0"/>
        <charset val="1"/>
      </rPr>
      <t xml:space="preserve">Non-accelerated filer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期限 </t>
    </r>
    <r>
      <rPr>
        <sz val="10"/>
        <rFont val="Arial"/>
        <family val="0"/>
        <charset val="1"/>
      </rPr>
      <t xml:space="preserve">11/16</t>
    </r>
    <r>
      <rPr>
        <sz val="10"/>
        <rFont val="WenQuanYi Zen Hei"/>
        <family val="2"/>
      </rPr>
      <t xml:space="preserve">）：營收 </t>
    </r>
    <r>
      <rPr>
        <sz val="10"/>
        <rFont val="Arial"/>
        <family val="0"/>
        <charset val="1"/>
      </rPr>
      <t xml:space="preserve">2.575bn +112%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H1 4.653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營損 −</t>
    </r>
    <r>
      <rPr>
        <sz val="10"/>
        <rFont val="Arial"/>
        <family val="0"/>
        <charset val="1"/>
      </rPr>
      <t xml:space="preserve">0.049</t>
    </r>
    <r>
      <rPr>
        <sz val="10"/>
        <rFont val="WenQuanYi Zen Hei"/>
        <family val="2"/>
      </rPr>
      <t xml:space="preserve">；利息費用 </t>
    </r>
    <r>
      <rPr>
        <sz val="10"/>
        <rFont val="Arial"/>
        <family val="0"/>
        <charset val="1"/>
      </rPr>
      <t xml:space="preserve">0.640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H1 1.176</t>
    </r>
    <r>
      <rPr>
        <sz val="10"/>
        <rFont val="WenQuanYi Zen Hei"/>
        <family val="2"/>
      </rPr>
      <t xml:space="preserve">，現金 </t>
    </r>
    <r>
      <rPr>
        <sz val="10"/>
        <rFont val="Arial"/>
        <family val="0"/>
        <charset val="1"/>
      </rPr>
      <t xml:space="preserve">0.806</t>
    </r>
    <r>
      <rPr>
        <sz val="10"/>
        <rFont val="WenQuanYi Zen Hei"/>
        <family val="2"/>
      </rPr>
      <t xml:space="preserve">、資本化 </t>
    </r>
    <r>
      <rPr>
        <sz val="10"/>
        <rFont val="Arial"/>
        <family val="0"/>
        <charset val="1"/>
      </rPr>
      <t xml:space="preserve">0.176</t>
    </r>
    <r>
      <rPr>
        <sz val="10"/>
        <rFont val="WenQuanYi Zen Hei"/>
        <family val="2"/>
      </rPr>
      <t xml:space="preserve">）；淨損 −</t>
    </r>
    <r>
      <rPr>
        <sz val="10"/>
        <rFont val="Arial"/>
        <family val="0"/>
        <charset val="1"/>
      </rPr>
      <t xml:space="preserve">0.626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Adj. EBITDA 1.510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SBC 0.165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D&amp;A 1.393</t>
    </r>
    <r>
      <rPr>
        <sz val="10"/>
        <rFont val="WenQuanYi Zen Hei"/>
        <family val="2"/>
      </rPr>
      <t xml:space="preserve">；營業租賃成本 </t>
    </r>
    <r>
      <rPr>
        <sz val="10"/>
        <rFont val="Arial"/>
        <family val="0"/>
        <charset val="1"/>
      </rPr>
      <t xml:space="preserve">0.500</t>
    </r>
    <r>
      <rPr>
        <sz val="10"/>
        <rFont val="WenQuanYi Zen Hei"/>
        <family val="2"/>
      </rPr>
      <t xml:space="preserve">、變動租賃 </t>
    </r>
    <r>
      <rPr>
        <sz val="10"/>
        <rFont val="Arial"/>
        <family val="0"/>
        <charset val="1"/>
      </rPr>
      <t xml:space="preserve">0.150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</si>
  <si>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資產負債：現金 </t>
    </r>
    <r>
      <rPr>
        <sz val="10"/>
        <rFont val="Arial"/>
        <family val="0"/>
        <charset val="1"/>
      </rPr>
      <t xml:space="preserve">5.524</t>
    </r>
    <r>
      <rPr>
        <sz val="10"/>
        <rFont val="WenQuanYi Zen Hei"/>
        <family val="2"/>
      </rPr>
      <t xml:space="preserve">、受限 </t>
    </r>
    <r>
      <rPr>
        <sz val="10"/>
        <rFont val="Arial"/>
        <family val="0"/>
        <charset val="1"/>
      </rPr>
      <t xml:space="preserve">1.380</t>
    </r>
    <r>
      <rPr>
        <sz val="10"/>
        <rFont val="WenQuanYi Zen Hei"/>
        <family val="2"/>
      </rPr>
      <t xml:space="preserve">、有價證券 </t>
    </r>
    <r>
      <rPr>
        <sz val="10"/>
        <rFont val="Arial"/>
        <family val="0"/>
        <charset val="1"/>
      </rPr>
      <t xml:space="preserve">0.015</t>
    </r>
    <r>
      <rPr>
        <sz val="10"/>
        <rFont val="WenQuanYi Zen Hei"/>
        <family val="2"/>
      </rPr>
      <t xml:space="preserve">、可用額度 </t>
    </r>
    <r>
      <rPr>
        <sz val="10"/>
        <rFont val="Arial"/>
        <family val="0"/>
        <charset val="1"/>
      </rPr>
      <t xml:space="preserve">10.014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PP&amp;E 46.736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CIP 11.9</t>
    </r>
    <r>
      <rPr>
        <sz val="10"/>
        <rFont val="WenQuanYi Zen Hei"/>
        <family val="2"/>
      </rPr>
      <t xml:space="preserve">）；營業 </t>
    </r>
    <r>
      <rPr>
        <sz val="10"/>
        <rFont val="Arial"/>
        <family val="0"/>
        <charset val="1"/>
      </rPr>
      <t xml:space="preserve">ROU 16.595</t>
    </r>
    <r>
      <rPr>
        <sz val="10"/>
        <rFont val="WenQuanYi Zen Hei"/>
        <family val="2"/>
      </rPr>
      <t xml:space="preserve">；遞延收入 </t>
    </r>
    <r>
      <rPr>
        <sz val="10"/>
        <rFont val="Arial"/>
        <family val="0"/>
        <charset val="1"/>
      </rPr>
      <t xml:space="preserve">9.692</t>
    </r>
    <r>
      <rPr>
        <sz val="10"/>
        <rFont val="WenQuanYi Zen Hei"/>
        <family val="2"/>
      </rPr>
      <t xml:space="preserve">；債務本金 </t>
    </r>
    <r>
      <rPr>
        <sz val="10"/>
        <rFont val="Arial"/>
        <family val="0"/>
        <charset val="1"/>
      </rPr>
      <t xml:space="preserve">35.551</t>
    </r>
    <r>
      <rPr>
        <sz val="10"/>
        <rFont val="WenQuanYi Zen Hei"/>
        <family val="2"/>
      </rPr>
      <t xml:space="preserve">（追索淨 </t>
    </r>
    <r>
      <rPr>
        <sz val="10"/>
        <rFont val="Arial"/>
        <family val="0"/>
        <charset val="1"/>
      </rPr>
      <t xml:space="preserve">31.405</t>
    </r>
    <r>
      <rPr>
        <sz val="10"/>
        <rFont val="WenQuanYi Zen Hei"/>
        <family val="2"/>
      </rPr>
      <t xml:space="preserve">／非追索 </t>
    </r>
    <r>
      <rPr>
        <sz val="10"/>
        <rFont val="Arial"/>
        <family val="0"/>
        <charset val="1"/>
      </rPr>
      <t xml:space="preserve">3.663</t>
    </r>
    <r>
      <rPr>
        <sz val="10"/>
        <rFont val="WenQuanYi Zen Hei"/>
        <family val="2"/>
      </rPr>
      <t xml:space="preserve">）；股東權益 </t>
    </r>
    <r>
      <rPr>
        <sz val="10"/>
        <rFont val="Arial"/>
        <family val="0"/>
        <charset val="1"/>
      </rPr>
      <t xml:space="preserve">5.024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</si>
  <si>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RPO 103.7bn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backlog 104.2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41% </t>
    </r>
    <r>
      <rPr>
        <sz val="10"/>
        <rFont val="WenQuanYi Zen Hei"/>
        <family val="2"/>
      </rPr>
      <t xml:space="preserve">於 </t>
    </r>
    <r>
      <rPr>
        <sz val="10"/>
        <rFont val="Arial"/>
        <family val="0"/>
        <charset val="1"/>
      </rPr>
      <t xml:space="preserve">2028-06 </t>
    </r>
    <r>
      <rPr>
        <sz val="10"/>
        <rFont val="WenQuanYi Zen Hei"/>
        <family val="2"/>
      </rPr>
      <t xml:space="preserve">前、</t>
    </r>
    <r>
      <rPr>
        <sz val="10"/>
        <rFont val="Arial"/>
        <family val="0"/>
        <charset val="1"/>
      </rPr>
      <t xml:space="preserve">39% </t>
    </r>
    <r>
      <rPr>
        <sz val="10"/>
        <rFont val="WenQuanYi Zen Hei"/>
        <family val="2"/>
      </rPr>
      <t xml:space="preserve">於 </t>
    </r>
    <r>
      <rPr>
        <sz val="10"/>
        <rFont val="Arial"/>
        <family val="0"/>
        <charset val="1"/>
      </rPr>
      <t xml:space="preserve">25–48 </t>
    </r>
    <r>
      <rPr>
        <sz val="10"/>
        <rFont val="WenQuanYi Zen Hei"/>
        <family val="2"/>
      </rPr>
      <t xml:space="preserve">月、</t>
    </r>
    <r>
      <rPr>
        <sz val="10"/>
        <rFont val="Arial"/>
        <family val="0"/>
        <charset val="1"/>
      </rPr>
      <t xml:space="preserve">20% </t>
    </r>
    <r>
      <rPr>
        <sz val="10"/>
        <rFont val="WenQuanYi Zen Hei"/>
        <family val="2"/>
      </rPr>
      <t xml:space="preserve">於 </t>
    </r>
    <r>
      <rPr>
        <sz val="10"/>
        <rFont val="Arial"/>
        <family val="0"/>
        <charset val="1"/>
      </rPr>
      <t xml:space="preserve">49–78 </t>
    </r>
    <r>
      <rPr>
        <sz val="10"/>
        <rFont val="WenQuanYi Zen Hei"/>
        <family val="2"/>
      </rPr>
      <t xml:space="preserve">月。客戶集中：</t>
    </r>
    <r>
      <rPr>
        <sz val="10"/>
        <rFont val="Arial"/>
        <family val="0"/>
        <charset val="1"/>
      </rPr>
      <t xml:space="preserve">A 36%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B 26%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 10%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最高 </t>
    </r>
    <r>
      <rPr>
        <sz val="10"/>
        <rFont val="Arial"/>
        <family val="0"/>
        <charset val="1"/>
      </rPr>
      <t xml:space="preserve">6.5bn </t>
    </r>
    <r>
      <rPr>
        <sz val="10"/>
        <rFont val="WenQuanYi Zen Hei"/>
        <family val="2"/>
      </rPr>
      <t xml:space="preserve">至 </t>
    </r>
    <r>
      <rPr>
        <sz val="10"/>
        <rFont val="Arial"/>
        <family val="0"/>
        <charset val="1"/>
      </rPr>
      <t xml:space="preserve">2031-05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Meta </t>
    </r>
    <r>
      <rPr>
        <sz val="10"/>
        <rFont val="WenQuanYi Zen Hei"/>
        <family val="2"/>
      </rPr>
      <t xml:space="preserve">最高 </t>
    </r>
    <r>
      <rPr>
        <sz val="10"/>
        <rFont val="Arial"/>
        <family val="0"/>
        <charset val="1"/>
      </rPr>
      <t xml:space="preserve">21.0bn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Jane Street </t>
    </r>
    <r>
      <rPr>
        <sz val="10"/>
        <rFont val="WenQuanYi Zen Hei"/>
        <family val="2"/>
      </rPr>
      <t xml:space="preserve">約 </t>
    </r>
    <r>
      <rPr>
        <sz val="10"/>
        <rFont val="Arial"/>
        <family val="0"/>
        <charset val="1"/>
      </rPr>
      <t xml:space="preserve">6.0bn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</si>
  <si>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租賃與承諾：在帳未折現 </t>
    </r>
    <r>
      <rPr>
        <sz val="10"/>
        <rFont val="Arial"/>
        <family val="0"/>
        <charset val="1"/>
      </rPr>
      <t xml:space="preserve">29.135</t>
    </r>
    <r>
      <rPr>
        <sz val="10"/>
        <rFont val="WenQuanYi Zen Hei"/>
        <family val="2"/>
      </rPr>
      <t xml:space="preserve">（營業）＋</t>
    </r>
    <r>
      <rPr>
        <sz val="10"/>
        <rFont val="Arial"/>
        <family val="0"/>
        <charset val="1"/>
      </rPr>
      <t xml:space="preserve">0.235</t>
    </r>
    <r>
      <rPr>
        <sz val="10"/>
        <rFont val="WenQuanYi Zen Hei"/>
        <family val="2"/>
      </rPr>
      <t xml:space="preserve">（融資），</t>
    </r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後 </t>
    </r>
    <r>
      <rPr>
        <sz val="10"/>
        <rFont val="Arial"/>
        <family val="0"/>
        <charset val="1"/>
      </rPr>
      <t xml:space="preserve">19.023</t>
    </r>
    <r>
      <rPr>
        <sz val="10"/>
        <rFont val="WenQuanYi Zen Hei"/>
        <family val="2"/>
      </rPr>
      <t xml:space="preserve">；未起租租賃 </t>
    </r>
    <r>
      <rPr>
        <sz val="10"/>
        <rFont val="Arial"/>
        <family val="0"/>
        <charset val="1"/>
      </rPr>
      <t xml:space="preserve">35.5</t>
    </r>
    <r>
      <rPr>
        <sz val="10"/>
        <rFont val="WenQuanYi Zen Hei"/>
        <family val="2"/>
      </rPr>
      <t xml:space="preserve">；單站 </t>
    </r>
    <r>
      <rPr>
        <sz val="10"/>
        <rFont val="Arial"/>
        <family val="0"/>
        <charset val="1"/>
      </rPr>
      <t xml:space="preserve">393 MW </t>
    </r>
    <r>
      <rPr>
        <sz val="10"/>
        <rFont val="WenQuanYi Zen Hei"/>
        <family val="2"/>
      </rPr>
      <t xml:space="preserve">按造價計租上限 </t>
    </r>
    <r>
      <rPr>
        <sz val="10"/>
        <rFont val="Arial"/>
        <family val="0"/>
        <charset val="1"/>
      </rPr>
      <t xml:space="preserve">14.7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16 </t>
    </r>
    <r>
      <rPr>
        <sz val="10"/>
        <rFont val="WenQuanYi Zen Hei"/>
        <family val="2"/>
      </rPr>
      <t xml:space="preserve">年；</t>
    </r>
    <r>
      <rPr>
        <sz val="10"/>
        <rFont val="Arial"/>
        <family val="0"/>
        <charset val="1"/>
      </rPr>
      <t xml:space="preserve">355 MW </t>
    </r>
    <r>
      <rPr>
        <sz val="10"/>
        <rFont val="WenQuanYi Zen Hei"/>
        <family val="2"/>
      </rPr>
      <t xml:space="preserve">按造價計租（未定）；自備設備 </t>
    </r>
    <r>
      <rPr>
        <sz val="10"/>
        <rFont val="Arial"/>
        <family val="0"/>
        <charset val="1"/>
      </rPr>
      <t xml:space="preserve">0.5–1.2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承諾 </t>
    </r>
    <r>
      <rPr>
        <sz val="10"/>
        <rFont val="Arial"/>
        <family val="0"/>
        <charset val="1"/>
      </rPr>
      <t xml:space="preserve">1.7</t>
    </r>
    <r>
      <rPr>
        <sz val="10"/>
        <rFont val="WenQuanYi Zen Hei"/>
        <family val="2"/>
      </rPr>
      <t xml:space="preserve">（已付 </t>
    </r>
    <r>
      <rPr>
        <sz val="10"/>
        <rFont val="Arial"/>
        <family val="0"/>
        <charset val="1"/>
      </rPr>
      <t xml:space="preserve">0.55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VIE 0.108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</si>
  <si>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現金流（</t>
    </r>
    <r>
      <rPr>
        <sz val="10"/>
        <rFont val="Arial"/>
        <family val="0"/>
        <charset val="1"/>
      </rPr>
      <t xml:space="preserve">H1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CFO 3.663</t>
    </r>
    <r>
      <rPr>
        <sz val="10"/>
        <rFont val="WenQuanYi Zen Hei"/>
        <family val="2"/>
      </rPr>
      <t xml:space="preserve">；現金購置 </t>
    </r>
    <r>
      <rPr>
        <sz val="10"/>
        <rFont val="Arial"/>
        <family val="0"/>
        <charset val="1"/>
      </rPr>
      <t xml:space="preserve">PP&amp;E 14.117</t>
    </r>
    <r>
      <rPr>
        <sz val="10"/>
        <rFont val="WenQuanYi Zen Hei"/>
        <family val="2"/>
      </rPr>
      <t xml:space="preserve">；借款 </t>
    </r>
    <r>
      <rPr>
        <sz val="10"/>
        <rFont val="Arial"/>
        <family val="0"/>
        <charset val="1"/>
      </rPr>
      <t xml:space="preserve">16.747</t>
    </r>
    <r>
      <rPr>
        <sz val="10"/>
        <rFont val="WenQuanYi Zen Hei"/>
        <family val="2"/>
      </rPr>
      <t xml:space="preserve">、還款 </t>
    </r>
    <r>
      <rPr>
        <sz val="10"/>
        <rFont val="Arial"/>
        <family val="0"/>
        <charset val="1"/>
      </rPr>
      <t xml:space="preserve">5.219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capped call 0.492</t>
    </r>
    <r>
      <rPr>
        <sz val="10"/>
        <rFont val="WenQuanYi Zen Hei"/>
        <family val="2"/>
      </rPr>
      <t xml:space="preserve">；私募股權 </t>
    </r>
    <r>
      <rPr>
        <sz val="10"/>
        <rFont val="Arial"/>
        <family val="0"/>
        <charset val="1"/>
      </rPr>
      <t xml:space="preserve">2.982</t>
    </r>
    <r>
      <rPr>
        <sz val="10"/>
        <rFont val="WenQuanYi Zen Hei"/>
        <family val="2"/>
      </rPr>
      <t xml:space="preserve">。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認列口徑 </t>
    </r>
    <r>
      <rPr>
        <sz val="10"/>
        <rFont val="Arial"/>
        <family val="0"/>
        <charset val="1"/>
      </rPr>
      <t xml:space="preserve">Q2 9.352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H1 16.139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</si>
  <si>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9/17 8-K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2033 </t>
    </r>
    <r>
      <rPr>
        <sz val="10"/>
        <rFont val="WenQuanYi Zen Hei"/>
        <family val="2"/>
      </rPr>
      <t xml:space="preserve">可轉債 </t>
    </r>
    <r>
      <rPr>
        <sz val="10"/>
        <rFont val="Arial"/>
        <family val="0"/>
        <charset val="1"/>
      </rPr>
      <t xml:space="preserve">3.7bn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2.875%</t>
    </r>
    <r>
      <rPr>
        <sz val="10"/>
        <rFont val="WenQuanYi Zen Hei"/>
        <family val="2"/>
      </rPr>
      <t xml:space="preserve">、轉換價 </t>
    </r>
    <r>
      <rPr>
        <sz val="10"/>
        <rFont val="Arial"/>
        <family val="0"/>
        <charset val="1"/>
      </rPr>
      <t xml:space="preserve">$97.85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capped call </t>
    </r>
    <r>
      <rPr>
        <sz val="10"/>
        <rFont val="WenQuanYi Zen Hei"/>
        <family val="2"/>
      </rPr>
      <t xml:space="preserve">上限 </t>
    </r>
    <r>
      <rPr>
        <sz val="10"/>
        <rFont val="Arial"/>
        <family val="0"/>
        <charset val="1"/>
      </rPr>
      <t xml:space="preserve">$199.70</t>
    </r>
    <r>
      <rPr>
        <sz val="10"/>
        <rFont val="WenQuanYi Zen Hei"/>
        <family val="2"/>
      </rPr>
      <t xml:space="preserve">；股權分銷最多 </t>
    </r>
    <r>
      <rPr>
        <sz val="10"/>
        <rFont val="Arial"/>
        <family val="0"/>
        <charset val="1"/>
      </rPr>
      <t xml:space="preserve">35m </t>
    </r>
    <r>
      <rPr>
        <sz val="10"/>
        <rFont val="WenQuanYi Zen Hei"/>
        <family val="2"/>
      </rPr>
      <t xml:space="preserve">股；</t>
    </r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收盤 </t>
    </r>
    <r>
      <rPr>
        <sz val="10"/>
        <rFont val="Arial"/>
        <family val="0"/>
        <charset val="1"/>
      </rPr>
      <t xml:space="preserve">$79.88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</si>
  <si>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WenQuanYi Zen Hei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CRWV </t>
    </r>
    <r>
      <rPr>
        <sz val="10"/>
        <rFont val="WenQuanYi Zen Hei"/>
        <family val="2"/>
      </rPr>
      <t xml:space="preserve">現價 </t>
    </r>
    <r>
      <rPr>
        <sz val="10"/>
        <rFont val="Arial"/>
        <family val="0"/>
        <charset val="1"/>
      </rPr>
      <t xml:space="preserve">$90.13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2026-09-24 </t>
    </r>
    <r>
      <rPr>
        <sz val="10"/>
        <rFont val="WenQuanYi Zen Hei"/>
        <family val="2"/>
      </rPr>
      <t xml:space="preserve">收盤）、市值 </t>
    </r>
    <r>
      <rPr>
        <sz val="10"/>
        <rFont val="Arial"/>
        <family val="0"/>
        <charset val="1"/>
      </rPr>
      <t xml:space="preserve">47.12bn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2026-09-21</t>
    </r>
    <r>
      <rPr>
        <sz val="10"/>
        <rFont val="WenQuanYi Zen Hei"/>
        <family val="2"/>
      </rPr>
      <t xml:space="preserve">）、流通 </t>
    </r>
    <r>
      <rPr>
        <sz val="10"/>
        <rFont val="Arial"/>
        <family val="0"/>
        <charset val="1"/>
      </rPr>
      <t xml:space="preserve">551.54m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NBIS 63.81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WenQuanYi Zen Hei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NBIS 2.16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</si>
  <si>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賣方目標價（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WenQuanYi Zen Hei"/>
        <family val="2"/>
      </rPr>
      <t xml:space="preserve">（經 </t>
    </r>
    <r>
      <rPr>
        <sz val="10"/>
        <rFont val="Arial"/>
        <family val="0"/>
        <charset val="1"/>
      </rPr>
      <t xml:space="preserve">StockAnalysis.com</t>
    </r>
    <r>
      <rPr>
        <sz val="10"/>
        <rFont val="WenQuanYi Zen Hei"/>
        <family val="2"/>
      </rPr>
      <t xml:space="preserve">），擷取 </t>
    </r>
    <r>
      <rPr>
        <sz val="10"/>
        <rFont val="Arial"/>
        <family val="0"/>
        <charset val="1"/>
      </rPr>
      <t xml:space="preserve">2026-09-25</t>
    </r>
    <r>
      <rPr>
        <sz val="10"/>
        <rFont val="WenQuanYi Zen Hei"/>
        <family val="2"/>
      </rPr>
      <t xml:space="preserve">）：平均 </t>
    </r>
    <r>
      <rPr>
        <sz val="10"/>
        <rFont val="Arial"/>
        <family val="0"/>
        <charset val="1"/>
      </rPr>
      <t xml:space="preserve">$140.81</t>
    </r>
    <r>
      <rPr>
        <sz val="10"/>
        <rFont val="WenQuanYi Zen Hei"/>
        <family val="2"/>
      </rPr>
      <t xml:space="preserve">、中位數 </t>
    </r>
    <r>
      <rPr>
        <sz val="10"/>
        <rFont val="Arial"/>
        <family val="0"/>
        <charset val="1"/>
      </rPr>
      <t xml:space="preserve">$140.00</t>
    </r>
    <r>
      <rPr>
        <sz val="10"/>
        <rFont val="WenQuanYi Zen Hei"/>
        <family val="2"/>
      </rPr>
      <t xml:space="preserve">、區間 </t>
    </r>
    <r>
      <rPr>
        <sz val="10"/>
        <rFont val="Arial"/>
        <family val="0"/>
        <charset val="1"/>
      </rPr>
      <t xml:space="preserve">$39.00–$317.00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40 </t>
    </r>
    <r>
      <rPr>
        <sz val="10"/>
        <rFont val="WenQuanYi Zen Hei"/>
        <family val="2"/>
      </rPr>
      <t xml:space="preserve">家）；共識評等 </t>
    </r>
    <r>
      <rPr>
        <sz val="10"/>
        <rFont val="Arial"/>
        <family val="0"/>
        <charset val="1"/>
      </rPr>
      <t xml:space="preserve">Buy</t>
    </r>
    <r>
      <rPr>
        <sz val="10"/>
        <rFont val="WenQuanYi Zen Hei"/>
        <family val="2"/>
      </rPr>
      <t xml:space="preserve">。對照 </t>
    </r>
    <r>
      <rPr>
        <sz val="10"/>
        <rFont val="Arial"/>
        <family val="0"/>
        <charset val="1"/>
      </rPr>
      <t xml:space="preserve">MarketScreener</t>
    </r>
    <r>
      <rPr>
        <sz val="10"/>
        <rFont val="WenQuanYi Zen Hei"/>
        <family val="2"/>
      </rPr>
      <t xml:space="preserve">（同為 </t>
    </r>
    <r>
      <rPr>
        <sz val="10"/>
        <rFont val="Arial"/>
        <family val="0"/>
        <charset val="1"/>
      </rPr>
      <t xml:space="preserve">S&amp;P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FactSet </t>
    </r>
    <r>
      <rPr>
        <sz val="10"/>
        <rFont val="WenQuanYi Zen Hei"/>
        <family val="2"/>
      </rPr>
      <t xml:space="preserve">資料，非獨立）：平均 </t>
    </r>
    <r>
      <rPr>
        <sz val="10"/>
        <rFont val="Arial"/>
        <family val="0"/>
        <charset val="1"/>
      </rPr>
      <t xml:space="preserve">$140.95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40 </t>
    </r>
    <r>
      <rPr>
        <sz val="10"/>
        <rFont val="WenQuanYi Zen Hei"/>
        <family val="2"/>
      </rPr>
      <t xml:space="preserve">家，</t>
    </r>
    <r>
      <rPr>
        <sz val="10"/>
        <rFont val="Arial"/>
        <family val="0"/>
        <charset val="1"/>
      </rPr>
      <t xml:space="preserve">Outperform</t>
    </r>
    <r>
      <rPr>
        <sz val="10"/>
        <rFont val="WenQuanYi Zen Hei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WenQuanYi Zen Hei"/>
        <family val="2"/>
      </rPr>
      <t xml:space="preserve">區。</t>
    </r>
  </si>
  <si>
    <r>
      <rPr>
        <sz val="10"/>
        <rFont val="WenQuanYi Zen Hei"/>
        <family val="2"/>
      </rPr>
      <t xml:space="preserve">法說（</t>
    </r>
    <r>
      <rPr>
        <sz val="10"/>
        <rFont val="Arial"/>
        <family val="0"/>
        <charset val="1"/>
      </rPr>
      <t xml:space="preserve">8/11</t>
    </r>
    <r>
      <rPr>
        <sz val="10"/>
        <rFont val="WenQuanYi Zen Hei"/>
        <family val="2"/>
      </rPr>
      <t xml:space="preserve">）：主動電力 </t>
    </r>
    <r>
      <rPr>
        <sz val="10"/>
        <rFont val="Arial"/>
        <family val="0"/>
        <charset val="1"/>
      </rPr>
      <t xml:space="preserve">1.5 GW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Q2 +</t>
    </r>
    <r>
      <rPr>
        <sz val="10"/>
        <rFont val="WenQuanYi Zen Hei"/>
        <family val="2"/>
      </rPr>
      <t xml:space="preserve">近 </t>
    </r>
    <r>
      <rPr>
        <sz val="10"/>
        <rFont val="Arial"/>
        <family val="0"/>
        <charset val="1"/>
      </rPr>
      <t xml:space="preserve">500 MW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6 </t>
    </r>
    <r>
      <rPr>
        <sz val="10"/>
        <rFont val="WenQuanYi Zen Hei"/>
        <family val="2"/>
      </rPr>
      <t xml:space="preserve">月 </t>
    </r>
    <r>
      <rPr>
        <sz val="10"/>
        <rFont val="Arial"/>
        <family val="0"/>
        <charset val="1"/>
      </rPr>
      <t xml:space="preserve">+300 MW</t>
    </r>
    <r>
      <rPr>
        <sz val="10"/>
        <rFont val="WenQuanYi Zen Hei"/>
        <family val="2"/>
      </rPr>
      <t xml:space="preserve">）；簽約 </t>
    </r>
    <r>
      <rPr>
        <sz val="10"/>
        <rFont val="Arial"/>
        <family val="0"/>
        <charset val="1"/>
      </rPr>
      <t xml:space="preserve">4.2 GW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2030 ≥8 GW</t>
    </r>
    <r>
      <rPr>
        <sz val="10"/>
        <rFont val="WenQuanYi Zen Hei"/>
        <family val="2"/>
      </rPr>
      <t xml:space="preserve">；近期產能實質售罄；</t>
    </r>
    <r>
      <rPr>
        <sz val="10"/>
        <rFont val="Arial"/>
        <family val="0"/>
        <charset val="1"/>
      </rPr>
      <t xml:space="preserve">7 </t>
    </r>
    <r>
      <rPr>
        <sz val="10"/>
        <rFont val="WenQuanYi Zen Hei"/>
        <family val="2"/>
      </rPr>
      <t xml:space="preserve">月 </t>
    </r>
    <r>
      <rPr>
        <sz val="10"/>
        <rFont val="Arial"/>
        <family val="0"/>
        <charset val="1"/>
      </rPr>
      <t xml:space="preserve">SKU </t>
    </r>
    <r>
      <rPr>
        <sz val="10"/>
        <rFont val="WenQuanYi Zen Hei"/>
        <family val="2"/>
      </rPr>
      <t xml:space="preserve">漲價約 </t>
    </r>
    <r>
      <rPr>
        <sz val="10"/>
        <rFont val="Arial"/>
        <family val="0"/>
        <charset val="1"/>
      </rPr>
      <t xml:space="preserve">25%</t>
    </r>
    <r>
      <rPr>
        <sz val="10"/>
        <rFont val="WenQuanYi Zen Hei"/>
        <family val="2"/>
      </rPr>
      <t xml:space="preserve">；全年營收 </t>
    </r>
    <r>
      <rPr>
        <sz val="10"/>
        <rFont val="Arial"/>
        <family val="0"/>
        <charset val="1"/>
      </rPr>
      <t xml:space="preserve">12.4–13.2</t>
    </r>
    <r>
      <rPr>
        <sz val="10"/>
        <rFont val="WenQuanYi Zen Hei"/>
        <family val="2"/>
      </rPr>
      <t xml:space="preserve">、調整後營益 </t>
    </r>
    <r>
      <rPr>
        <sz val="10"/>
        <rFont val="Arial"/>
        <family val="0"/>
        <charset val="1"/>
      </rPr>
      <t xml:space="preserve">0.96–1.15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CapEx 35–39</t>
    </r>
    <r>
      <rPr>
        <sz val="10"/>
        <rFont val="WenQuanYi Zen Hei"/>
        <family val="2"/>
      </rPr>
      <t xml:space="preserve">、期末 </t>
    </r>
    <r>
      <rPr>
        <sz val="10"/>
        <rFont val="Arial"/>
        <family val="0"/>
        <charset val="1"/>
      </rPr>
      <t xml:space="preserve">ARR 18.5–19.5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3.45–3.6</t>
    </r>
    <r>
      <rPr>
        <sz val="10"/>
        <rFont val="WenQuanYi Zen Hei"/>
        <family val="2"/>
      </rPr>
      <t xml:space="preserve">、利息 </t>
    </r>
    <r>
      <rPr>
        <sz val="10"/>
        <rFont val="Arial"/>
        <family val="0"/>
        <charset val="1"/>
      </rPr>
      <t xml:space="preserve">0.86–0.94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CapEx 11.5–13.5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</si>
  <si>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投資人簡報：</t>
    </r>
    <r>
      <rPr>
        <sz val="10"/>
        <rFont val="Arial"/>
        <family val="0"/>
        <charset val="1"/>
      </rPr>
      <t xml:space="preserve">Q2 pro forma </t>
    </r>
    <r>
      <rPr>
        <sz val="10"/>
        <rFont val="WenQuanYi Zen Hei"/>
        <family val="2"/>
      </rPr>
      <t xml:space="preserve">總債務 </t>
    </r>
    <r>
      <rPr>
        <sz val="10"/>
        <rFont val="Arial"/>
        <family val="0"/>
        <charset val="1"/>
      </rPr>
      <t xml:space="preserve">38.6bn</t>
    </r>
    <r>
      <rPr>
        <sz val="10"/>
        <rFont val="WenQuanYi Zen Hei"/>
        <family val="2"/>
      </rPr>
      <t xml:space="preserve">；加權利率 </t>
    </r>
    <r>
      <rPr>
        <sz val="10"/>
        <rFont val="Arial"/>
        <family val="0"/>
        <charset val="1"/>
      </rPr>
      <t xml:space="preserve">FY23 14.9% → Q2 8.3% → pro forma 7.8%</t>
    </r>
    <r>
      <rPr>
        <sz val="10"/>
        <rFont val="WenQuanYi Zen Hei"/>
        <family val="2"/>
      </rPr>
      <t xml:space="preserve">；總債務／</t>
    </r>
    <r>
      <rPr>
        <sz val="10"/>
        <rFont val="Arial"/>
        <family val="0"/>
        <charset val="1"/>
      </rPr>
      <t xml:space="preserve">backlog 0.4x</t>
    </r>
    <r>
      <rPr>
        <sz val="10"/>
        <rFont val="WenQuanYi Zen Hei"/>
        <family val="2"/>
      </rPr>
      <t xml:space="preserve">；歷年 </t>
    </r>
    <r>
      <rPr>
        <sz val="10"/>
        <rFont val="Arial"/>
        <family val="0"/>
        <charset val="1"/>
      </rPr>
      <t xml:space="preserve">backlog 9.9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15.1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66.8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104.2</t>
    </r>
    <r>
      <rPr>
        <sz val="10"/>
        <rFont val="WenQuanYi Zen Hei"/>
        <family val="2"/>
      </rPr>
      <t xml:space="preserve">。</t>
    </r>
  </si>
  <si>
    <t xml:space="preserve">User-provided</t>
  </si>
  <si>
    <r>
      <rPr>
        <sz val="10"/>
        <rFont val="Arial"/>
        <family val="0"/>
        <charset val="1"/>
      </rPr>
      <t xml:space="preserve">5Y CDS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2026-09</t>
    </r>
    <r>
      <rPr>
        <sz val="10"/>
        <rFont val="WenQuanYi Zen Hei"/>
        <family val="2"/>
      </rPr>
      <t xml:space="preserve">）：中價 </t>
    </r>
    <r>
      <rPr>
        <sz val="10"/>
        <rFont val="Arial"/>
        <family val="0"/>
        <charset val="1"/>
      </rPr>
      <t xml:space="preserve">720bps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Bid/Ask 690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750</t>
    </r>
    <r>
      <rPr>
        <sz val="10"/>
        <rFont val="WenQuanYi Zen Hei"/>
        <family val="2"/>
      </rPr>
      <t xml:space="preserve">、近期區間 </t>
    </r>
    <r>
      <rPr>
        <sz val="10"/>
        <rFont val="Arial"/>
        <family val="0"/>
        <charset val="1"/>
      </rPr>
      <t xml:space="preserve">680–855</t>
    </r>
    <r>
      <rPr>
        <sz val="10"/>
        <rFont val="WenQuanYi Zen Hei"/>
        <family val="2"/>
      </rPr>
      <t xml:space="preserve">（對照 </t>
    </r>
    <r>
      <rPr>
        <sz val="10"/>
        <rFont val="Arial"/>
        <family val="0"/>
        <charset val="1"/>
      </rPr>
      <t xml:space="preserve">7/28 </t>
    </r>
    <r>
      <rPr>
        <sz val="10"/>
        <rFont val="WenQuanYi Zen Hei"/>
        <family val="2"/>
      </rPr>
      <t xml:space="preserve">峰值 </t>
    </r>
    <r>
      <rPr>
        <sz val="10"/>
        <rFont val="Arial"/>
        <family val="0"/>
        <charset val="1"/>
      </rPr>
      <t xml:space="preserve">855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6 </t>
    </r>
    <r>
      <rPr>
        <sz val="10"/>
        <rFont val="WenQuanYi Zen Hei"/>
        <family val="2"/>
      </rPr>
      <t xml:space="preserve">月低點 </t>
    </r>
    <r>
      <rPr>
        <sz val="10"/>
        <rFont val="Arial"/>
        <family val="0"/>
        <charset val="1"/>
      </rPr>
      <t xml:space="preserve">452</t>
    </r>
    <r>
      <rPr>
        <sz val="10"/>
        <rFont val="WenQuanYi Zen Hei"/>
        <family val="2"/>
      </rPr>
      <t xml:space="preserve">）。</t>
    </r>
  </si>
  <si>
    <t xml:space="preserve">Derived</t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</si>
  <si>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桶內線性分攤（</t>
    </r>
    <r>
      <rPr>
        <sz val="10"/>
        <rFont val="Arial"/>
        <family val="0"/>
        <charset val="1"/>
      </rPr>
      <t xml:space="preserve">41/39/20 → </t>
    </r>
    <r>
      <rPr>
        <sz val="10"/>
        <rFont val="WenQuanYi Zen Hei"/>
        <family val="2"/>
      </rPr>
      <t xml:space="preserve">五期 </t>
    </r>
    <r>
      <rPr>
        <sz val="10"/>
        <rFont val="Arial"/>
        <family val="0"/>
        <charset val="1"/>
      </rPr>
      <t xml:space="preserve">10.25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20.5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19.5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13.75%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率＝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v2.3 </t>
    </r>
    <r>
      <rPr>
        <sz val="10"/>
        <rFont val="WenQuanYi Zen Hei"/>
        <family val="2"/>
      </rPr>
      <t xml:space="preserve">起與損益連動）；客戶預付率 </t>
    </r>
    <r>
      <rPr>
        <sz val="10"/>
        <rFont val="Arial"/>
        <family val="0"/>
        <charset val="1"/>
      </rPr>
      <t xml:space="preserve">8.5%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rev/MW </t>
    </r>
    <r>
      <rPr>
        <sz val="10"/>
        <rFont val="WenQuanYi Zen Hei"/>
        <family val="2"/>
      </rPr>
      <t xml:space="preserve">錨 </t>
    </r>
    <r>
      <rPr>
        <sz val="10"/>
        <rFont val="Arial"/>
        <family val="0"/>
        <charset val="1"/>
      </rPr>
      <t xml:space="preserve">10.0–10.5M/MW</t>
    </r>
    <r>
      <rPr>
        <sz val="10"/>
        <rFont val="WenQuanYi Zen Hei"/>
        <family val="2"/>
      </rPr>
      <t xml:space="preserve">。</t>
    </r>
  </si>
  <si>
    <t xml:space="preserve">Assumed</t>
  </si>
  <si>
    <r>
      <rPr>
        <sz val="10"/>
        <rFont val="Arial"/>
        <family val="0"/>
        <charset val="1"/>
      </rPr>
      <t xml:space="preserve">FY27–30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CapEx 45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45</t>
    </r>
    <r>
      <rPr>
        <sz val="10"/>
        <rFont val="WenQuanYi Zen Hei"/>
        <family val="2"/>
      </rPr>
      <t xml:space="preserve">；新產能簽約率 </t>
    </r>
    <r>
      <rPr>
        <sz val="10"/>
        <rFont val="Arial"/>
        <family val="0"/>
        <charset val="1"/>
      </rPr>
      <t xml:space="preserve">100→80%</t>
    </r>
    <r>
      <rPr>
        <sz val="10"/>
        <rFont val="WenQuanYi Zen Hei"/>
        <family val="2"/>
      </rPr>
      <t xml:space="preserve">；表外現金租金 </t>
    </r>
    <r>
      <rPr>
        <sz val="10"/>
        <rFont val="Arial"/>
        <family val="0"/>
        <charset val="1"/>
      </rPr>
      <t xml:space="preserve">0.3→4.6</t>
    </r>
    <r>
      <rPr>
        <sz val="10"/>
        <rFont val="WenQuanYi Zen Hei"/>
        <family val="2"/>
      </rPr>
      <t xml:space="preserve">；違約率 </t>
    </r>
    <r>
      <rPr>
        <sz val="10"/>
        <rFont val="Arial"/>
        <family val="0"/>
        <charset val="1"/>
      </rPr>
      <t xml:space="preserve">0.5→2.5%</t>
    </r>
    <r>
      <rPr>
        <sz val="10"/>
        <rFont val="WenQuanYi Zen Hei"/>
        <family val="2"/>
      </rPr>
      <t xml:space="preserve">；瀑布新債利率 </t>
    </r>
    <r>
      <rPr>
        <sz val="10"/>
        <rFont val="Arial"/>
        <family val="0"/>
        <charset val="1"/>
      </rPr>
      <t xml:space="preserve">9%</t>
    </r>
    <r>
      <rPr>
        <sz val="10"/>
        <rFont val="WenQuanYi Zen Hei"/>
        <family val="2"/>
      </rPr>
      <t xml:space="preserve">；債務／</t>
    </r>
    <r>
      <rPr>
        <sz val="10"/>
        <rFont val="Arial"/>
        <family val="0"/>
        <charset val="1"/>
      </rPr>
      <t xml:space="preserve">backlog 1.0x</t>
    </r>
    <r>
      <rPr>
        <sz val="10"/>
        <rFont val="WenQuanYi Zen Hei"/>
        <family val="2"/>
      </rPr>
      <t xml:space="preserve">（敏感度 </t>
    </r>
    <r>
      <rPr>
        <sz val="10"/>
        <rFont val="Arial"/>
        <family val="0"/>
        <charset val="1"/>
      </rPr>
      <t xml:space="preserve">0.4x</t>
    </r>
    <r>
      <rPr>
        <sz val="10"/>
        <rFont val="WenQuanYi Zen Hei"/>
        <family val="2"/>
      </rPr>
      <t xml:space="preserve">）；起始／穩態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65%</t>
    </r>
    <r>
      <rPr>
        <sz val="10"/>
        <rFont val="WenQuanYi Zen Hei"/>
        <family val="2"/>
      </rPr>
      <t xml:space="preserve">（敏感度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70%</t>
    </r>
    <r>
      <rPr>
        <sz val="10"/>
        <rFont val="WenQuanYi Zen Hei"/>
        <family val="2"/>
      </rPr>
      <t xml:space="preserve">）；最低現金 </t>
    </r>
    <r>
      <rPr>
        <sz val="10"/>
        <rFont val="Arial"/>
        <family val="0"/>
        <charset val="1"/>
      </rPr>
      <t xml:space="preserve">2.0</t>
    </r>
    <r>
      <rPr>
        <sz val="10"/>
        <rFont val="WenQuanYi Zen Hei"/>
        <family val="2"/>
      </rPr>
      <t xml:space="preserve">；股權折價 </t>
    </r>
    <r>
      <rPr>
        <sz val="10"/>
        <rFont val="Arial"/>
        <family val="0"/>
        <charset val="1"/>
      </rPr>
      <t xml:space="preserve">10%</t>
    </r>
    <r>
      <rPr>
        <sz val="10"/>
        <rFont val="WenQuanYi Zen Hei"/>
        <family val="2"/>
      </rPr>
      <t xml:space="preserve">；非算力服務營收 </t>
    </r>
    <r>
      <rPr>
        <sz val="10"/>
        <rFont val="Arial"/>
        <family val="0"/>
        <charset val="1"/>
      </rPr>
      <t xml:space="preserve">0.3→3.8</t>
    </r>
    <r>
      <rPr>
        <sz val="10"/>
        <rFont val="WenQuanYi Zen Hei"/>
        <family val="2"/>
      </rPr>
      <t xml:space="preserve">；終值維持性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占 </t>
    </r>
    <r>
      <rPr>
        <sz val="10"/>
        <rFont val="Arial"/>
        <family val="0"/>
        <charset val="1"/>
      </rPr>
      <t xml:space="preserve">D&amp;A 80%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</si>
  <si>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房東揭露：</t>
    </r>
    <r>
      <rPr>
        <sz val="10"/>
        <rFont val="Arial"/>
        <family val="0"/>
        <charset val="1"/>
      </rPr>
      <t xml:space="preserve">Galaxy Helios 526 MW</t>
    </r>
    <r>
      <rPr>
        <sz val="10"/>
        <rFont val="WenQuanYi Zen Hei"/>
        <family val="2"/>
      </rPr>
      <t xml:space="preserve">、年均 </t>
    </r>
    <r>
      <rPr>
        <sz val="10"/>
        <rFont val="Arial"/>
        <family val="0"/>
        <charset val="1"/>
      </rPr>
      <t xml:space="preserve">&gt;$1bn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15 </t>
    </r>
    <r>
      <rPr>
        <sz val="10"/>
        <rFont val="WenQuanYi Zen Hei"/>
        <family val="2"/>
      </rPr>
      <t xml:space="preserve">年（</t>
    </r>
    <r>
      <rPr>
        <sz val="10"/>
        <rFont val="Arial"/>
        <family val="0"/>
        <charset val="1"/>
      </rPr>
      <t xml:space="preserve">2026-07-06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Applied Digital Polaris Forge 1 400 MW</t>
    </r>
    <r>
      <rPr>
        <sz val="10"/>
        <rFont val="WenQuanYi Zen Hei"/>
        <family val="2"/>
      </rPr>
      <t xml:space="preserve">、約 </t>
    </r>
    <r>
      <rPr>
        <sz val="10"/>
        <rFont val="Arial"/>
        <family val="0"/>
        <charset val="1"/>
      </rPr>
      <t xml:space="preserve">$11bn</t>
    </r>
    <r>
      <rPr>
        <sz val="10"/>
        <rFont val="WenQuanYi Zen Hei"/>
        <family val="2"/>
      </rPr>
      <t xml:space="preserve">、約 </t>
    </r>
    <r>
      <rPr>
        <sz val="10"/>
        <rFont val="Arial"/>
        <family val="0"/>
        <charset val="1"/>
      </rPr>
      <t xml:space="preserve">15 </t>
    </r>
    <r>
      <rPr>
        <sz val="10"/>
        <rFont val="WenQuanYi Zen Hei"/>
        <family val="2"/>
      </rPr>
      <t xml:space="preserve">年（</t>
    </r>
    <r>
      <rPr>
        <sz val="10"/>
        <rFont val="Arial"/>
        <family val="0"/>
        <charset val="1"/>
      </rPr>
      <t xml:space="preserve">2025-08-29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Core Scientific </t>
    </r>
    <r>
      <rPr>
        <sz val="10"/>
        <rFont val="WenQuanYi Zen Hei"/>
        <family val="2"/>
      </rPr>
      <t xml:space="preserve">約 </t>
    </r>
    <r>
      <rPr>
        <sz val="10"/>
        <rFont val="Arial"/>
        <family val="0"/>
        <charset val="1"/>
      </rPr>
      <t xml:space="preserve">590 MW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$10.2bn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12 </t>
    </r>
    <r>
      <rPr>
        <sz val="10"/>
        <rFont val="WenQuanYi Zen Hei"/>
        <family val="2"/>
      </rPr>
      <t xml:space="preserve">年（</t>
    </r>
    <r>
      <rPr>
        <sz val="10"/>
        <rFont val="Arial"/>
        <family val="0"/>
        <charset val="1"/>
      </rPr>
      <t xml:space="preserve">2025-02-26</t>
    </r>
    <r>
      <rPr>
        <sz val="10"/>
        <rFont val="WenQuanYi Zen Hei"/>
        <family val="2"/>
      </rPr>
      <t xml:space="preserve">）。</t>
    </r>
    <r>
      <rPr>
        <sz val="10"/>
        <rFont val="Arial"/>
        <family val="0"/>
        <charset val="1"/>
      </rPr>
      <t xml:space="preserve">Q4 2025 </t>
    </r>
    <r>
      <rPr>
        <sz val="10"/>
        <rFont val="WenQuanYi Zen Hei"/>
        <family val="2"/>
      </rPr>
      <t xml:space="preserve">法說：年底主動電力 </t>
    </r>
    <r>
      <rPr>
        <sz val="10"/>
        <rFont val="Arial"/>
        <family val="0"/>
        <charset val="1"/>
      </rPr>
      <t xml:space="preserve">&gt;850 MW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2025 CapEx 14.9bn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</si>
  <si>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10-Q Note 10 </t>
    </r>
    <r>
      <rPr>
        <sz val="10"/>
        <rFont val="WenQuanYi Zen Hei"/>
        <family val="2"/>
      </rPr>
      <t xml:space="preserve">債務逐筆（有效利率）：</t>
    </r>
    <r>
      <rPr>
        <sz val="10"/>
        <rFont val="Arial"/>
        <family val="0"/>
        <charset val="1"/>
      </rPr>
      <t xml:space="preserve">DDTL 1.0 1.300@15%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2.0 3.190@11%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2.1 3.000@9%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3.0 2.215@9%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5.0 1.101@9%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4.0 2.837@7%</t>
    </r>
    <r>
      <rPr>
        <sz val="10"/>
        <rFont val="WenQuanYi Zen Hei"/>
        <family val="2"/>
      </rPr>
      <t xml:space="preserve">（非追索）；票據 </t>
    </r>
    <r>
      <rPr>
        <sz val="10"/>
        <rFont val="Arial"/>
        <family val="0"/>
        <charset val="1"/>
      </rPr>
      <t xml:space="preserve">2030 2.000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2031 1.750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2.750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2032 1.250@10%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EUR 2.279@9%</t>
    </r>
    <r>
      <rPr>
        <sz val="10"/>
        <rFont val="WenQuanYi Zen Hei"/>
        <family val="2"/>
      </rPr>
      <t xml:space="preserve">；可轉債 </t>
    </r>
    <r>
      <rPr>
        <sz val="10"/>
        <rFont val="Arial"/>
        <family val="0"/>
        <charset val="1"/>
      </rPr>
      <t xml:space="preserve">2.588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4.000@2%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OEM 4.220@11%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0.882@9%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Magnetar 0.189@12%</t>
    </r>
    <r>
      <rPr>
        <sz val="10"/>
        <rFont val="WenQuanYi Zen Hei"/>
        <family val="2"/>
      </rPr>
      <t xml:space="preserve">。</t>
    </r>
    <r>
      <rPr>
        <sz val="10"/>
        <rFont val="Arial"/>
        <family val="0"/>
        <charset val="1"/>
      </rPr>
      <t xml:space="preserve">Note 3</t>
    </r>
    <r>
      <rPr>
        <sz val="10"/>
        <rFont val="WenQuanYi Zen Hei"/>
        <family val="2"/>
      </rPr>
      <t xml:space="preserve">：兩個 </t>
    </r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承諾最高 </t>
    </r>
    <r>
      <rPr>
        <sz val="10"/>
        <rFont val="Arial"/>
        <family val="0"/>
        <charset val="1"/>
      </rPr>
      <t xml:space="preserve">1.7</t>
    </r>
    <r>
      <rPr>
        <sz val="10"/>
        <rFont val="WenQuanYi Zen Hei"/>
        <family val="2"/>
      </rPr>
      <t xml:space="preserve">，預計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年內履行，之後須追加出資；新澤西 </t>
    </r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持股 </t>
    </r>
    <r>
      <rPr>
        <sz val="10"/>
        <rFont val="Arial"/>
        <family val="0"/>
        <charset val="1"/>
      </rPr>
      <t xml:space="preserve">35%</t>
    </r>
    <r>
      <rPr>
        <sz val="10"/>
        <rFont val="WenQuanYi Zen Hei"/>
        <family val="2"/>
      </rPr>
      <t xml:space="preserve">，租金依建造成本計。</t>
    </r>
  </si>
  <si>
    <t xml:space="preserve">方法</t>
  </si>
  <si>
    <r>
      <rPr>
        <sz val="10"/>
        <rFont val="Arial"/>
        <family val="0"/>
        <charset val="1"/>
      </rPr>
      <t xml:space="preserve">v2.0 </t>
    </r>
    <r>
      <rPr>
        <sz val="10"/>
        <rFont val="WenQuanYi Zen Hei"/>
        <family val="2"/>
      </rPr>
      <t xml:space="preserve">期前融資瀑布：額度→資產層新債（總債務 ≤ 債務</t>
    </r>
    <r>
      <rPr>
        <sz val="10"/>
        <rFont val="Arial"/>
        <family val="0"/>
        <charset val="1"/>
      </rPr>
      <t xml:space="preserve">/backlog </t>
    </r>
    <r>
      <rPr>
        <sz val="10"/>
        <rFont val="WenQuanYi Zen Hei"/>
        <family val="2"/>
      </rPr>
      <t xml:space="preserve">上限）→股權殘差；舊版假設缺口全額舉債且無上限（透支利息＝利息、扣缺口＝本金），</t>
    </r>
    <r>
      <rPr>
        <sz val="10"/>
        <rFont val="Arial"/>
        <family val="0"/>
        <charset val="1"/>
      </rPr>
      <t xml:space="preserve">v2.0 </t>
    </r>
    <r>
      <rPr>
        <sz val="10"/>
        <rFont val="WenQuanYi Zen Hei"/>
        <family val="2"/>
      </rPr>
      <t xml:space="preserve">改為債務設上限、殘差以股權支應。</t>
    </r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</si>
</sst>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0.0000"/>
    <numFmt numFmtId="172" formatCode="0.00"/>
    <numFmt numFmtId="173" formatCode="0.000"/>
    <numFmt numFmtId="174" formatCode="@"/>
    <numFmt numFmtId="175" formatCode="#,##0.000"/>
    <numFmt numFmtId="176" formatCode="0.00%"/>
    <numFmt numFmtId="177" formatCode="0.0000%"/>
    <numFmt numFmtId="178" formatCode="0.000000"/>
    <numFmt numFmtId="179" formatCode="0.000%"/>
    <numFmt numFmtId="180" formatCode="0.00\x"/>
    <numFmt numFmtId="181" formatCode="0.0"/>
    <numFmt numFmtId="182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WenQuanYi Zen Hei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WenQuanYi Zen Hei"/>
      <family val="2"/>
    </font>
    <font>
      <sz val="11"/>
      <color theme="1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3F1E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8"/>
  </cols>
  <sheetData>
    <row r="1" customFormat="false" ht="19.4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4.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4.15" hidden="false" customHeight="false" outlineLevel="0" collapsed="false">
      <c r="A8" s="3" t="s">
        <v>5</v>
      </c>
    </row>
    <row r="9" customFormat="false" ht="14.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4.15" hidden="false" customHeight="false" outlineLevel="0" collapsed="false">
      <c r="A11" s="3" t="s">
        <v>8</v>
      </c>
    </row>
    <row r="12" customFormat="false" ht="14.15" hidden="false" customHeight="false" outlineLevel="0" collapsed="false">
      <c r="A12" s="3" t="s">
        <v>9</v>
      </c>
    </row>
    <row r="13" customFormat="false" ht="14.15" hidden="false" customHeight="false" outlineLevel="0" collapsed="false">
      <c r="A13" s="3" t="s">
        <v>10</v>
      </c>
    </row>
    <row r="14" customFormat="false" ht="14.15" hidden="false" customHeight="false" outlineLevel="0" collapsed="false">
      <c r="A14" s="3" t="s">
        <v>11</v>
      </c>
    </row>
    <row r="15" customFormat="false" ht="14.15" hidden="false" customHeight="false" outlineLevel="0" collapsed="false">
      <c r="A15" s="3" t="s">
        <v>12</v>
      </c>
    </row>
    <row r="16" customFormat="false" ht="14.15" hidden="false" customHeight="false" outlineLevel="0" collapsed="false">
      <c r="A16" s="3" t="s">
        <v>13</v>
      </c>
    </row>
    <row r="17" customFormat="false" ht="14.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4.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3" t="s">
        <v>20</v>
      </c>
    </row>
    <row r="27" customFormat="false" ht="14.15" hidden="false" customHeight="false" outlineLevel="0" collapsed="false">
      <c r="A27" s="4" t="s">
        <v>21</v>
      </c>
    </row>
    <row r="28" customFormat="false" ht="14.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3" t="s">
        <v>23</v>
      </c>
    </row>
    <row r="30" customFormat="false" ht="14.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 t="s">
        <v>25</v>
      </c>
    </row>
    <row r="32" customFormat="false" ht="15" hidden="false" customHeight="false" outlineLevel="0" collapsed="false">
      <c r="A32" s="3"/>
    </row>
    <row r="33" customFormat="false" ht="15" hidden="false" customHeight="false" outlineLevel="0" collapsed="false">
      <c r="A33" s="3" t="s">
        <v>26</v>
      </c>
    </row>
    <row r="34" customFormat="false" ht="14.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 t="s">
        <v>28</v>
      </c>
    </row>
    <row r="36" customFormat="false" ht="14.15" hidden="false" customHeight="false" outlineLevel="0" collapsed="false">
      <c r="A36" s="3" t="s">
        <v>29</v>
      </c>
    </row>
    <row r="37" customFormat="false" ht="15" hidden="false" customHeight="false" outlineLevel="0" collapsed="false">
      <c r="A37" s="3" t="s">
        <v>30</v>
      </c>
    </row>
    <row r="38" customFormat="false" ht="15" hidden="false" customHeight="false" outlineLevel="0" collapsed="false">
      <c r="A38" s="3"/>
    </row>
    <row r="39" customFormat="false" ht="14.15" hidden="false" customHeight="false" outlineLevel="0" collapsed="false">
      <c r="A39" s="3" t="s">
        <v>31</v>
      </c>
    </row>
    <row r="40" customFormat="false" ht="14.15" hidden="false" customHeight="false" outlineLevel="0" collapsed="false">
      <c r="A40" s="3" t="s">
        <v>32</v>
      </c>
    </row>
    <row r="41" customFormat="false" ht="14.15" hidden="false" customHeight="false" outlineLevel="0" collapsed="false">
      <c r="A41" s="3" t="s">
        <v>33</v>
      </c>
    </row>
    <row r="42" customFormat="false" ht="15" hidden="false" customHeight="false" outlineLevel="0" collapsed="false">
      <c r="A42" s="3"/>
    </row>
    <row r="43" customFormat="false" ht="15" hidden="false" customHeight="false" outlineLevel="0" collapsed="false">
      <c r="A43" s="2" t="s">
        <v>34</v>
      </c>
    </row>
    <row r="44" customFormat="false" ht="14.15" hidden="false" customHeight="false" outlineLevel="0" collapsed="false">
      <c r="A44" s="3" t="s">
        <v>35</v>
      </c>
    </row>
    <row r="45" customFormat="false" ht="15" hidden="false" customHeight="false" outlineLevel="0" collapsed="false">
      <c r="A45" s="3" t="s">
        <v>36</v>
      </c>
    </row>
    <row r="46" customFormat="false" ht="14.15" hidden="false" customHeight="false" outlineLevel="0" collapsed="false">
      <c r="A46" s="4" t="s">
        <v>37</v>
      </c>
    </row>
    <row r="47" customFormat="false" ht="15" hidden="false" customHeight="false" outlineLevel="0" collapsed="false">
      <c r="A47" s="3"/>
    </row>
    <row r="48" customFormat="false" ht="14.15" hidden="false" customHeight="false" outlineLevel="0" collapsed="false">
      <c r="A48" s="2" t="s">
        <v>38</v>
      </c>
    </row>
    <row r="49" customFormat="false" ht="14.15" hidden="false" customHeight="false" outlineLevel="0" collapsed="false">
      <c r="A49" s="3" t="s">
        <v>39</v>
      </c>
    </row>
    <row r="50" customFormat="false" ht="14.15" hidden="false" customHeight="false" outlineLevel="0" collapsed="false">
      <c r="A50" s="4" t="s">
        <v>40</v>
      </c>
    </row>
    <row r="51" customFormat="false" ht="14.15" hidden="false" customHeight="false" outlineLevel="0" collapsed="false">
      <c r="A51" s="3" t="s">
        <v>41</v>
      </c>
    </row>
    <row r="52" customFormat="false" ht="14.15" hidden="false" customHeight="false" outlineLevel="0" collapsed="false">
      <c r="A52" s="3" t="s">
        <v>42</v>
      </c>
    </row>
    <row r="53" customFormat="false" ht="14.15" hidden="false" customHeight="false" outlineLevel="0" collapsed="false">
      <c r="A53" s="4" t="s">
        <v>43</v>
      </c>
    </row>
    <row r="54" customFormat="false" ht="14.15" hidden="false" customHeight="false" outlineLevel="0" collapsed="false">
      <c r="A54" s="4" t="s">
        <v>44</v>
      </c>
    </row>
    <row r="55" customFormat="false" ht="15" hidden="false" customHeight="false" outlineLevel="0" collapsed="false">
      <c r="A55" s="3"/>
    </row>
    <row r="56" customFormat="false" ht="15" hidden="false" customHeight="false" outlineLevel="0" collapsed="false">
      <c r="A56" s="2" t="s">
        <v>45</v>
      </c>
    </row>
    <row r="57" customFormat="false" ht="14.15" hidden="false" customHeight="false" outlineLevel="0" collapsed="false">
      <c r="A57" s="4" t="s">
        <v>46</v>
      </c>
    </row>
    <row r="58" customFormat="false" ht="15" hidden="false" customHeight="false" outlineLevel="0" collapsed="false">
      <c r="A58" s="3" t="s">
        <v>47</v>
      </c>
    </row>
    <row r="59" customFormat="false" ht="15" hidden="false" customHeight="false" outlineLevel="0" collapsed="false">
      <c r="A59" s="3" t="s">
        <v>48</v>
      </c>
    </row>
    <row r="60" customFormat="false" ht="15" hidden="false" customHeight="false" outlineLevel="0" collapsed="false">
      <c r="A60" s="3"/>
    </row>
    <row r="61" customFormat="false" ht="14.15" hidden="false" customHeight="false" outlineLevel="0" collapsed="false">
      <c r="A61" s="5" t="s">
        <v>49</v>
      </c>
    </row>
    <row r="62" customFormat="false" ht="14.15" hidden="false" customHeight="false" outlineLevel="0" collapsed="false">
      <c r="A62" s="4" t="s">
        <v>50</v>
      </c>
    </row>
    <row r="63" customFormat="false" ht="14.15" hidden="false" customHeight="false" outlineLevel="0" collapsed="false">
      <c r="A63" s="3" t="s">
        <v>51</v>
      </c>
    </row>
    <row r="64" customFormat="false" ht="14.15" hidden="false" customHeight="false" outlineLevel="0" collapsed="false">
      <c r="A64" s="4" t="s">
        <v>52</v>
      </c>
    </row>
    <row r="65" customFormat="false" ht="14.15" hidden="false" customHeight="false" outlineLevel="0" collapsed="false">
      <c r="A65" s="4" t="s">
        <v>53</v>
      </c>
    </row>
    <row r="66" customFormat="false" ht="14.15" hidden="false" customHeight="false" outlineLevel="0" collapsed="false">
      <c r="A66" s="4" t="s">
        <v>54</v>
      </c>
    </row>
    <row r="67" customFormat="false" ht="14.15" hidden="false" customHeight="false" outlineLevel="0" collapsed="false">
      <c r="A67" s="4" t="s">
        <v>55</v>
      </c>
    </row>
    <row r="68" customFormat="false" ht="15" hidden="false" customHeight="false" outlineLevel="0" collapsed="false">
      <c r="A68" s="3"/>
    </row>
    <row r="69" customFormat="false" ht="14.15" hidden="false" customHeight="false" outlineLevel="0" collapsed="false">
      <c r="A69" s="5" t="s">
        <v>56</v>
      </c>
    </row>
    <row r="70" customFormat="false" ht="14.15" hidden="false" customHeight="false" outlineLevel="0" collapsed="false">
      <c r="A70" s="3" t="s">
        <v>57</v>
      </c>
    </row>
    <row r="71" customFormat="false" ht="15" hidden="false" customHeight="false" outlineLevel="0" collapsed="false">
      <c r="A71" s="3" t="s">
        <v>58</v>
      </c>
    </row>
    <row r="72" customFormat="false" ht="14.15" hidden="false" customHeight="false" outlineLevel="0" collapsed="false">
      <c r="A72" s="3" t="s">
        <v>59</v>
      </c>
    </row>
    <row r="73" customFormat="false" ht="15" hidden="false" customHeight="false" outlineLevel="0" collapsed="false">
      <c r="A73" s="3"/>
    </row>
    <row r="74" customFormat="false" ht="14.15" hidden="false" customHeight="false" outlineLevel="0" collapsed="false">
      <c r="A74" s="5" t="s">
        <v>60</v>
      </c>
    </row>
    <row r="75" customFormat="false" ht="14.15" hidden="false" customHeight="false" outlineLevel="0" collapsed="false">
      <c r="A75" s="4" t="s">
        <v>61</v>
      </c>
    </row>
    <row r="76" customFormat="false" ht="14.15" hidden="false" customHeight="false" outlineLevel="0" collapsed="false">
      <c r="A76" s="3" t="s">
        <v>62</v>
      </c>
    </row>
    <row r="77" customFormat="false" ht="14.15" hidden="false" customHeight="false" outlineLevel="0" collapsed="false">
      <c r="A77" s="3" t="s">
        <v>63</v>
      </c>
    </row>
    <row r="78" customFormat="false" ht="15" hidden="false" customHeight="false" outlineLevel="0" collapsed="false">
      <c r="A78" s="3"/>
    </row>
    <row r="79" customFormat="false" ht="14.15" hidden="false" customHeight="false" outlineLevel="0" collapsed="false">
      <c r="A79" s="5" t="s">
        <v>64</v>
      </c>
    </row>
    <row r="80" customFormat="false" ht="14.15" hidden="false" customHeight="false" outlineLevel="0" collapsed="false">
      <c r="A80" s="3" t="s">
        <v>65</v>
      </c>
    </row>
    <row r="81" customFormat="false" ht="14.15" hidden="false" customHeight="false" outlineLevel="0" collapsed="false">
      <c r="A81" s="3" t="s">
        <v>66</v>
      </c>
    </row>
    <row r="82" customFormat="false" ht="14.15" hidden="false" customHeight="false" outlineLevel="0" collapsed="false">
      <c r="A82" s="4" t="s">
        <v>67</v>
      </c>
    </row>
    <row r="83" customFormat="false" ht="14.15" hidden="false" customHeight="false" outlineLevel="0" collapsed="false">
      <c r="A83" s="3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6" t="s">
        <v>69</v>
      </c>
    </row>
    <row r="2" customFormat="false" ht="15" hidden="false" customHeight="false" outlineLevel="0" collapsed="false">
      <c r="A2" s="7" t="str">
        <f aca="false">"模型端＝目前情境：" &amp; CHOOSE(輸入與假設!$C$5,"保守 4.2 GW","基準 5.6 GW","積極 8 GW") &amp; "（預設＝基準）；共識＝data/consensus_crwv_20260925.json（2026-09-25）"</f>
        <v>模型端＝目前情境：基準 5.6 GW（預設＝基準）；共識＝data/consensus_crwv_20260925.json（2026-09-25）</v>
      </c>
    </row>
    <row r="4" customFormat="false" ht="15" hidden="false" customHeight="false" outlineLevel="0" collapsed="false">
      <c r="A4" s="8" t="s">
        <v>70</v>
      </c>
      <c r="B4" s="9"/>
      <c r="C4" s="9"/>
      <c r="D4" s="9"/>
      <c r="E4" s="9"/>
      <c r="F4" s="9"/>
      <c r="G4" s="9"/>
      <c r="H4" s="9"/>
    </row>
    <row r="5" customFormat="false" ht="15" hidden="false" customHeight="false" outlineLevel="1" collapsed="false">
      <c r="A5" s="3" t="s">
        <v>71</v>
      </c>
      <c r="C5" s="10" t="n">
        <f aca="false">評價_DCF與目標價!C57</f>
        <v>-1</v>
      </c>
    </row>
    <row r="6" customFormat="false" ht="15" hidden="false" customHeight="false" outlineLevel="1" collapsed="false">
      <c r="A6" s="3" t="s">
        <v>72</v>
      </c>
      <c r="C6" s="11" t="str">
        <f aca="false">CHOOSE(C5+2,"賣出","中立","買進")</f>
        <v>賣出</v>
      </c>
    </row>
    <row r="7" customFormat="false" ht="15" hidden="false" customHeight="false" outlineLevel="1" collapsed="false">
      <c r="A7" s="2" t="s">
        <v>73</v>
      </c>
      <c r="B7" s="12" t="s">
        <v>74</v>
      </c>
      <c r="C7" s="13" t="n">
        <f aca="false">評價_DCF與目標價!C48</f>
        <v>45.501149936383</v>
      </c>
    </row>
    <row r="8" customFormat="false" ht="15" hidden="false" customHeight="false" outlineLevel="1" collapsed="false">
      <c r="A8" s="3" t="s">
        <v>75</v>
      </c>
      <c r="B8" s="12" t="s">
        <v>74</v>
      </c>
      <c r="C8" s="13" t="n">
        <f aca="false">輸入與假設!$C$98</f>
        <v>90.13</v>
      </c>
    </row>
    <row r="9" customFormat="false" ht="15" hidden="false" customHeight="false" outlineLevel="1" collapsed="false">
      <c r="A9" s="3" t="s">
        <v>76</v>
      </c>
      <c r="B9" s="12" t="s">
        <v>77</v>
      </c>
      <c r="C9" s="14" t="n">
        <f aca="false">C7/C8-1</f>
        <v>-0.495160879436558</v>
      </c>
    </row>
    <row r="10" customFormat="false" ht="15" hidden="false" customHeight="false" outlineLevel="1" collapsed="false">
      <c r="A10" s="3" t="s">
        <v>78</v>
      </c>
      <c r="B10" s="12" t="s">
        <v>74</v>
      </c>
      <c r="C10" s="13" t="n">
        <f aca="false">評價_DCF與目標價!C62</f>
        <v>30.953265648845</v>
      </c>
      <c r="D10" s="13" t="n">
        <f aca="false">評價_DCF與目標價!D62</f>
        <v>69.741656925025</v>
      </c>
    </row>
    <row r="11" customFormat="false" ht="15" hidden="false" customHeight="false" outlineLevel="1" collapsed="false">
      <c r="A11" s="3" t="s">
        <v>79</v>
      </c>
      <c r="B11" s="12" t="s">
        <v>74</v>
      </c>
      <c r="C11" s="13" t="n">
        <f aca="false">評價_DCF與目標價!C64</f>
        <v>29.4752278406681</v>
      </c>
      <c r="D11" s="13" t="n">
        <f aca="false">評價_DCF與目標價!D64</f>
        <v>45.501149936383</v>
      </c>
    </row>
    <row r="12" customFormat="false" ht="15" hidden="false" customHeight="false" outlineLevel="1" collapsed="false">
      <c r="A12" s="3" t="s">
        <v>80</v>
      </c>
      <c r="B12" s="12" t="s">
        <v>74</v>
      </c>
      <c r="C12" s="13" t="n">
        <f aca="false">評價_DCF與目標價!$C$58</f>
        <v>76.6105</v>
      </c>
    </row>
    <row r="13" customFormat="false" ht="15" hidden="false" customHeight="false" outlineLevel="1" collapsed="false">
      <c r="A13" s="3" t="s">
        <v>81</v>
      </c>
      <c r="B13" s="12" t="s">
        <v>74</v>
      </c>
      <c r="C13" s="13" t="n">
        <f aca="false">C7-C12</f>
        <v>-31.109350063617</v>
      </c>
    </row>
    <row r="14" customFormat="false" ht="15" hidden="false" customHeight="false" outlineLevel="1" collapsed="false">
      <c r="A14" s="2" t="s">
        <v>82</v>
      </c>
      <c r="C14" s="11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</f>
        <v>賣出：點位 $45.5，較現價 $90.13 低 50%；情境區間 $31.0–$69.7，方法區間 $29.5–$45.5；點位低於賣出門檻 $76.6 達 $31.1。</v>
      </c>
    </row>
    <row r="15" customFormat="false" ht="15" hidden="false" customHeight="false" outlineLevel="1" collapsed="false">
      <c r="A15" s="3" t="s">
        <v>83</v>
      </c>
      <c r="C15" s="11" t="str">
        <f aca="false">評價_DCF與目標價!C70</f>
        <v>情境區間上緣 $69.7 低於現價 $90.13：賣出在三個擴張情境下都成立。</v>
      </c>
    </row>
    <row r="17" customFormat="false" ht="15" hidden="false" customHeight="false" outlineLevel="0" collapsed="false">
      <c r="A17" s="8" t="s">
        <v>84</v>
      </c>
      <c r="B17" s="9"/>
      <c r="C17" s="9"/>
      <c r="D17" s="9"/>
      <c r="E17" s="9"/>
      <c r="F17" s="9"/>
      <c r="G17" s="9"/>
      <c r="H17" s="9"/>
    </row>
    <row r="18" customFormat="false" ht="15" hidden="false" customHeight="false" outlineLevel="1" collapsed="false">
      <c r="A18" s="15" t="s">
        <v>85</v>
      </c>
      <c r="B18" s="15" t="s">
        <v>86</v>
      </c>
      <c r="C18" s="16" t="s">
        <v>87</v>
      </c>
      <c r="D18" s="16" t="s">
        <v>88</v>
      </c>
      <c r="E18" s="16" t="s">
        <v>89</v>
      </c>
    </row>
    <row r="19" customFormat="false" ht="15" hidden="false" customHeight="false" outlineLevel="1" collapsed="false">
      <c r="A19" s="3" t="s">
        <v>90</v>
      </c>
      <c r="B19" s="12" t="s">
        <v>91</v>
      </c>
      <c r="C19" s="11" t="n">
        <f aca="false">損益!C26</f>
        <v>13.066</v>
      </c>
      <c r="D19" s="11" t="n">
        <f aca="false">損益!D26</f>
        <v>26.1275</v>
      </c>
      <c r="E19" s="11" t="n">
        <f aca="false">損益!E26</f>
        <v>36.6694155</v>
      </c>
    </row>
    <row r="20" customFormat="false" ht="15" hidden="false" customHeight="false" outlineLevel="1" collapsed="false">
      <c r="A20" s="3" t="s">
        <v>92</v>
      </c>
      <c r="B20" s="12" t="s">
        <v>91</v>
      </c>
      <c r="C20" s="11" t="n">
        <f aca="false">輸入與假設!$C$190</f>
        <v>12.882</v>
      </c>
      <c r="D20" s="11" t="n">
        <f aca="false">輸入與假設!$D$190</f>
        <v>26.376</v>
      </c>
      <c r="E20" s="11" t="n">
        <f aca="false">輸入與假設!$E$190</f>
        <v>42.55</v>
      </c>
    </row>
    <row r="21" customFormat="false" ht="15" hidden="false" customHeight="false" outlineLevel="1" collapsed="false">
      <c r="A21" s="3" t="s">
        <v>93</v>
      </c>
      <c r="B21" s="12" t="s">
        <v>77</v>
      </c>
      <c r="C21" s="14" t="n">
        <f aca="false">C19/C20-1</f>
        <v>0.0142834963514982</v>
      </c>
      <c r="D21" s="14" t="n">
        <f aca="false">D19/D20-1</f>
        <v>-0.00942144373673048</v>
      </c>
      <c r="E21" s="14" t="n">
        <f aca="false">E19/E20-1</f>
        <v>-0.138204101057579</v>
      </c>
    </row>
    <row r="22" customFormat="false" ht="15" hidden="false" customHeight="false" outlineLevel="1" collapsed="false">
      <c r="A22" s="3" t="s">
        <v>94</v>
      </c>
      <c r="B22" s="12" t="s">
        <v>91</v>
      </c>
      <c r="C22" s="11" t="n">
        <f aca="false">輸入與假設!$C$162+損益!C19</f>
        <v>7.63067</v>
      </c>
      <c r="D22" s="11" t="n">
        <f aca="false">損益!D31</f>
        <v>15.8071375</v>
      </c>
      <c r="E22" s="11" t="n">
        <f aca="false">損益!E31</f>
        <v>22.73503761</v>
      </c>
    </row>
    <row r="23" customFormat="false" ht="15" hidden="false" customHeight="false" outlineLevel="1" collapsed="false">
      <c r="A23" s="3" t="s">
        <v>95</v>
      </c>
      <c r="B23" s="12" t="s">
        <v>91</v>
      </c>
      <c r="C23" s="11" t="n">
        <f aca="false">輸入與假設!$C$191</f>
        <v>7.574</v>
      </c>
      <c r="D23" s="11" t="n">
        <f aca="false">輸入與假設!$D$191</f>
        <v>16.656</v>
      </c>
      <c r="E23" s="11" t="n">
        <f aca="false">輸入與假設!$E$191</f>
        <v>28.857</v>
      </c>
    </row>
    <row r="24" customFormat="false" ht="15" hidden="false" customHeight="false" outlineLevel="1" collapsed="false">
      <c r="A24" s="3" t="s">
        <v>96</v>
      </c>
      <c r="B24" s="12" t="s">
        <v>77</v>
      </c>
      <c r="C24" s="14" t="n">
        <f aca="false">C22/C23-1</f>
        <v>0.00748217586480049</v>
      </c>
      <c r="D24" s="14" t="n">
        <f aca="false">D22/D23-1</f>
        <v>-0.0509643671950049</v>
      </c>
      <c r="E24" s="14" t="n">
        <f aca="false">E22/E23-1</f>
        <v>-0.212148261773573</v>
      </c>
      <c r="I24" s="12" t="s">
        <v>97</v>
      </c>
    </row>
    <row r="25" customFormat="false" ht="15" hidden="false" customHeight="false" outlineLevel="1" collapsed="false">
      <c r="A25" s="3" t="s">
        <v>98</v>
      </c>
      <c r="B25" s="12" t="s">
        <v>91</v>
      </c>
      <c r="C25" s="11" t="n">
        <f aca="false">C22-C23</f>
        <v>0.0566699999999996</v>
      </c>
      <c r="D25" s="11" t="n">
        <f aca="false">D22-D23</f>
        <v>-0.848862500000001</v>
      </c>
      <c r="E25" s="11" t="n">
        <f aca="false">E22-E23</f>
        <v>-6.12196239</v>
      </c>
      <c r="I25" s="7" t="s">
        <v>99</v>
      </c>
    </row>
    <row r="26" customFormat="false" ht="15" hidden="false" customHeight="false" outlineLevel="1" collapsed="false">
      <c r="A26" s="3" t="s">
        <v>100</v>
      </c>
      <c r="B26" s="12" t="s">
        <v>77</v>
      </c>
      <c r="C26" s="14" t="n">
        <f aca="false">C22/C19</f>
        <v>0.584009643349151</v>
      </c>
      <c r="D26" s="14" t="n">
        <f aca="false">D22/D19</f>
        <v>0.605</v>
      </c>
      <c r="E26" s="14" t="n">
        <f aca="false">E22/E19</f>
        <v>0.62</v>
      </c>
    </row>
    <row r="27" customFormat="false" ht="15" hidden="false" customHeight="false" outlineLevel="1" collapsed="false">
      <c r="A27" s="3" t="s">
        <v>101</v>
      </c>
      <c r="B27" s="12" t="s">
        <v>77</v>
      </c>
      <c r="C27" s="14" t="n">
        <f aca="false">輸入與假設!$C$192</f>
        <v>0.588</v>
      </c>
      <c r="D27" s="14" t="n">
        <f aca="false">輸入與假設!$D$192</f>
        <v>0.632</v>
      </c>
      <c r="E27" s="14" t="n">
        <f aca="false">輸入與假設!$E$192</f>
        <v>0.678</v>
      </c>
    </row>
    <row r="28" customFormat="false" ht="15" hidden="false" customHeight="false" outlineLevel="1" collapsed="false">
      <c r="A28" s="3" t="s">
        <v>102</v>
      </c>
      <c r="B28" s="12" t="s">
        <v>103</v>
      </c>
      <c r="C28" s="14" t="n">
        <f aca="false">C26-C27</f>
        <v>-0.00399035665084946</v>
      </c>
      <c r="D28" s="14" t="n">
        <f aca="false">D26-D27</f>
        <v>-0.027</v>
      </c>
      <c r="E28" s="14" t="n">
        <f aca="false">E26-E27</f>
        <v>-0.0580000000000001</v>
      </c>
      <c r="I28" s="12" t="s">
        <v>104</v>
      </c>
    </row>
    <row r="29" customFormat="false" ht="15" hidden="false" customHeight="false" outlineLevel="1" collapsed="false">
      <c r="A29" s="3" t="s">
        <v>105</v>
      </c>
      <c r="B29" s="12" t="s">
        <v>91</v>
      </c>
      <c r="C29" s="11" t="n">
        <f aca="false">輸入與假設!$C$146+輸入與假設!C$73</f>
        <v>36.975</v>
      </c>
      <c r="D29" s="11" t="n">
        <f aca="false">輸入與假設!D$73</f>
        <v>38.335</v>
      </c>
      <c r="E29" s="11" t="n">
        <f aca="false">輸入與假設!E$73</f>
        <v>29.41</v>
      </c>
    </row>
    <row r="30" customFormat="false" ht="15" hidden="false" customHeight="false" outlineLevel="1" collapsed="false">
      <c r="A30" s="3" t="s">
        <v>106</v>
      </c>
      <c r="B30" s="12" t="s">
        <v>91</v>
      </c>
      <c r="C30" s="11" t="n">
        <f aca="false">輸入與假設!$C$197</f>
        <v>35.953</v>
      </c>
      <c r="D30" s="11" t="n">
        <f aca="false">輸入與假設!$D$197</f>
        <v>46.476</v>
      </c>
      <c r="E30" s="11" t="n">
        <f aca="false">輸入與假設!$E$197</f>
        <v>50.129</v>
      </c>
    </row>
    <row r="31" customFormat="false" ht="15" hidden="false" customHeight="false" outlineLevel="1" collapsed="false">
      <c r="A31" s="3" t="s">
        <v>107</v>
      </c>
      <c r="B31" s="12" t="s">
        <v>77</v>
      </c>
      <c r="C31" s="14" t="n">
        <f aca="false">C29/C30-1</f>
        <v>0.0284260006119099</v>
      </c>
      <c r="D31" s="14" t="n">
        <f aca="false">D29/D30-1</f>
        <v>-0.175165676908512</v>
      </c>
      <c r="E31" s="14" t="n">
        <f aca="false">E29/E30-1</f>
        <v>-0.413313650780985</v>
      </c>
      <c r="I31" s="7" t="s">
        <v>108</v>
      </c>
    </row>
    <row r="32" customFormat="false" ht="15" hidden="false" customHeight="false" outlineLevel="1" collapsed="false">
      <c r="A32" s="3" t="s">
        <v>109</v>
      </c>
      <c r="B32" s="12" t="s">
        <v>91</v>
      </c>
      <c r="C32" s="11" t="n">
        <f aca="false">資產負債_新債與新股!C22</f>
        <v>45.3924958156778</v>
      </c>
      <c r="D32" s="11" t="n">
        <f aca="false">資產負債_新債與新股!D22</f>
        <v>71.8853373202291</v>
      </c>
      <c r="E32" s="11" t="n">
        <f aca="false">資產負債_新債與新股!E22</f>
        <v>84.3099096068628</v>
      </c>
    </row>
    <row r="33" customFormat="false" ht="15" hidden="false" customHeight="false" outlineLevel="1" collapsed="false">
      <c r="A33" s="3" t="s">
        <v>110</v>
      </c>
      <c r="B33" s="12" t="s">
        <v>91</v>
      </c>
      <c r="C33" s="11" t="n">
        <f aca="false">輸入與假設!$C$199</f>
        <v>46.442</v>
      </c>
      <c r="D33" s="11" t="n">
        <f aca="false">輸入與假設!$D$199</f>
        <v>74.707</v>
      </c>
      <c r="E33" s="11" t="n">
        <f aca="false">輸入與假設!$E$199</f>
        <v>96.039</v>
      </c>
    </row>
    <row r="34" customFormat="false" ht="15" hidden="false" customHeight="false" outlineLevel="1" collapsed="false">
      <c r="A34" s="3" t="s">
        <v>111</v>
      </c>
      <c r="B34" s="12" t="s">
        <v>77</v>
      </c>
      <c r="C34" s="14" t="n">
        <f aca="false">C32/C33-1</f>
        <v>-0.0225981694225537</v>
      </c>
      <c r="D34" s="14" t="n">
        <f aca="false">D32/D33-1</f>
        <v>-0.0377697227806088</v>
      </c>
      <c r="E34" s="14" t="n">
        <f aca="false">E32/E33-1</f>
        <v>-0.122128410261844</v>
      </c>
      <c r="I34" s="7" t="s">
        <v>112</v>
      </c>
    </row>
    <row r="35" customFormat="false" ht="15" hidden="false" customHeight="false" outlineLevel="1" collapsed="false">
      <c r="A35" s="3" t="s">
        <v>113</v>
      </c>
      <c r="B35" s="12" t="s">
        <v>91</v>
      </c>
      <c r="C35" s="11" t="n">
        <f aca="false">C32-C33</f>
        <v>-1.04950418432224</v>
      </c>
      <c r="D35" s="11" t="n">
        <f aca="false">D32-D33</f>
        <v>-2.82166267977094</v>
      </c>
      <c r="E35" s="11" t="n">
        <f aca="false">E32-E33</f>
        <v>-11.7290903931372</v>
      </c>
      <c r="I35" s="7" t="s">
        <v>99</v>
      </c>
    </row>
    <row r="36" customFormat="false" ht="15" hidden="false" customHeight="false" outlineLevel="1" collapsed="false">
      <c r="A36" s="3" t="s">
        <v>114</v>
      </c>
      <c r="C36" s="11" t="str">
        <f aca="false">MID(IF(ABS(C21)&gt;輸入與假設!$C$232,"、營收 "&amp;IF(C21&lt;0,"−","+")&amp;TEXT(ABS(C21)*100,"0.0")&amp;"%","")&amp;IF(ABS(C24)&gt;輸入與假設!$C$232,"、EBITDA "&amp;IF(C25&lt;0,"−","+")&amp;"$"&amp;TEXT(ABS(C25),"#,##0.00")&amp;"bn"&amp;"／"&amp;IF(C28&lt;0,"−","+")&amp;TEXT(ABS(C28)*100,"0.0")&amp;"pt","")&amp;IF(ABS(C31)&gt;輸入與假設!$C$232,"、CapEx "&amp;IF(C31&lt;0,"−","+")&amp;TEXT(ABS(C31)*100,"0.0")&amp;"%",""),2,999)</f>
        <v/>
      </c>
      <c r="D36" s="11" t="str">
        <f aca="false">MID(IF(ABS(D21)&gt;輸入與假設!$C$232,"、營收 "&amp;IF(D21&lt;0,"−","+")&amp;TEXT(ABS(D21)*100,"0.0")&amp;"%","")&amp;IF(ABS(D24)&gt;輸入與假設!$C$232,"、EBITDA "&amp;IF(D25&lt;0,"−","+")&amp;"$"&amp;TEXT(ABS(D25),"#,##0.00")&amp;"bn"&amp;"／"&amp;IF(D28&lt;0,"−","+")&amp;TEXT(ABS(D28)*100,"0.0")&amp;"pt","")&amp;IF(ABS(D31)&gt;輸入與假設!$C$232,"、CapEx "&amp;IF(D31&lt;0,"−","+")&amp;TEXT(ABS(D31)*100,"0.0")&amp;"%",""),2,999)</f>
        <v>EBITDA −$0.85bn／−2.7pt、CapEx −17.5%</v>
      </c>
      <c r="E36" s="11" t="str">
        <f aca="false">MID(IF(ABS(E21)&gt;輸入與假設!$C$232,"、營收 "&amp;IF(E21&lt;0,"−","+")&amp;TEXT(ABS(E21)*100,"0.0")&amp;"%","")&amp;IF(ABS(E24)&gt;輸入與假設!$C$232,"、EBITDA "&amp;IF(E25&lt;0,"−","+")&amp;"$"&amp;TEXT(ABS(E25),"#,##0.00")&amp;"bn"&amp;"／"&amp;IF(E28&lt;0,"−","+")&amp;TEXT(ABS(E28)*100,"0.0")&amp;"pt","")&amp;IF(ABS(E31)&gt;輸入與假設!$C$232,"、CapEx "&amp;IF(E31&lt;0,"−","+")&amp;TEXT(ABS(E31)*100,"0.0")&amp;"%",""),2,999)</f>
        <v>營收 −13.8%、EBITDA −$6.12bn／−5.8pt、CapEx −41.3%</v>
      </c>
      <c r="I36" s="7" t="s">
        <v>115</v>
      </c>
    </row>
    <row r="37" customFormat="false" ht="15" hidden="false" customHeight="false" outlineLevel="1" collapsed="false">
      <c r="A37" s="3" t="s">
        <v>116</v>
      </c>
      <c r="C37" s="10" t="n">
        <f aca="false">IF(C36&lt;&gt;"",1,IF(D36&lt;&gt;"",2,IF(E36&lt;&gt;"",3,0)))</f>
        <v>2</v>
      </c>
    </row>
    <row r="38" customFormat="false" ht="15" hidden="false" customHeight="false" outlineLevel="1" collapsed="false">
      <c r="A38" s="2" t="s">
        <v>117</v>
      </c>
      <c r="C38" s="11" t="str">
        <f aca="false">CHOOSE(C37+1,"FY26–FY28 營收、EBITDA、CapEx 與共識差距皆在 "&amp;IF(ROUND(ABS(輸入與假設!$C$232)*100,4)=INT(ROUND(ABS(輸入與假設!$C$232)*100,4)),TEXT(ROUND(ABS(輸入與假設!$C$232)*100,4),"0"),TEXT(ROUND(ABS(輸入與假設!$C$232)*100,4),"0.0"))&amp;"%"&amp;" 以內。","分歧始於 FY26（"&amp;C36&amp;"）"&amp;"；FY27 "&amp;IF(D36="","回到 "&amp;IF(ROUND(ABS(輸入與假設!$C$232)*100,4)=INT(ROUND(ABS(輸入與假設!$C$232)*100,4)),TEXT(ROUND(ABS(輸入與假設!$C$232)*100,4),"0"),TEXT(ROUND(ABS(輸入與假設!$C$232)*100,4),"0.0"))&amp;"%"&amp;" 以內",D36)&amp;"；FY28 "&amp;IF(E36="","回到 "&amp;IF(ROUND(ABS(輸入與假設!$C$232)*100,4)=INT(ROUND(ABS(輸入與假設!$C$232)*100,4)),TEXT(ROUND(ABS(輸入與假設!$C$232)*100,4),"0"),TEXT(ROUND(ABS(輸入與假設!$C$232)*100,4),"0.0"))&amp;"%"&amp;" 以內",E36)&amp;"。","FY26 營收、EBITDA、CapEx 與共識差距在 "&amp;IF(ROUND(ABS(輸入與假設!$C$232)*100,4)=INT(ROUND(ABS(輸入與假設!$C$232)*100,4)),TEXT(ROUND(ABS(輸入與假設!$C$232)*100,4),"0"),TEXT(ROUND(ABS(輸入與假設!$C$232)*100,4),"0.0"))&amp;"%"&amp;" 以內；分歧始於 FY27（"&amp;D36&amp;"）"&amp;"；FY28 "&amp;IF(E36="","回到 "&amp;IF(ROUND(ABS(輸入與假設!$C$232)*100,4)=INT(ROUND(ABS(輸入與假設!$C$232)*100,4)),TEXT(ROUND(ABS(輸入與假設!$C$232)*100,4),"0"),TEXT(ROUND(ABS(輸入與假設!$C$232)*100,4),"0.0"))&amp;"%"&amp;" 以內",E36)&amp;"。","FY26–FY27 營收、EBITDA、CapEx 與共識差距在 "&amp;IF(ROUND(ABS(輸入與假設!$C$232)*100,4)=INT(ROUND(ABS(輸入與假設!$C$232)*100,4)),TEXT(ROUND(ABS(輸入與假設!$C$232)*100,4),"0"),TEXT(ROUND(ABS(輸入與假設!$C$232)*100,4),"0.0"))&amp;"%"&amp;" 以內；分歧始於 FY28（"&amp;E36&amp;"）。")</f>
        <v>FY26 營收、EBITDA、CapEx 與共識差距在 5% 以內；分歧始於 FY27（EBITDA −$0.85bn／−2.7pt、CapEx −17.5%）；FY28 營收 −13.8%、EBITDA −$6.12bn／−5.8pt、CapEx −41.3%。</v>
      </c>
    </row>
    <row r="39" customFormat="false" ht="15" hidden="false" customHeight="false" outlineLevel="1" collapsed="false">
      <c r="A39" s="3" t="s">
        <v>118</v>
      </c>
      <c r="C39" s="11" t="str">
        <f aca="false">IF(ABS(C34)&gt;輸入與假設!$C$232,"觀點","")</f>
        <v/>
      </c>
      <c r="D39" s="11" t="str">
        <f aca="false">IF(ABS(C34)&gt;輸入與假設!$C$232,"淨負債隨 CapEx 與融資需求而定（模型 CapEx 差距 "&amp;IF((C31)&lt;0,"−","+")&amp;TEXT(ABS((C31))*100,"#,##0.0")&amp;"%"&amp;"）；共識淨負債不含租賃、口徑未揭露","")</f>
        <v/>
      </c>
      <c r="I39" s="12" t="s">
        <v>119</v>
      </c>
    </row>
    <row r="40" customFormat="false" ht="15" hidden="false" customHeight="false" outlineLevel="1" collapsed="false">
      <c r="A40" s="3" t="s">
        <v>120</v>
      </c>
      <c r="C40" s="11" t="str">
        <f aca="false">IF(ABS(D28)&gt;輸入與假設!$C$233,"觀點","")</f>
        <v>觀點</v>
      </c>
      <c r="D40" s="11" t="str">
        <f aca="false">IF(ABS(D28)&gt;輸入與假設!$C$233,"EBITDA 率 "&amp;IF((D26)&lt;0,"−","")&amp;TEXT(ABS((D26))*100,"#,##0.0")&amp;"%"&amp;" 對共識 "&amp;IF((D27)&lt;0,"−","")&amp;TEXT(ABS((D27))*100,"#,##0.0")&amp;"%"&amp;"：模型由 "&amp;IF((輸入與假設!$C$36)&lt;0,"−","")&amp;TEXT(ABS((輸入與假設!$C$36))*100,"#,##0")&amp;"%"&amp;" 線性爬升至 FY30 穩態 "&amp;IF((輸入與假設!$C$37)&lt;0,"−","")&amp;TEXT(ABS((輸入與假設!$C$37))*100,"#,##0")&amp;"%"&amp;"；營收差距 "&amp;IF((D21)&lt;0,"−","+")&amp;TEXT(ABS((D21))*100,"#,##0.0")&amp;"%","")</f>
        <v>EBITDA 率 60.5% 對共識 63.2%：模型由 59% 線性爬升至 FY30 穩態 65%；營收差距 −0.9%</v>
      </c>
    </row>
    <row r="41" customFormat="false" ht="15" hidden="false" customHeight="false" outlineLevel="1" collapsed="false">
      <c r="A41" s="3" t="s">
        <v>121</v>
      </c>
      <c r="C41" s="11" t="str">
        <f aca="false">IF(ABS(D31)&gt;輸入與假設!$C$232,"觀點","")</f>
        <v>觀點</v>
      </c>
      <c r="D41" s="11" t="str">
        <f aca="false">IF(ABS(D31)&gt;輸入與假設!$C$232,"CapEx 依新增 MW 計算：新增 "&amp;IF((輸入與假設!D$66)&lt;0,"−","")&amp;TEXT(ABS((輸入與假設!D$66)),"#,##0")&amp;" MW × 每 MW $"&amp;IF((輸入與假設!D$57)&lt;0,"−","")&amp;TEXT(ABS((輸入與假設!D$57)),"#,##0")&amp;"m（含次年預建）；共識口徑未揭露","")</f>
        <v>CapEx 依新增 MW 計算：新增 1,250 MW × 每 MW $34m（含次年預建）；共識口徑未揭露</v>
      </c>
    </row>
    <row r="42" customFormat="false" ht="15" hidden="false" customHeight="false" outlineLevel="1" collapsed="false">
      <c r="A42" s="3" t="s">
        <v>122</v>
      </c>
      <c r="C42" s="11" t="str">
        <f aca="false">IF(ABS(D34)&gt;輸入與假設!$C$232,"觀點","")</f>
        <v/>
      </c>
      <c r="D42" s="11" t="str">
        <f aca="false">IF(ABS(D34)&gt;輸入與假設!$C$232,"淨負債隨 CapEx 與融資需求而定（模型 CapEx 差距 "&amp;IF((D31)&lt;0,"−","+")&amp;TEXT(ABS((D31))*100,"#,##0.0")&amp;"%"&amp;"）；共識淨負債不含租賃、口徑未揭露","")</f>
        <v/>
      </c>
    </row>
    <row r="43" customFormat="false" ht="15" hidden="false" customHeight="false" outlineLevel="1" collapsed="false">
      <c r="A43" s="3" t="s">
        <v>123</v>
      </c>
      <c r="C43" s="11" t="str">
        <f aca="false">IF(ABS(E21)&gt;輸入與假設!$C$232,"觀點","")</f>
        <v>觀點</v>
      </c>
      <c r="D43" s="11" t="str">
        <f aca="false">IF(ABS(E21)&gt;輸入與假設!$C$232,"營收由模型 MW 路徑決定：FY28 年底 Accepted "&amp;IF((輸入與假設!E$26)&lt;0,"−","")&amp;TEXT(ABS((輸入與假設!E$26)),"#,##0")&amp;" MW（目前情境）；共識未揭露 MW 假設","")</f>
        <v>營收由模型 MW 路徑決定：FY28 年底 Accepted 4,000 MW（目前情境）；共識未揭露 MW 假設</v>
      </c>
    </row>
    <row r="44" customFormat="false" ht="15" hidden="false" customHeight="false" outlineLevel="1" collapsed="false">
      <c r="A44" s="3" t="s">
        <v>124</v>
      </c>
      <c r="C44" s="11" t="str">
        <f aca="false">IF(ABS(E28)&gt;輸入與假設!$C$233,"觀點","")</f>
        <v>觀點</v>
      </c>
      <c r="D44" s="11" t="str">
        <f aca="false">IF(ABS(E28)&gt;輸入與假設!$C$233,"營收差距 "&amp;IF((E21)&lt;0,"−","+")&amp;TEXT(ABS((E21))*100,"#,##0.0")&amp;"%"&amp;"，加上 EBITDA 率 "&amp;IF((E26)&lt;0,"−","")&amp;TEXT(ABS((E26))*100,"#,##0.0")&amp;"%"&amp;" 對共識 "&amp;IF((E27)&lt;0,"−","")&amp;TEXT(ABS((E27))*100,"#,##0.0")&amp;"%","")</f>
        <v>營收差距 −13.8%，加上 EBITDA 率 62.0% 對共識 67.8%</v>
      </c>
    </row>
    <row r="45" customFormat="false" ht="15" hidden="false" customHeight="false" outlineLevel="1" collapsed="false">
      <c r="A45" s="3" t="s">
        <v>125</v>
      </c>
      <c r="C45" s="11" t="str">
        <f aca="false">IF(ABS(E31)&gt;輸入與假設!$C$232,"觀點","")</f>
        <v>觀點</v>
      </c>
      <c r="D45" s="11" t="str">
        <f aca="false">IF(ABS(E31)&gt;輸入與假設!$C$232,"CapEx 依新增 MW 計算：新增 "&amp;IF((輸入與假設!E$66)&lt;0,"−","")&amp;TEXT(ABS((輸入與假設!E$66)),"#,##0")&amp;" MW × 每 MW $"&amp;IF((輸入與假設!E$57)&lt;0,"−","")&amp;TEXT(ABS((輸入與假設!E$57)),"#,##0")&amp;"m（含次年預建）；共識口徑未揭露","")</f>
        <v>CapEx 依新增 MW 計算：新增 900 MW × 每 MW $34m（含次年預建）；共識口徑未揭露</v>
      </c>
    </row>
    <row r="46" customFormat="false" ht="15" hidden="false" customHeight="false" outlineLevel="1" collapsed="false">
      <c r="A46" s="3" t="s">
        <v>126</v>
      </c>
      <c r="C46" s="11" t="str">
        <f aca="false">IF(ABS(E34)&gt;輸入與假設!$C$232,"觀點","")</f>
        <v>觀點</v>
      </c>
      <c r="D46" s="11" t="str">
        <f aca="false">IF(ABS(E34)&gt;輸入與假設!$C$232,"淨負債隨 CapEx 與融資需求而定（模型 CapEx 差距 "&amp;IF((E31)&lt;0,"−","+")&amp;TEXT(ABS((E31))*100,"#,##0.0")&amp;"%"&amp;"）；共識淨負債不含租賃、口徑未揭露","")</f>
        <v>淨負債隨 CapEx 與融資需求而定（模型 CapEx 差距 −41.3%）；共識淨負債不含租賃、口徑未揭露</v>
      </c>
    </row>
    <row r="47" customFormat="false" ht="15" hidden="false" customHeight="false" outlineLevel="1" collapsed="false">
      <c r="A47" s="3" t="s">
        <v>127</v>
      </c>
      <c r="C47" s="10" t="n">
        <f aca="false">SUMPRODUCT(--(ABS(C21:E21)&gt;輸入與假設!$C$232))+SUMPRODUCT(--(ABS(C28:E28)&gt;輸入與假設!$C$233))+SUMPRODUCT(--(ABS(C31:E31)&gt;輸入與假設!$C$232))+SUMPRODUCT(--(ABS(C34:E34)&gt;輸入與假設!$C$232))</f>
        <v>6</v>
      </c>
      <c r="I47" s="7" t="s">
        <v>128</v>
      </c>
    </row>
    <row r="48" customFormat="false" ht="15" hidden="false" customHeight="false" outlineLevel="1" collapsed="false">
      <c r="A48" s="3" t="s">
        <v>129</v>
      </c>
      <c r="C48" s="11" t="str">
        <f aca="false">IF(C47=0,"","需附原因的 "&amp;C47&amp;" 項差距："&amp;MID(IF((COUNTIF(C39,"觀點")+COUNTIF(C40,"觀點")+COUNTIF(C41,"觀點")+COUNTIF(C42,"觀點")+COUNTIF(C43,"觀點")+COUNTIF(C44,"觀點")+COUNTIF(C45,"觀點")+COUNTIF(C46,"觀點"))&gt;0,"、觀點 "&amp;(COUNTIF(C39,"觀點")+COUNTIF(C40,"觀點")+COUNTIF(C41,"觀點")+COUNTIF(C42,"觀點")+COUNTIF(C43,"觀點")+COUNTIF(C44,"觀點")+COUNTIF(C45,"觀點")+COUNTIF(C46,"觀點"))&amp;" 項","")&amp;IF((COUNTIF(C39,"拆法")+COUNTIF(C40,"拆法")+COUNTIF(C41,"拆法")+COUNTIF(C42,"拆法")+COUNTIF(C43,"拆法")+COUNTIF(C44,"拆法")+COUNTIF(C45,"拆法")+COUNTIF(C46,"拆法"))&gt;0,"、拆法 "&amp;(COUNTIF(C39,"拆法")+COUNTIF(C40,"拆法")+COUNTIF(C41,"拆法")+COUNTIF(C42,"拆法")+COUNTIF(C43,"拆法")+COUNTIF(C44,"拆法")+COUNTIF(C45,"拆法")+COUNTIF(C46,"拆法"))&amp;" 項","")&amp;IF((COUNTIF(C39,"已知限制")+COUNTIF(C40,"已知限制")+COUNTIF(C41,"已知限制")+COUNTIF(C42,"已知限制")+COUNTIF(C43,"已知限制")+COUNTIF(C44,"已知限制")+COUNTIF(C45,"已知限制")+COUNTIF(C46,"已知限制"))&gt;0,"、已知限制 "&amp;(COUNTIF(C39,"已知限制")+COUNTIF(C40,"已知限制")+COUNTIF(C41,"已知限制")+COUNTIF(C42,"已知限制")+COUNTIF(C43,"已知限制")+COUNTIF(C44,"已知限制")+COUNTIF(C45,"已知限制")+COUNTIF(C46,"已知限制"))&amp;" 項","")&amp;IF((C47-((COUNTIF(C39,"觀點")+COUNTIF(C40,"觀點")+COUNTIF(C41,"觀點")+COUNTIF(C42,"觀點")+COUNTIF(C43,"觀點")+COUNTIF(C44,"觀點")+COUNTIF(C45,"觀點")+COUNTIF(C46,"觀點"))+(COUNTIF(C39,"拆法")+COUNTIF(C40,"拆法")+COUNTIF(C41,"拆法")+COUNTIF(C42,"拆法")+COUNTIF(C43,"拆法")+COUNTIF(C44,"拆法")+COUNTIF(C45,"拆法")+COUNTIF(C46,"拆法"))+(COUNTIF(C39,"已知限制")+COUNTIF(C40,"已知限制")+COUNTIF(C41,"已知限制")+COUNTIF(C42,"已知限制")+COUNTIF(C43,"已知限制")+COUNTIF(C44,"已知限制")+COUNTIF(C45,"已知限制")+COUNTIF(C46,"已知限制"))))&gt;0,"、未歸類 "&amp;(C47-((COUNTIF(C39,"觀點")+COUNTIF(C40,"觀點")+COUNTIF(C41,"觀點")+COUNTIF(C42,"觀點")+COUNTIF(C43,"觀點")+COUNTIF(C44,"觀點")+COUNTIF(C45,"觀點")+COUNTIF(C46,"觀點"))+(COUNTIF(C39,"拆法")+COUNTIF(C40,"拆法")+COUNTIF(C41,"拆法")+COUNTIF(C42,"拆法")+COUNTIF(C43,"拆法")+COUNTIF(C44,"拆法")+COUNTIF(C45,"拆法")+COUNTIF(C46,"拆法"))+(COUNTIF(C39,"已知限制")+COUNTIF(C40,"已知限制")+COUNTIF(C41,"已知限制")+COUNTIF(C42,"已知限制")+COUNTIF(C43,"已知限制")+COUNTIF(C44,"已知限制")+COUNTIF(C45,"已知限制")+COUNTIF(C46,"已知限制"))))&amp;" 項",""),2,999)&amp;"；原因見「損益與評價 → 市場共識」。")</f>
        <v>需附原因的 6 項差距：觀點 6 項；原因見「損益與評價 → 市場共識」。</v>
      </c>
      <c r="I48" s="7" t="s">
        <v>130</v>
      </c>
    </row>
    <row r="50" customFormat="false" ht="15" hidden="false" customHeight="false" outlineLevel="0" collapsed="false">
      <c r="A50" s="8" t="s">
        <v>131</v>
      </c>
      <c r="B50" s="9"/>
      <c r="C50" s="9"/>
      <c r="D50" s="9"/>
      <c r="E50" s="9"/>
      <c r="F50" s="9"/>
      <c r="G50" s="9"/>
      <c r="H50" s="9"/>
    </row>
    <row r="51" customFormat="false" ht="15" hidden="false" customHeight="false" outlineLevel="1" collapsed="false">
      <c r="A51" s="3" t="s">
        <v>132</v>
      </c>
      <c r="B51" s="12" t="s">
        <v>133</v>
      </c>
      <c r="C51" s="17" t="n">
        <f aca="false">(輸入與假設!$C$173*輸入與假設!$C$99+輸入與假設!$E$199)/輸入與假設!$E$191</f>
        <v>6.19241327927366</v>
      </c>
      <c r="I51" s="7" t="s">
        <v>134</v>
      </c>
    </row>
    <row r="52" customFormat="false" ht="15" hidden="false" customHeight="false" outlineLevel="1" collapsed="false">
      <c r="A52" s="3" t="s">
        <v>135</v>
      </c>
      <c r="B52" s="12" t="s">
        <v>133</v>
      </c>
      <c r="C52" s="17" t="n">
        <f aca="false">(輸入與假設!$C$98*輸入與假設!$C$99+輸入與假設!$E$199)/輸入與假設!$E$191</f>
        <v>5.16149669057768</v>
      </c>
      <c r="I52" s="7" t="s">
        <v>136</v>
      </c>
    </row>
    <row r="53" customFormat="false" ht="15" hidden="false" customHeight="false" outlineLevel="1" collapsed="false">
      <c r="A53" s="3" t="s">
        <v>137</v>
      </c>
      <c r="B53" s="12" t="s">
        <v>133</v>
      </c>
      <c r="C53" s="17" t="n">
        <f aca="false">MAX(輸入與假設!$C$110,輸入與假設!$C$111)</f>
        <v>6</v>
      </c>
      <c r="I53" s="7" t="s">
        <v>138</v>
      </c>
    </row>
    <row r="54" customFormat="false" ht="15" hidden="false" customHeight="false" outlineLevel="1" collapsed="false">
      <c r="A54" s="2" t="s">
        <v>139</v>
      </c>
      <c r="C54" s="11" t="str">
        <f aca="false">"共識平均目標價 $"&amp;TEXT(輸入與假設!$C$173,"0.00")&amp;" 隱含 FY28 EV/EBITDA "&amp;TEXT(C51,"0.0")&amp;"x，"&amp;IF(ROUND(C51,1)&gt;C53,"高於",IF(ROUND(C51,1)&lt;C53,"低於","等於"))&amp;"模型方法區間上緣 "&amp;IF(C53=INT(C53),TEXT(C53,"0"),TEXT(C53,"0.0"))&amp;"x；現價 $"&amp;TEXT(輸入與假設!$C$98,"0.00")&amp;" 隱含 "&amp;TEXT(C52,"0.0")&amp;"x。"</f>
        <v>共識平均目標價 $140.81 隱含 FY28 EV/EBITDA 6.2x，高於模型方法區間上緣 6x；現價 $90.13 隱含 5.2x。</v>
      </c>
    </row>
    <row r="55" customFormat="false" ht="15" hidden="false" customHeight="false" outlineLevel="1" collapsed="false">
      <c r="A55" s="3" t="s">
        <v>140</v>
      </c>
      <c r="C55" s="18" t="n">
        <f aca="false">評價_反向DCF!B18</f>
        <v>10.5</v>
      </c>
      <c r="D55" s="18" t="n">
        <f aca="false">評價_反向DCF!C18</f>
        <v>14.0989</v>
      </c>
      <c r="E55" s="14" t="n">
        <f aca="false">評價_反向DCF!D18</f>
        <v>0.3428</v>
      </c>
      <c r="I55" s="7" t="s">
        <v>141</v>
      </c>
    </row>
    <row r="56" customFormat="false" ht="15" hidden="false" customHeight="false" outlineLevel="1" collapsed="false">
      <c r="A56" s="3" t="s">
        <v>142</v>
      </c>
      <c r="C56" s="18" t="n">
        <f aca="false">評價_反向DCF!B19</f>
        <v>34</v>
      </c>
      <c r="D56" s="18" t="n">
        <f aca="false">評價_反向DCF!C19</f>
        <v>20.2994</v>
      </c>
      <c r="E56" s="14" t="n">
        <f aca="false">評價_反向DCF!D19</f>
        <v>-0.403</v>
      </c>
    </row>
    <row r="57" customFormat="false" ht="15" hidden="false" customHeight="false" outlineLevel="1" collapsed="false">
      <c r="A57" s="3" t="s">
        <v>143</v>
      </c>
      <c r="C57" s="14" t="n">
        <f aca="false">評價_反向DCF!B20</f>
        <v>0.65</v>
      </c>
      <c r="D57" s="14" t="n">
        <f aca="false">評價_反向DCF!C20</f>
        <v>0.8566</v>
      </c>
      <c r="E57" s="14" t="n">
        <f aca="false">評價_反向DCF!D20</f>
        <v>0.2066</v>
      </c>
    </row>
    <row r="58" customFormat="false" ht="15" hidden="false" customHeight="false" outlineLevel="1" collapsed="false">
      <c r="A58" s="3" t="s">
        <v>144</v>
      </c>
      <c r="C58" s="18" t="n">
        <f aca="false">評價_反向DCF!B21</f>
        <v>10.5</v>
      </c>
      <c r="D58" s="18" t="n">
        <f aca="false">評價_反向DCF!C21</f>
        <v>12.3908</v>
      </c>
      <c r="E58" s="14" t="n">
        <f aca="false">評價_反向DCF!D21</f>
        <v>0.1801</v>
      </c>
    </row>
    <row r="60" customFormat="false" ht="15" hidden="false" customHeight="false" outlineLevel="0" collapsed="false">
      <c r="A60" s="8" t="s">
        <v>145</v>
      </c>
      <c r="B60" s="9"/>
      <c r="C60" s="9"/>
      <c r="D60" s="9"/>
      <c r="E60" s="9"/>
      <c r="F60" s="9"/>
      <c r="G60" s="9"/>
      <c r="H60" s="9"/>
    </row>
    <row r="61" customFormat="false" ht="15" hidden="false" customHeight="false" outlineLevel="1" collapsed="false">
      <c r="A61" s="3" t="s">
        <v>146</v>
      </c>
      <c r="C61" s="11" t="str">
        <f aca="false">季度追蹤!C12</f>
        <v>Q3'26</v>
      </c>
      <c r="I61" s="7" t="s">
        <v>147</v>
      </c>
    </row>
    <row r="62" customFormat="false" ht="15" hidden="false" customHeight="false" outlineLevel="1" collapsed="false">
      <c r="A62" s="3" t="s">
        <v>148</v>
      </c>
      <c r="B62" s="12" t="s">
        <v>91</v>
      </c>
      <c r="C62" s="11" t="n">
        <f aca="false">季度追蹤!C6</f>
        <v>3.66266666666667</v>
      </c>
      <c r="D62" s="11" t="n">
        <f aca="false">季度追蹤!D6</f>
        <v>3.541</v>
      </c>
      <c r="E62" s="11" t="n">
        <f aca="false">季度追蹤!F6</f>
        <v>3.45</v>
      </c>
      <c r="F62" s="11" t="n">
        <f aca="false">季度追蹤!G6</f>
        <v>3.6</v>
      </c>
      <c r="G62" s="11" t="str">
        <f aca="false">季度追蹤!I6</f>
        <v>待公布</v>
      </c>
      <c r="I62" s="7" t="s">
        <v>149</v>
      </c>
    </row>
    <row r="63" customFormat="false" ht="15" hidden="false" customHeight="false" outlineLevel="1" collapsed="false">
      <c r="A63" s="2" t="s">
        <v>150</v>
      </c>
      <c r="C63" s="11" t="str">
        <f aca="false">INDEX(季度追蹤!$C$139:$H$139,輸入與假設!$C$238)</f>
        <v>營收：模型 $3.66bn｜共識 $3.54bn（+3.4%）｜指引 $3.45–3.60bn（中點 +3.9%，高於上緣）〔觀點〕</v>
      </c>
    </row>
    <row r="64" customFormat="false" ht="15" hidden="false" customHeight="false" outlineLevel="1" collapsed="false">
      <c r="A64" s="3" t="s">
        <v>151</v>
      </c>
      <c r="B64" s="12" t="s">
        <v>91</v>
      </c>
      <c r="C64" s="11" t="n">
        <f aca="false">季度追蹤!C9</f>
        <v>-0.0134137432629213</v>
      </c>
      <c r="D64" s="11" t="str">
        <f aca="false">季度追蹤!D9</f>
        <v>不適用</v>
      </c>
      <c r="E64" s="11" t="n">
        <f aca="false">季度追蹤!F9</f>
        <v>0.2</v>
      </c>
      <c r="F64" s="11" t="n">
        <f aca="false">季度追蹤!G9</f>
        <v>0.26</v>
      </c>
      <c r="G64" s="11" t="str">
        <f aca="false">季度追蹤!I9</f>
        <v>待公布</v>
      </c>
      <c r="I64" s="7" t="s">
        <v>149</v>
      </c>
    </row>
    <row r="65" customFormat="false" ht="15" hidden="false" customHeight="false" outlineLevel="1" collapsed="false">
      <c r="A65" s="2" t="s">
        <v>152</v>
      </c>
      <c r="C65" s="11" t="str">
        <f aca="false">INDEX(季度追蹤!$C$142:$H$142,輸入與假設!$C$238)</f>
        <v>調整後營業利益：模型 −$0.01bn｜指引 $0.20–0.26bn（中點 −$0.24bn／−6.9pt，低於下緣）〔已知限制〕</v>
      </c>
    </row>
    <row r="66" customFormat="false" ht="15" hidden="false" customHeight="false" outlineLevel="1" collapsed="false">
      <c r="A66" s="3" t="s">
        <v>153</v>
      </c>
      <c r="B66" s="12" t="s">
        <v>91</v>
      </c>
      <c r="C66" s="11" t="n">
        <f aca="false">季度追蹤!C10</f>
        <v>12.5</v>
      </c>
      <c r="D66" s="11" t="str">
        <f aca="false">季度追蹤!D10</f>
        <v>不適用</v>
      </c>
      <c r="E66" s="11" t="n">
        <f aca="false">季度追蹤!F10</f>
        <v>11.5</v>
      </c>
      <c r="F66" s="11" t="n">
        <f aca="false">季度追蹤!G10</f>
        <v>13.5</v>
      </c>
      <c r="G66" s="11" t="str">
        <f aca="false">季度追蹤!I10</f>
        <v>待公布</v>
      </c>
      <c r="I66" s="7" t="s">
        <v>149</v>
      </c>
    </row>
    <row r="67" customFormat="false" ht="15" hidden="false" customHeight="false" outlineLevel="1" collapsed="false">
      <c r="A67" s="2" t="s">
        <v>154</v>
      </c>
      <c r="C67" s="11" t="str">
        <f aca="false">INDEX(季度追蹤!$C$143:$H$143,輸入與假設!$C$238)</f>
        <v>CapEx（毛額）：模型 $12.50bn｜指引 $11.50–13.50bn（中點 +0.0%，區間上半部）</v>
      </c>
    </row>
    <row r="68" customFormat="false" ht="15" hidden="false" customHeight="false" outlineLevel="1" collapsed="false">
      <c r="A68" s="3" t="s">
        <v>155</v>
      </c>
      <c r="B68" s="7" t="s">
        <v>156</v>
      </c>
      <c r="C68" s="10" t="n">
        <f aca="false">輸入與假設!$C$183</f>
        <v>21</v>
      </c>
      <c r="D68" s="10" t="n">
        <f aca="false">輸入與假設!$C$184</f>
        <v>7</v>
      </c>
      <c r="E68" s="10" t="n">
        <f aca="false">輸入與假設!$C$185</f>
        <v>9</v>
      </c>
      <c r="F68" s="10" t="n">
        <f aca="false">輸入與假設!$C$186</f>
        <v>1</v>
      </c>
      <c r="G68" s="10" t="n">
        <f aca="false">輸入與假設!$C$187</f>
        <v>2</v>
      </c>
      <c r="I68" s="12" t="s">
        <v>157</v>
      </c>
    </row>
    <row r="69" customFormat="false" ht="15" hidden="false" customHeight="false" outlineLevel="1" collapsed="false">
      <c r="A69" s="3" t="s">
        <v>158</v>
      </c>
      <c r="B69" s="12" t="s">
        <v>74</v>
      </c>
      <c r="C69" s="13" t="n">
        <f aca="false">輸入與假設!$C$173</f>
        <v>140.81</v>
      </c>
      <c r="D69" s="13" t="n">
        <f aca="false">輸入與假設!$C$174</f>
        <v>140</v>
      </c>
      <c r="E69" s="13" t="n">
        <f aca="false">輸入與假設!$C$175</f>
        <v>39</v>
      </c>
      <c r="F69" s="13" t="n">
        <f aca="false">輸入與假設!$C$176</f>
        <v>317</v>
      </c>
      <c r="I69" s="12" t="s">
        <v>159</v>
      </c>
    </row>
    <row r="70" customFormat="false" ht="15" hidden="false" customHeight="false" outlineLevel="1" collapsed="false"/>
    <row r="71" customFormat="false" ht="15" hidden="false" customHeight="false" outlineLevel="1" collapsed="false">
      <c r="A71" s="7" t="s">
        <v>160</v>
      </c>
    </row>
    <row r="72" customFormat="false" ht="15" hidden="false" customHeight="false" outlineLevel="1" collapsed="false">
      <c r="A72" s="7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2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6" t="s">
        <v>162</v>
      </c>
    </row>
    <row r="2" customFormat="false" ht="15" hidden="false" customHeight="false" outlineLevel="0" collapsed="false">
      <c r="A2" s="12" t="s">
        <v>163</v>
      </c>
    </row>
    <row r="4" customFormat="false" ht="15" hidden="false" customHeight="false" outlineLevel="0" collapsed="false">
      <c r="A4" s="8" t="s">
        <v>164</v>
      </c>
      <c r="B4" s="9"/>
      <c r="C4" s="9"/>
      <c r="D4" s="9"/>
      <c r="E4" s="9"/>
      <c r="F4" s="9"/>
      <c r="G4" s="9"/>
      <c r="H4" s="9"/>
    </row>
    <row r="5" customFormat="false" ht="15" hidden="false" customHeight="false" outlineLevel="1" collapsed="false">
      <c r="A5" s="2" t="s">
        <v>165</v>
      </c>
      <c r="C5" s="19" t="n">
        <v>2</v>
      </c>
      <c r="D5" s="2" t="str">
        <f aca="false">CHOOSE(C5,"保守 4.2 GW","基準 5.6 GW","積極 8 GW")</f>
        <v>基準 5.6 GW</v>
      </c>
      <c r="I5" s="7" t="s">
        <v>166</v>
      </c>
    </row>
    <row r="6" customFormat="false" ht="15" hidden="false" customHeight="false" outlineLevel="1" collapsed="false">
      <c r="A6" s="20" t="s">
        <v>167</v>
      </c>
      <c r="B6" s="21"/>
      <c r="C6" s="21"/>
      <c r="D6" s="21"/>
      <c r="E6" s="21"/>
      <c r="F6" s="21"/>
      <c r="G6" s="21"/>
      <c r="H6" s="21"/>
    </row>
    <row r="7" customFormat="false" ht="15" hidden="false" customHeight="false" outlineLevel="2" collapsed="false">
      <c r="A7" s="16" t="s">
        <v>168</v>
      </c>
      <c r="B7" s="15" t="s">
        <v>86</v>
      </c>
      <c r="C7" s="16" t="s">
        <v>87</v>
      </c>
      <c r="D7" s="16" t="s">
        <v>88</v>
      </c>
      <c r="E7" s="16" t="s">
        <v>89</v>
      </c>
      <c r="F7" s="16" t="s">
        <v>169</v>
      </c>
      <c r="G7" s="16" t="s">
        <v>170</v>
      </c>
      <c r="I7" s="16" t="s">
        <v>171</v>
      </c>
    </row>
    <row r="8" customFormat="false" ht="15" hidden="false" customHeight="false" outlineLevel="2" collapsed="false">
      <c r="A8" s="3" t="s">
        <v>172</v>
      </c>
      <c r="B8" s="12" t="s">
        <v>173</v>
      </c>
      <c r="C8" s="22" t="n">
        <v>1850</v>
      </c>
      <c r="D8" s="22" t="n">
        <v>3100</v>
      </c>
      <c r="E8" s="22" t="n">
        <v>3800</v>
      </c>
      <c r="F8" s="22" t="n">
        <v>4200</v>
      </c>
      <c r="G8" s="22" t="n">
        <v>4200</v>
      </c>
      <c r="I8" s="22" t="n">
        <v>0</v>
      </c>
      <c r="J8" s="7" t="s">
        <v>174</v>
      </c>
    </row>
    <row r="9" customFormat="false" ht="15" hidden="false" customHeight="false" outlineLevel="2" collapsed="false">
      <c r="A9" s="3" t="s">
        <v>175</v>
      </c>
      <c r="B9" s="12" t="s">
        <v>173</v>
      </c>
      <c r="C9" s="22" t="n">
        <v>1850</v>
      </c>
      <c r="D9" s="22" t="n">
        <v>3100</v>
      </c>
      <c r="E9" s="22" t="n">
        <v>4000</v>
      </c>
      <c r="F9" s="22" t="n">
        <v>4800</v>
      </c>
      <c r="G9" s="22" t="n">
        <v>5600</v>
      </c>
      <c r="I9" s="22" t="n">
        <v>500</v>
      </c>
      <c r="J9" s="12" t="s">
        <v>176</v>
      </c>
    </row>
    <row r="10" customFormat="false" ht="15" hidden="false" customHeight="false" outlineLevel="2" collapsed="false">
      <c r="A10" s="3" t="s">
        <v>177</v>
      </c>
      <c r="B10" s="12" t="s">
        <v>173</v>
      </c>
      <c r="C10" s="22" t="n">
        <v>1850</v>
      </c>
      <c r="D10" s="22" t="n">
        <v>3100</v>
      </c>
      <c r="E10" s="22" t="n">
        <v>4600</v>
      </c>
      <c r="F10" s="22" t="n">
        <v>6300</v>
      </c>
      <c r="G10" s="22" t="n">
        <v>8000</v>
      </c>
      <c r="I10" s="22" t="n">
        <v>1000</v>
      </c>
      <c r="J10" s="7" t="s">
        <v>178</v>
      </c>
    </row>
    <row r="11" customFormat="false" ht="15" hidden="false" customHeight="false" outlineLevel="2" collapsed="false">
      <c r="A11" s="4" t="s">
        <v>179</v>
      </c>
      <c r="B11" s="12" t="s">
        <v>77</v>
      </c>
      <c r="C11" s="23" t="n">
        <v>0.918918918918919</v>
      </c>
      <c r="D11" s="23" t="n">
        <v>0.935483870967742</v>
      </c>
      <c r="E11" s="23" t="n">
        <v>0.934782608695652</v>
      </c>
      <c r="F11" s="23" t="n">
        <v>0.936507936507937</v>
      </c>
      <c r="G11" s="23" t="n">
        <v>0.9375</v>
      </c>
      <c r="I11" s="7" t="s">
        <v>180</v>
      </c>
    </row>
    <row r="12" customFormat="false" ht="15" hidden="false" customHeight="false" outlineLevel="2" collapsed="false">
      <c r="A12" s="3" t="s">
        <v>181</v>
      </c>
      <c r="B12" s="12" t="s">
        <v>91</v>
      </c>
      <c r="C12" s="24" t="n">
        <v>0.3</v>
      </c>
      <c r="D12" s="24" t="n">
        <v>1.6</v>
      </c>
      <c r="E12" s="24" t="n">
        <v>3</v>
      </c>
      <c r="F12" s="24" t="n">
        <v>4</v>
      </c>
      <c r="G12" s="24" t="n">
        <v>4.6</v>
      </c>
      <c r="I12" s="7" t="s">
        <v>182</v>
      </c>
    </row>
    <row r="14" customFormat="false" ht="15" hidden="false" customHeight="false" outlineLevel="0" collapsed="false">
      <c r="A14" s="8" t="s">
        <v>183</v>
      </c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1" collapsed="false">
      <c r="A15" s="4" t="s">
        <v>184</v>
      </c>
      <c r="B15" s="12" t="s">
        <v>91</v>
      </c>
      <c r="C15" s="25" t="n">
        <v>103.7</v>
      </c>
      <c r="I15" s="12" t="s">
        <v>185</v>
      </c>
    </row>
    <row r="16" customFormat="false" ht="15" hidden="false" customHeight="false" outlineLevel="1" collapsed="false">
      <c r="A16" s="4" t="s">
        <v>186</v>
      </c>
      <c r="B16" s="12" t="s">
        <v>91</v>
      </c>
      <c r="C16" s="24" t="n">
        <v>25</v>
      </c>
      <c r="I16" s="7" t="s">
        <v>187</v>
      </c>
    </row>
    <row r="17" customFormat="false" ht="15" hidden="false" customHeight="false" outlineLevel="1" collapsed="false">
      <c r="A17" s="3" t="s">
        <v>188</v>
      </c>
      <c r="B17" s="12" t="s">
        <v>77</v>
      </c>
      <c r="C17" s="26" t="n">
        <v>0.84</v>
      </c>
      <c r="I17" s="12" t="s">
        <v>189</v>
      </c>
    </row>
    <row r="18" customFormat="false" ht="15" hidden="false" customHeight="false" outlineLevel="1" collapsed="false">
      <c r="A18" s="4" t="s">
        <v>190</v>
      </c>
      <c r="B18" s="12" t="s">
        <v>77</v>
      </c>
      <c r="C18" s="23" t="n">
        <v>0.84</v>
      </c>
      <c r="I18" s="7" t="s">
        <v>191</v>
      </c>
    </row>
    <row r="19" customFormat="false" ht="15" hidden="false" customHeight="false" outlineLevel="1" collapsed="false">
      <c r="A19" s="4" t="s">
        <v>192</v>
      </c>
      <c r="B19" s="12" t="s">
        <v>173</v>
      </c>
      <c r="C19" s="22" t="n">
        <v>850</v>
      </c>
      <c r="I19" s="12" t="s">
        <v>193</v>
      </c>
    </row>
    <row r="20" customFormat="false" ht="15" hidden="false" customHeight="false" outlineLevel="1" collapsed="false">
      <c r="A20" s="4" t="s">
        <v>194</v>
      </c>
      <c r="B20" s="12" t="s">
        <v>173</v>
      </c>
      <c r="C20" s="22" t="n">
        <v>1350</v>
      </c>
      <c r="I20" s="7" t="s">
        <v>195</v>
      </c>
    </row>
    <row r="21" customFormat="false" ht="15" hidden="false" customHeight="false" outlineLevel="1" collapsed="false">
      <c r="A21" s="3" t="s">
        <v>196</v>
      </c>
      <c r="B21" s="7"/>
      <c r="C21" s="22" t="n">
        <v>1</v>
      </c>
      <c r="I21" s="12" t="s">
        <v>197</v>
      </c>
    </row>
    <row r="22" customFormat="false" ht="15" hidden="false" customHeight="false" outlineLevel="1" collapsed="false">
      <c r="A22" s="3" t="s">
        <v>198</v>
      </c>
      <c r="B22" s="12" t="s">
        <v>77</v>
      </c>
      <c r="C22" s="23" t="n">
        <v>1</v>
      </c>
      <c r="I22" s="7" t="s">
        <v>199</v>
      </c>
    </row>
    <row r="23" customFormat="false" ht="15" hidden="false" customHeight="false" outlineLevel="1" collapsed="false">
      <c r="A23" s="15" t="s">
        <v>85</v>
      </c>
      <c r="B23" s="15" t="s">
        <v>86</v>
      </c>
      <c r="C23" s="27" t="s">
        <v>87</v>
      </c>
      <c r="D23" s="27" t="s">
        <v>88</v>
      </c>
      <c r="E23" s="27" t="s">
        <v>89</v>
      </c>
      <c r="F23" s="27" t="s">
        <v>169</v>
      </c>
      <c r="G23" s="27" t="s">
        <v>170</v>
      </c>
      <c r="I23" s="15" t="s">
        <v>200</v>
      </c>
    </row>
    <row r="24" customFormat="false" ht="15" hidden="false" customHeight="false" outlineLevel="1" collapsed="false">
      <c r="A24" s="3" t="s">
        <v>201</v>
      </c>
      <c r="B24" s="7"/>
      <c r="C24" s="24" t="n">
        <v>0.5</v>
      </c>
      <c r="D24" s="24" t="n">
        <v>1</v>
      </c>
      <c r="E24" s="24" t="n">
        <v>1</v>
      </c>
      <c r="F24" s="24" t="n">
        <v>1</v>
      </c>
      <c r="G24" s="24" t="n">
        <v>1</v>
      </c>
      <c r="I24" s="7" t="s">
        <v>202</v>
      </c>
    </row>
    <row r="25" customFormat="false" ht="15" hidden="false" customHeight="false" outlineLevel="1" collapsed="false">
      <c r="A25" s="4" t="s">
        <v>203</v>
      </c>
      <c r="B25" s="12" t="s">
        <v>77</v>
      </c>
      <c r="C25" s="23" t="n">
        <v>0.1025</v>
      </c>
      <c r="D25" s="23" t="n">
        <v>0.205</v>
      </c>
      <c r="E25" s="23" t="n">
        <v>0.2</v>
      </c>
      <c r="F25" s="23" t="n">
        <v>0.195</v>
      </c>
      <c r="G25" s="23" t="n">
        <v>0.1375</v>
      </c>
      <c r="H25" s="28" t="n">
        <f aca="false">SUM(C25:G25)</f>
        <v>0.84</v>
      </c>
      <c r="I25" s="12" t="s">
        <v>204</v>
      </c>
    </row>
    <row r="26" customFormat="false" ht="15" hidden="false" customHeight="false" outlineLevel="1" collapsed="false">
      <c r="A26" s="4" t="s">
        <v>205</v>
      </c>
      <c r="B26" s="12" t="s">
        <v>173</v>
      </c>
      <c r="C26" s="29" t="n">
        <f aca="false">CHOOSE(輸入與假設!$C$5,C8,C9,C10)</f>
        <v>1850</v>
      </c>
      <c r="D26" s="29" t="n">
        <f aca="false">CHOOSE(輸入與假設!$C$5,D8,D9,D10)</f>
        <v>3100</v>
      </c>
      <c r="E26" s="29" t="n">
        <f aca="false">CHOOSE(輸入與假設!$C$5,E8,E9,E10)</f>
        <v>4000</v>
      </c>
      <c r="F26" s="29" t="n">
        <f aca="false">CHOOSE(輸入與假設!$C$5,F8,F9,F10)</f>
        <v>4800</v>
      </c>
      <c r="G26" s="29" t="n">
        <f aca="false">CHOOSE(輸入與假設!$C$5,G8,G9,G10)</f>
        <v>5600</v>
      </c>
      <c r="I26" s="7" t="s">
        <v>206</v>
      </c>
    </row>
    <row r="27" customFormat="false" ht="15" hidden="false" customHeight="false" outlineLevel="1" collapsed="false">
      <c r="A27" s="4" t="s">
        <v>207</v>
      </c>
      <c r="B27" s="12" t="s">
        <v>173</v>
      </c>
      <c r="C27" s="29" t="n">
        <f aca="false">ROUND(C26*C11,0)</f>
        <v>1700</v>
      </c>
      <c r="D27" s="29" t="n">
        <f aca="false">ROUND(D26*D11,0)</f>
        <v>2900</v>
      </c>
      <c r="E27" s="29" t="n">
        <f aca="false">ROUND(E26*E11,0)</f>
        <v>3739</v>
      </c>
      <c r="F27" s="29" t="n">
        <f aca="false">ROUND(F26*F11,0)</f>
        <v>4495</v>
      </c>
      <c r="G27" s="29" t="n">
        <f aca="false">ROUND(G26*G11,0)</f>
        <v>5250</v>
      </c>
      <c r="I27" s="7" t="s">
        <v>208</v>
      </c>
    </row>
    <row r="28" customFormat="false" ht="15" hidden="false" customHeight="false" outlineLevel="1" collapsed="false">
      <c r="A28" s="3" t="s">
        <v>209</v>
      </c>
      <c r="B28" s="12" t="s">
        <v>77</v>
      </c>
      <c r="C28" s="23" t="n">
        <v>0.95</v>
      </c>
      <c r="D28" s="23" t="n">
        <v>0.95</v>
      </c>
      <c r="E28" s="23" t="n">
        <v>0.94</v>
      </c>
      <c r="F28" s="23" t="n">
        <v>0.93</v>
      </c>
      <c r="G28" s="23" t="n">
        <v>0.92</v>
      </c>
      <c r="I28" s="7" t="s">
        <v>210</v>
      </c>
    </row>
    <row r="29" customFormat="false" ht="15" hidden="false" customHeight="false" outlineLevel="1" collapsed="false">
      <c r="A29" s="3" t="s">
        <v>211</v>
      </c>
      <c r="B29" s="12" t="s">
        <v>212</v>
      </c>
      <c r="C29" s="30" t="n">
        <v>0.0112</v>
      </c>
      <c r="D29" s="30" t="n">
        <v>0.0115</v>
      </c>
      <c r="E29" s="30" t="n">
        <v>0.0115</v>
      </c>
      <c r="F29" s="30" t="n">
        <v>0.011</v>
      </c>
      <c r="G29" s="30" t="n">
        <v>0.0105</v>
      </c>
      <c r="I29" s="7" t="s">
        <v>213</v>
      </c>
    </row>
    <row r="30" customFormat="false" ht="15" hidden="false" customHeight="false" outlineLevel="1" collapsed="false">
      <c r="A30" s="3" t="s">
        <v>214</v>
      </c>
      <c r="B30" s="12" t="s">
        <v>77</v>
      </c>
      <c r="C30" s="23" t="n">
        <v>1</v>
      </c>
      <c r="D30" s="23" t="n">
        <v>1</v>
      </c>
      <c r="E30" s="23" t="n">
        <v>0.9</v>
      </c>
      <c r="F30" s="23" t="n">
        <v>0.85</v>
      </c>
      <c r="G30" s="23" t="n">
        <v>0.8</v>
      </c>
      <c r="I30" s="7" t="s">
        <v>215</v>
      </c>
    </row>
    <row r="31" customFormat="false" ht="15" hidden="false" customHeight="false" outlineLevel="1" collapsed="false">
      <c r="A31" s="3" t="s">
        <v>216</v>
      </c>
      <c r="B31" s="12" t="s">
        <v>77</v>
      </c>
      <c r="C31" s="23" t="n">
        <v>0.005</v>
      </c>
      <c r="D31" s="23" t="n">
        <v>0.01</v>
      </c>
      <c r="E31" s="23" t="n">
        <v>0.015</v>
      </c>
      <c r="F31" s="23" t="n">
        <v>0.02</v>
      </c>
      <c r="G31" s="23" t="n">
        <v>0.025</v>
      </c>
      <c r="I31" s="7" t="s">
        <v>217</v>
      </c>
    </row>
    <row r="32" customFormat="false" ht="15" hidden="false" customHeight="false" outlineLevel="1" collapsed="false">
      <c r="A32" s="3" t="s">
        <v>218</v>
      </c>
      <c r="B32" s="12" t="s">
        <v>77</v>
      </c>
      <c r="C32" s="23" t="n">
        <v>0.5</v>
      </c>
      <c r="D32" s="23" t="n">
        <v>0.5</v>
      </c>
      <c r="E32" s="23" t="n">
        <v>0.5</v>
      </c>
      <c r="F32" s="23" t="n">
        <v>0.5</v>
      </c>
      <c r="G32" s="23" t="n">
        <v>0.5</v>
      </c>
      <c r="I32" s="12" t="s">
        <v>219</v>
      </c>
    </row>
    <row r="33" customFormat="false" ht="15" hidden="false" customHeight="false" outlineLevel="1" collapsed="false">
      <c r="A33" s="3" t="s">
        <v>220</v>
      </c>
      <c r="B33" s="12" t="s">
        <v>91</v>
      </c>
      <c r="C33" s="24" t="n">
        <v>0.3</v>
      </c>
      <c r="D33" s="24" t="n">
        <v>1</v>
      </c>
      <c r="E33" s="24" t="n">
        <v>1.8</v>
      </c>
      <c r="F33" s="24" t="n">
        <v>2.8</v>
      </c>
      <c r="G33" s="24" t="n">
        <v>3.8</v>
      </c>
      <c r="I33" s="7" t="s">
        <v>221</v>
      </c>
    </row>
    <row r="35" customFormat="false" ht="15" hidden="false" customHeight="false" outlineLevel="0" collapsed="false">
      <c r="A35" s="8" t="s">
        <v>222</v>
      </c>
      <c r="B35" s="9"/>
      <c r="C35" s="9"/>
      <c r="D35" s="9"/>
      <c r="E35" s="9"/>
      <c r="F35" s="9"/>
      <c r="G35" s="9"/>
      <c r="H35" s="9"/>
    </row>
    <row r="36" customFormat="false" ht="15" hidden="false" customHeight="false" outlineLevel="1" collapsed="false">
      <c r="A36" s="3" t="s">
        <v>223</v>
      </c>
      <c r="B36" s="12" t="s">
        <v>77</v>
      </c>
      <c r="C36" s="26" t="n">
        <v>0.59</v>
      </c>
      <c r="I36" s="12" t="s">
        <v>224</v>
      </c>
    </row>
    <row r="37" customFormat="false" ht="15" hidden="false" customHeight="false" outlineLevel="1" collapsed="false">
      <c r="A37" s="3" t="s">
        <v>225</v>
      </c>
      <c r="B37" s="12" t="s">
        <v>77</v>
      </c>
      <c r="C37" s="26" t="n">
        <v>0.65</v>
      </c>
      <c r="I37" s="7" t="s">
        <v>226</v>
      </c>
    </row>
    <row r="38" customFormat="false" ht="15" hidden="false" customHeight="false" outlineLevel="1" collapsed="false">
      <c r="A38" s="15" t="s">
        <v>85</v>
      </c>
      <c r="B38" s="15" t="s">
        <v>86</v>
      </c>
      <c r="C38" s="27" t="s">
        <v>87</v>
      </c>
      <c r="D38" s="27" t="s">
        <v>88</v>
      </c>
      <c r="E38" s="27" t="s">
        <v>89</v>
      </c>
      <c r="F38" s="27" t="s">
        <v>169</v>
      </c>
      <c r="G38" s="27" t="s">
        <v>170</v>
      </c>
      <c r="I38" s="15" t="s">
        <v>200</v>
      </c>
    </row>
    <row r="39" customFormat="false" ht="15" hidden="false" customHeight="false" outlineLevel="1" collapsed="false">
      <c r="A39" s="4" t="s">
        <v>227</v>
      </c>
      <c r="B39" s="12" t="s">
        <v>77</v>
      </c>
      <c r="C39" s="31" t="n">
        <f aca="false">輸入與假設!$C$36+(輸入與假設!$C$37-輸入與假設!$C$36)*0/4</f>
        <v>0.59</v>
      </c>
      <c r="D39" s="31" t="n">
        <f aca="false">輸入與假設!$C$36+(輸入與假設!$C$37-輸入與假設!$C$36)*1/4</f>
        <v>0.605</v>
      </c>
      <c r="E39" s="31" t="n">
        <f aca="false">輸入與假設!$C$36+(輸入與假設!$C$37-輸入與假設!$C$36)*2/4</f>
        <v>0.62</v>
      </c>
      <c r="F39" s="31" t="n">
        <f aca="false">輸入與假設!$C$36+(輸入與假設!$C$37-輸入與假設!$C$36)*3/4</f>
        <v>0.635</v>
      </c>
      <c r="G39" s="31" t="n">
        <f aca="false">輸入與假設!$C$36+(輸入與假設!$C$37-輸入與假設!$C$36)*4/4</f>
        <v>0.65</v>
      </c>
      <c r="I39" s="7" t="s">
        <v>228</v>
      </c>
    </row>
    <row r="40" customFormat="false" ht="15" hidden="false" customHeight="false" outlineLevel="1" collapsed="false">
      <c r="A40" s="3" t="s">
        <v>229</v>
      </c>
      <c r="B40" s="12" t="s">
        <v>91</v>
      </c>
      <c r="C40" s="32" t="n">
        <f aca="false">輸入與假設!C$33*運營_產能與收入!C35</f>
        <v>0.224783192677998</v>
      </c>
      <c r="D40" s="32" t="n">
        <f aca="false">輸入與假設!D$33*運營_產能與收入!D35</f>
        <v>0.755760692756674</v>
      </c>
      <c r="E40" s="32" t="n">
        <f aca="false">輸入與假設!E$33*運營_產能與收入!E35</f>
        <v>1.34795457559659</v>
      </c>
      <c r="F40" s="32" t="n">
        <f aca="false">輸入與假設!F$33*運營_產能與收入!F35</f>
        <v>2.11660002119496</v>
      </c>
      <c r="G40" s="32" t="n">
        <f aca="false">輸入與假設!G$33*運營_產能與收入!G35</f>
        <v>2.90837126816542</v>
      </c>
      <c r="I40" s="7" t="s">
        <v>230</v>
      </c>
    </row>
    <row r="41" customFormat="false" ht="15" hidden="false" customHeight="false" outlineLevel="1" collapsed="true">
      <c r="A41" s="20" t="s">
        <v>231</v>
      </c>
      <c r="B41" s="21"/>
      <c r="C41" s="21"/>
      <c r="D41" s="21"/>
      <c r="E41" s="21"/>
      <c r="F41" s="21"/>
      <c r="G41" s="21"/>
      <c r="H41" s="21"/>
    </row>
    <row r="42" customFormat="false" ht="15" hidden="true" customHeight="false" outlineLevel="2" collapsed="false">
      <c r="A42" s="3" t="s">
        <v>232</v>
      </c>
      <c r="B42" s="7"/>
      <c r="C42" s="22" t="n">
        <v>0</v>
      </c>
      <c r="I42" s="12" t="s">
        <v>233</v>
      </c>
    </row>
    <row r="43" customFormat="false" ht="15" hidden="true" customHeight="false" outlineLevel="2" collapsed="false">
      <c r="A43" s="3" t="s">
        <v>234</v>
      </c>
      <c r="B43" s="12" t="s">
        <v>235</v>
      </c>
      <c r="C43" s="22" t="n">
        <v>60</v>
      </c>
      <c r="D43" s="22" t="n">
        <v>62</v>
      </c>
      <c r="E43" s="22" t="n">
        <v>64</v>
      </c>
      <c r="F43" s="22" t="n">
        <v>66</v>
      </c>
      <c r="G43" s="22" t="n">
        <v>68</v>
      </c>
      <c r="I43" s="12" t="s">
        <v>236</v>
      </c>
    </row>
    <row r="44" customFormat="false" ht="15" hidden="true" customHeight="false" outlineLevel="2" collapsed="false">
      <c r="A44" s="4" t="s">
        <v>237</v>
      </c>
      <c r="B44" s="7"/>
      <c r="C44" s="33" t="n">
        <v>1.25</v>
      </c>
      <c r="D44" s="33" t="n">
        <v>1.24</v>
      </c>
      <c r="E44" s="33" t="n">
        <v>1.22</v>
      </c>
      <c r="F44" s="33" t="n">
        <v>1.2</v>
      </c>
      <c r="G44" s="33" t="n">
        <v>1.2</v>
      </c>
      <c r="I44" s="12" t="s">
        <v>236</v>
      </c>
    </row>
    <row r="45" customFormat="false" ht="15" hidden="true" customHeight="false" outlineLevel="2" collapsed="false">
      <c r="A45" s="3" t="s">
        <v>238</v>
      </c>
      <c r="B45" s="12" t="s">
        <v>239</v>
      </c>
      <c r="C45" s="33" t="n">
        <v>0.15</v>
      </c>
      <c r="D45" s="33" t="n">
        <v>0.15</v>
      </c>
      <c r="E45" s="33" t="n">
        <v>0.16</v>
      </c>
      <c r="F45" s="33" t="n">
        <v>0.16</v>
      </c>
      <c r="G45" s="33" t="n">
        <v>0.17</v>
      </c>
      <c r="I45" s="12" t="s">
        <v>236</v>
      </c>
    </row>
    <row r="47" customFormat="false" ht="15" hidden="false" customHeight="false" outlineLevel="0" collapsed="false">
      <c r="A47" s="8" t="s">
        <v>240</v>
      </c>
      <c r="B47" s="9"/>
      <c r="C47" s="9"/>
      <c r="D47" s="9"/>
      <c r="E47" s="9"/>
      <c r="F47" s="9"/>
      <c r="G47" s="9"/>
      <c r="H47" s="9"/>
    </row>
    <row r="48" customFormat="false" ht="15" hidden="false" customHeight="false" outlineLevel="1" collapsed="false">
      <c r="A48" s="3" t="s">
        <v>241</v>
      </c>
      <c r="B48" s="12" t="s">
        <v>77</v>
      </c>
      <c r="C48" s="23" t="n">
        <v>0.35</v>
      </c>
      <c r="I48" s="7" t="s">
        <v>242</v>
      </c>
    </row>
    <row r="49" customFormat="false" ht="15" hidden="false" customHeight="false" outlineLevel="1" collapsed="false">
      <c r="A49" s="4" t="s">
        <v>243</v>
      </c>
      <c r="B49" s="12" t="s">
        <v>173</v>
      </c>
      <c r="C49" s="29" t="n">
        <f aca="false">CHOOSE(輸入與假設!$C$5,I8,I9,I10)</f>
        <v>500</v>
      </c>
      <c r="I49" s="7" t="s">
        <v>244</v>
      </c>
    </row>
    <row r="50" customFormat="false" ht="15" hidden="false" customHeight="false" outlineLevel="1" collapsed="false">
      <c r="A50" s="4" t="s">
        <v>245</v>
      </c>
      <c r="B50" s="12" t="s">
        <v>91</v>
      </c>
      <c r="C50" s="24" t="n">
        <v>35</v>
      </c>
      <c r="I50" s="7" t="s">
        <v>246</v>
      </c>
    </row>
    <row r="51" customFormat="false" ht="15" hidden="false" customHeight="false" outlineLevel="1" collapsed="false">
      <c r="A51" s="4" t="s">
        <v>247</v>
      </c>
      <c r="B51" s="7" t="s">
        <v>248</v>
      </c>
      <c r="C51" s="22" t="n">
        <v>6</v>
      </c>
      <c r="I51" s="7" t="s">
        <v>249</v>
      </c>
    </row>
    <row r="52" customFormat="false" ht="15" hidden="false" customHeight="false" outlineLevel="1" collapsed="false">
      <c r="A52" s="4" t="s">
        <v>250</v>
      </c>
      <c r="B52" s="12" t="s">
        <v>173</v>
      </c>
      <c r="C52" s="22" t="n">
        <v>100</v>
      </c>
      <c r="I52" s="7" t="s">
        <v>251</v>
      </c>
    </row>
    <row r="53" customFormat="false" ht="15" hidden="false" customHeight="false" outlineLevel="1" collapsed="false">
      <c r="A53" s="4" t="s">
        <v>252</v>
      </c>
      <c r="B53" s="12" t="s">
        <v>173</v>
      </c>
      <c r="C53" s="22" t="n">
        <v>360</v>
      </c>
      <c r="I53" s="12" t="s">
        <v>253</v>
      </c>
    </row>
    <row r="54" customFormat="false" ht="15" hidden="false" customHeight="false" outlineLevel="1" collapsed="false">
      <c r="A54" s="4" t="s">
        <v>254</v>
      </c>
      <c r="B54" s="12" t="s">
        <v>91</v>
      </c>
      <c r="C54" s="24" t="n">
        <v>46.736</v>
      </c>
      <c r="I54" s="12" t="s">
        <v>255</v>
      </c>
    </row>
    <row r="55" customFormat="false" ht="15" hidden="false" customHeight="false" outlineLevel="1" collapsed="false">
      <c r="A55" s="3" t="s">
        <v>256</v>
      </c>
      <c r="B55" s="12" t="s">
        <v>77</v>
      </c>
      <c r="C55" s="23" t="n">
        <v>1</v>
      </c>
      <c r="I55" s="7" t="s">
        <v>257</v>
      </c>
    </row>
    <row r="56" customFormat="false" ht="15" hidden="false" customHeight="false" outlineLevel="1" collapsed="false">
      <c r="A56" s="15" t="s">
        <v>85</v>
      </c>
      <c r="B56" s="15" t="s">
        <v>86</v>
      </c>
      <c r="C56" s="27" t="s">
        <v>87</v>
      </c>
      <c r="D56" s="27" t="s">
        <v>88</v>
      </c>
      <c r="E56" s="27" t="s">
        <v>89</v>
      </c>
      <c r="F56" s="27" t="s">
        <v>169</v>
      </c>
      <c r="G56" s="27" t="s">
        <v>170</v>
      </c>
      <c r="I56" s="15" t="s">
        <v>200</v>
      </c>
    </row>
    <row r="57" customFormat="false" ht="15" hidden="false" customHeight="false" outlineLevel="1" collapsed="false">
      <c r="A57" s="3" t="s">
        <v>258</v>
      </c>
      <c r="B57" s="12" t="s">
        <v>239</v>
      </c>
      <c r="C57" s="34" t="n">
        <v>34</v>
      </c>
      <c r="D57" s="34" t="n">
        <v>34</v>
      </c>
      <c r="E57" s="34" t="n">
        <v>34</v>
      </c>
      <c r="F57" s="34" t="n">
        <v>34</v>
      </c>
      <c r="G57" s="34" t="n">
        <v>34</v>
      </c>
      <c r="I57" s="12" t="s">
        <v>259</v>
      </c>
    </row>
    <row r="58" customFormat="false" ht="15" hidden="false" customHeight="false" outlineLevel="1" collapsed="false">
      <c r="A58" s="3" t="s">
        <v>260</v>
      </c>
      <c r="B58" s="12" t="s">
        <v>77</v>
      </c>
      <c r="C58" s="23" t="n">
        <v>0.08</v>
      </c>
      <c r="D58" s="23" t="n">
        <v>0.08</v>
      </c>
      <c r="E58" s="23" t="n">
        <v>0.08</v>
      </c>
      <c r="F58" s="23" t="n">
        <v>0.08</v>
      </c>
      <c r="G58" s="23" t="n">
        <v>0.08</v>
      </c>
      <c r="I58" s="12" t="s">
        <v>261</v>
      </c>
    </row>
    <row r="59" customFormat="false" ht="15" hidden="false" customHeight="false" outlineLevel="1" collapsed="false">
      <c r="A59" s="3" t="s">
        <v>262</v>
      </c>
      <c r="B59" s="12" t="s">
        <v>91</v>
      </c>
      <c r="C59" s="24" t="n">
        <v>1.04</v>
      </c>
      <c r="D59" s="24" t="n">
        <v>2.339</v>
      </c>
      <c r="E59" s="24" t="n">
        <v>2.306</v>
      </c>
      <c r="F59" s="24" t="n">
        <v>2.373</v>
      </c>
      <c r="G59" s="24" t="n">
        <v>2.289</v>
      </c>
      <c r="I59" s="7" t="s">
        <v>263</v>
      </c>
    </row>
    <row r="60" customFormat="false" ht="15" hidden="false" customHeight="false" outlineLevel="1" collapsed="false">
      <c r="A60" s="3" t="s">
        <v>264</v>
      </c>
      <c r="B60" s="12" t="s">
        <v>91</v>
      </c>
      <c r="C60" s="32" t="n">
        <f aca="false">C12*MAX(0,C26-1500)/(C10-1500)</f>
        <v>0.3</v>
      </c>
      <c r="D60" s="32" t="n">
        <f aca="false">D12*MAX(0,D26-1500)/(D10-1500)</f>
        <v>1.6</v>
      </c>
      <c r="E60" s="32" t="n">
        <f aca="false">E12*MAX(0,E26-1500)/(E10-1500)</f>
        <v>2.41935483870968</v>
      </c>
      <c r="F60" s="32" t="n">
        <f aca="false">F12*MAX(0,F26-1500)/(F10-1500)</f>
        <v>2.75</v>
      </c>
      <c r="G60" s="32" t="n">
        <f aca="false">G12*MAX(0,G26-1500)/(G10-1500)</f>
        <v>2.90153846153846</v>
      </c>
      <c r="I60" s="7" t="s">
        <v>265</v>
      </c>
    </row>
    <row r="61" customFormat="false" ht="15" hidden="false" customHeight="false" outlineLevel="1" collapsed="false">
      <c r="A61" s="4" t="s">
        <v>266</v>
      </c>
      <c r="B61" s="12" t="s">
        <v>91</v>
      </c>
      <c r="C61" s="24" t="n">
        <v>1.15</v>
      </c>
      <c r="D61" s="24" t="n">
        <v>0</v>
      </c>
      <c r="E61" s="24" t="n">
        <v>0</v>
      </c>
      <c r="F61" s="24" t="n">
        <v>0</v>
      </c>
      <c r="G61" s="24" t="n">
        <v>0</v>
      </c>
      <c r="I61" s="12" t="s">
        <v>267</v>
      </c>
    </row>
    <row r="62" customFormat="false" ht="15" hidden="false" customHeight="false" outlineLevel="1" collapsed="false">
      <c r="A62" s="4" t="s">
        <v>268</v>
      </c>
      <c r="B62" s="12" t="s">
        <v>91</v>
      </c>
      <c r="C62" s="24" t="n">
        <v>0.1</v>
      </c>
      <c r="D62" s="24" t="n">
        <v>0.4</v>
      </c>
      <c r="E62" s="24" t="n">
        <v>0.3</v>
      </c>
      <c r="F62" s="24" t="n">
        <v>0.2</v>
      </c>
      <c r="G62" s="24" t="n">
        <v>0.2</v>
      </c>
      <c r="I62" s="7" t="s">
        <v>269</v>
      </c>
    </row>
    <row r="63" customFormat="false" ht="15" hidden="false" customHeight="false" outlineLevel="1" collapsed="false">
      <c r="A63" s="4" t="s">
        <v>270</v>
      </c>
      <c r="B63" s="12" t="s">
        <v>91</v>
      </c>
      <c r="C63" s="32" t="n">
        <f aca="false">C61+C62</f>
        <v>1.25</v>
      </c>
      <c r="D63" s="32" t="n">
        <f aca="false">D61+D62</f>
        <v>0.4</v>
      </c>
      <c r="E63" s="32" t="n">
        <f aca="false">E61+E62</f>
        <v>0.3</v>
      </c>
      <c r="F63" s="32" t="n">
        <f aca="false">F61+F62</f>
        <v>0.2</v>
      </c>
      <c r="G63" s="32" t="n">
        <f aca="false">G61+G62</f>
        <v>0.2</v>
      </c>
      <c r="I63" s="7" t="s">
        <v>271</v>
      </c>
    </row>
    <row r="64" customFormat="false" ht="15" hidden="false" customHeight="false" outlineLevel="1" collapsed="true">
      <c r="A64" s="35" t="s">
        <v>272</v>
      </c>
      <c r="B64" s="21"/>
      <c r="C64" s="21"/>
      <c r="D64" s="21"/>
      <c r="E64" s="21"/>
      <c r="F64" s="21"/>
      <c r="G64" s="21"/>
      <c r="H64" s="21"/>
    </row>
    <row r="65" customFormat="false" ht="15" hidden="true" customHeight="false" outlineLevel="2" collapsed="false">
      <c r="A65" s="3" t="s">
        <v>273</v>
      </c>
      <c r="B65" s="12" t="s">
        <v>173</v>
      </c>
      <c r="C65" s="29" t="n">
        <f aca="false">輸入與假設!$C$19</f>
        <v>850</v>
      </c>
      <c r="D65" s="29" t="n">
        <f aca="false">C26</f>
        <v>1850</v>
      </c>
      <c r="E65" s="29" t="n">
        <f aca="false">D26</f>
        <v>3100</v>
      </c>
      <c r="F65" s="29" t="n">
        <f aca="false">E26</f>
        <v>4000</v>
      </c>
      <c r="G65" s="29" t="n">
        <f aca="false">F26</f>
        <v>4800</v>
      </c>
      <c r="I65" s="12" t="s">
        <v>274</v>
      </c>
    </row>
    <row r="66" customFormat="false" ht="15" hidden="true" customHeight="false" outlineLevel="2" collapsed="false">
      <c r="A66" s="3" t="s">
        <v>275</v>
      </c>
      <c r="B66" s="12" t="s">
        <v>173</v>
      </c>
      <c r="C66" s="29" t="n">
        <f aca="false">C26-C65</f>
        <v>1000</v>
      </c>
      <c r="D66" s="29" t="n">
        <f aca="false">D26-D65</f>
        <v>1250</v>
      </c>
      <c r="E66" s="29" t="n">
        <f aca="false">E26-E65</f>
        <v>900</v>
      </c>
      <c r="F66" s="29" t="n">
        <f aca="false">F26-F65</f>
        <v>800</v>
      </c>
      <c r="G66" s="29" t="n">
        <f aca="false">G26-G65</f>
        <v>800</v>
      </c>
    </row>
    <row r="67" customFormat="false" ht="15" hidden="true" customHeight="false" outlineLevel="2" collapsed="false">
      <c r="A67" s="3" t="s">
        <v>276</v>
      </c>
      <c r="B67" s="12" t="s">
        <v>173</v>
      </c>
      <c r="C67" s="29" t="n">
        <f aca="false">D26-C26</f>
        <v>1250</v>
      </c>
      <c r="D67" s="29" t="n">
        <f aca="false">E26-D26</f>
        <v>900</v>
      </c>
      <c r="E67" s="29" t="n">
        <f aca="false">F26-E26</f>
        <v>800</v>
      </c>
      <c r="F67" s="29" t="n">
        <f aca="false">G26-F26</f>
        <v>800</v>
      </c>
      <c r="G67" s="29" t="n">
        <f aca="false">輸入與假設!$C$49</f>
        <v>500</v>
      </c>
    </row>
    <row r="68" customFormat="false" ht="15" hidden="true" customHeight="false" outlineLevel="2" collapsed="false">
      <c r="A68" s="3" t="s">
        <v>277</v>
      </c>
      <c r="B68" s="12" t="s">
        <v>91</v>
      </c>
      <c r="C68" s="32" t="n">
        <f aca="false">(C66*(1-輸入與假設!$C$48)+C67*輸入與假設!$C$48)*C57*輸入與假設!$C$55/1000</f>
        <v>36.975</v>
      </c>
      <c r="D68" s="32" t="n">
        <f aca="false">(D66*(1-輸入與假設!$C$48)+D67*輸入與假設!$C$48)*D57*輸入與假設!$C$55/1000</f>
        <v>38.335</v>
      </c>
      <c r="E68" s="32" t="n">
        <f aca="false">(E66*(1-輸入與假設!$C$48)+E67*輸入與假設!$C$48)*E57*輸入與假設!$C$55/1000</f>
        <v>29.41</v>
      </c>
      <c r="F68" s="32" t="n">
        <f aca="false">(F66*(1-輸入與假設!$C$48)+F67*輸入與假設!$C$48)*F57*輸入與假設!$C$55/1000</f>
        <v>27.2</v>
      </c>
      <c r="G68" s="32" t="n">
        <f aca="false">(G66*(1-輸入與假設!$C$48)+G67*輸入與假設!$C$48)*G57*輸入與假設!$C$55/1000</f>
        <v>23.63</v>
      </c>
      <c r="I68" s="7" t="s">
        <v>278</v>
      </c>
    </row>
    <row r="69" customFormat="false" ht="15" hidden="true" customHeight="false" outlineLevel="2" collapsed="false">
      <c r="A69" s="3" t="s">
        <v>279</v>
      </c>
      <c r="B69" s="12" t="s">
        <v>91</v>
      </c>
      <c r="C69" s="32" t="n">
        <f aca="false">MAX(C68,輸入與假設!$C$50)-輸入與假設!$C$146</f>
        <v>20.836</v>
      </c>
      <c r="D69" s="32" t="n">
        <f aca="false">D68</f>
        <v>38.335</v>
      </c>
      <c r="E69" s="32" t="n">
        <f aca="false">E68</f>
        <v>29.41</v>
      </c>
      <c r="F69" s="32" t="n">
        <f aca="false">F68</f>
        <v>27.2</v>
      </c>
      <c r="G69" s="32" t="n">
        <f aca="false">G68</f>
        <v>23.63</v>
      </c>
      <c r="I69" s="12" t="s">
        <v>280</v>
      </c>
    </row>
    <row r="70" customFormat="false" ht="15" hidden="true" customHeight="false" outlineLevel="2" collapsed="false">
      <c r="A70" s="4" t="s">
        <v>281</v>
      </c>
      <c r="B70" s="12" t="s">
        <v>91</v>
      </c>
      <c r="C70" s="32" t="n">
        <f aca="false">IF(2026-輸入與假設!$C$51=2023,輸入與假設!$C$52,IF(2026-輸入與假設!$C$51=2024,輸入與假設!$C$53-輸入與假設!$C$52,IF(2026-輸入與假設!$C$51=2025,輸入與假設!$C$19-輸入與假設!$C$53,0)))*C57*輸入與假設!$C$55/1000</f>
        <v>0</v>
      </c>
      <c r="D70" s="32" t="n">
        <f aca="false">IF(2027-輸入與假設!$C$51=2023,輸入與假設!$C$52,IF(2027-輸入與假設!$C$51=2024,輸入與假設!$C$53-輸入與假設!$C$52,IF(2027-輸入與假設!$C$51=2025,輸入與假設!$C$19-輸入與假設!$C$53,0)))*D57*輸入與假設!$C$55/1000</f>
        <v>0</v>
      </c>
      <c r="E70" s="32" t="n">
        <f aca="false">IF(2028-輸入與假設!$C$51=2023,輸入與假設!$C$52,IF(2028-輸入與假設!$C$51=2024,輸入與假設!$C$53-輸入與假設!$C$52,IF(2028-輸入與假設!$C$51=2025,輸入與假設!$C$19-輸入與假設!$C$53,0)))*E57*輸入與假設!$C$55/1000</f>
        <v>0</v>
      </c>
      <c r="F70" s="32" t="n">
        <f aca="false">IF(2029-輸入與假設!$C$51=2023,輸入與假設!$C$52,IF(2029-輸入與假設!$C$51=2024,輸入與假設!$C$53-輸入與假設!$C$52,IF(2029-輸入與假設!$C$51=2025,輸入與假設!$C$19-輸入與假設!$C$53,0)))*F57*輸入與假設!$C$55/1000</f>
        <v>3.4</v>
      </c>
      <c r="G70" s="32" t="n">
        <f aca="false">IF(2030-輸入與假設!$C$51=2023,輸入與假設!$C$52,IF(2030-輸入與假設!$C$51=2024,輸入與假設!$C$53-輸入與假設!$C$52,IF(2030-輸入與假設!$C$51=2025,輸入與假設!$C$19-輸入與假設!$C$53,0)))*G57*輸入與假設!$C$55/1000</f>
        <v>8.84</v>
      </c>
      <c r="I70" s="7" t="s">
        <v>282</v>
      </c>
    </row>
    <row r="71" customFormat="false" ht="15" hidden="true" customHeight="false" outlineLevel="2" collapsed="false">
      <c r="A71" s="3" t="s">
        <v>283</v>
      </c>
      <c r="B71" s="12" t="s">
        <v>91</v>
      </c>
      <c r="C71" s="32" t="n">
        <f aca="false">輸入與假設!$C$54</f>
        <v>46.736</v>
      </c>
      <c r="D71" s="32" t="n">
        <f aca="false">C71+C69</f>
        <v>67.572</v>
      </c>
      <c r="E71" s="32" t="n">
        <f aca="false">D71+D69</f>
        <v>105.907</v>
      </c>
      <c r="F71" s="32" t="n">
        <f aca="false">E71+E69</f>
        <v>135.317</v>
      </c>
      <c r="G71" s="32" t="n">
        <f aca="false">F71+F69</f>
        <v>162.517</v>
      </c>
      <c r="I71" s="7" t="s">
        <v>284</v>
      </c>
    </row>
    <row r="72" customFormat="false" ht="15" hidden="false" customHeight="false" outlineLevel="1" collapsed="false">
      <c r="A72" s="35" t="s">
        <v>285</v>
      </c>
      <c r="B72" s="21"/>
      <c r="C72" s="21"/>
      <c r="D72" s="21"/>
      <c r="E72" s="21"/>
      <c r="F72" s="21"/>
      <c r="G72" s="21"/>
      <c r="H72" s="21"/>
    </row>
    <row r="73" customFormat="false" ht="15" hidden="false" customHeight="false" outlineLevel="2" collapsed="false">
      <c r="A73" s="3" t="s">
        <v>286</v>
      </c>
      <c r="B73" s="12" t="s">
        <v>91</v>
      </c>
      <c r="C73" s="36" t="n">
        <f aca="false">C69+C70</f>
        <v>20.836</v>
      </c>
      <c r="D73" s="36" t="n">
        <f aca="false">D69+D70</f>
        <v>38.335</v>
      </c>
      <c r="E73" s="36" t="n">
        <f aca="false">E69+E70</f>
        <v>29.41</v>
      </c>
      <c r="F73" s="36" t="n">
        <f aca="false">F69+F70</f>
        <v>30.6</v>
      </c>
      <c r="G73" s="36" t="n">
        <f aca="false">G69+G70</f>
        <v>32.47</v>
      </c>
      <c r="I73" s="7" t="s">
        <v>287</v>
      </c>
    </row>
    <row r="74" customFormat="false" ht="15" hidden="false" customHeight="false" outlineLevel="2" collapsed="false">
      <c r="A74" s="4" t="s">
        <v>288</v>
      </c>
      <c r="B74" s="12" t="s">
        <v>91</v>
      </c>
      <c r="C74" s="36" t="n">
        <f aca="false">(C71+0.5*C69)/輸入與假設!$C$51*C24</f>
        <v>4.76283333333333</v>
      </c>
      <c r="D74" s="36" t="n">
        <f aca="false">(D71+0.5*D69)/輸入與假設!$C$51*D24</f>
        <v>14.4565833333333</v>
      </c>
      <c r="E74" s="36" t="n">
        <f aca="false">(E71+0.5*E69)/輸入與假設!$C$51*E24</f>
        <v>20.102</v>
      </c>
      <c r="F74" s="36" t="n">
        <f aca="false">(F71+0.5*F69)/輸入與假設!$C$51*F24</f>
        <v>24.8195</v>
      </c>
      <c r="G74" s="36" t="n">
        <f aca="false">(G71+0.5*G69)/輸入與假設!$C$51*G24</f>
        <v>29.0553333333333</v>
      </c>
      <c r="I74" s="7" t="s">
        <v>289</v>
      </c>
    </row>
    <row r="76" customFormat="false" ht="15" hidden="false" customHeight="false" outlineLevel="0" collapsed="false">
      <c r="A76" s="8" t="s">
        <v>290</v>
      </c>
      <c r="B76" s="9"/>
      <c r="C76" s="9"/>
      <c r="D76" s="9"/>
      <c r="E76" s="9"/>
      <c r="F76" s="9"/>
      <c r="G76" s="9"/>
      <c r="H76" s="9"/>
    </row>
    <row r="77" customFormat="false" ht="15" hidden="false" customHeight="false" outlineLevel="1" collapsed="false">
      <c r="A77" s="3" t="s">
        <v>291</v>
      </c>
      <c r="B77" s="12" t="s">
        <v>91</v>
      </c>
      <c r="C77" s="24" t="n">
        <v>5.5</v>
      </c>
      <c r="I77" s="12" t="s">
        <v>292</v>
      </c>
    </row>
    <row r="78" customFormat="false" ht="15" hidden="false" customHeight="false" outlineLevel="1" collapsed="false">
      <c r="A78" s="3" t="s">
        <v>293</v>
      </c>
      <c r="B78" s="12" t="s">
        <v>91</v>
      </c>
      <c r="C78" s="24" t="n">
        <v>6.2</v>
      </c>
      <c r="I78" s="12" t="s">
        <v>294</v>
      </c>
    </row>
    <row r="79" customFormat="false" ht="15" hidden="false" customHeight="false" outlineLevel="1" collapsed="false">
      <c r="A79" s="3" t="s">
        <v>295</v>
      </c>
      <c r="B79" s="7"/>
      <c r="C79" s="22" t="n">
        <v>1</v>
      </c>
      <c r="I79" s="7" t="s">
        <v>296</v>
      </c>
    </row>
    <row r="80" customFormat="false" ht="15" hidden="false" customHeight="false" outlineLevel="1" collapsed="false">
      <c r="A80" s="3" t="s">
        <v>297</v>
      </c>
      <c r="B80" s="12" t="s">
        <v>91</v>
      </c>
      <c r="C80" s="24" t="n">
        <v>10</v>
      </c>
      <c r="I80" s="12" t="s">
        <v>298</v>
      </c>
    </row>
    <row r="81" customFormat="false" ht="15" hidden="false" customHeight="false" outlineLevel="1" collapsed="false">
      <c r="A81" s="3" t="s">
        <v>299</v>
      </c>
      <c r="B81" s="7"/>
      <c r="C81" s="22" t="n">
        <v>1</v>
      </c>
      <c r="I81" s="7" t="s">
        <v>300</v>
      </c>
    </row>
    <row r="82" customFormat="false" ht="15" hidden="false" customHeight="false" outlineLevel="1" collapsed="false">
      <c r="A82" s="3" t="s">
        <v>301</v>
      </c>
      <c r="B82" s="7"/>
      <c r="C82" s="22" t="n">
        <v>1</v>
      </c>
      <c r="I82" s="12" t="s">
        <v>302</v>
      </c>
    </row>
    <row r="83" customFormat="false" ht="15" hidden="false" customHeight="false" outlineLevel="1" collapsed="false">
      <c r="A83" s="3" t="s">
        <v>303</v>
      </c>
      <c r="B83" s="12" t="s">
        <v>133</v>
      </c>
      <c r="C83" s="37" t="n">
        <v>1</v>
      </c>
      <c r="I83" s="7" t="s">
        <v>304</v>
      </c>
    </row>
    <row r="84" customFormat="false" ht="15" hidden="false" customHeight="false" outlineLevel="1" collapsed="false">
      <c r="A84" s="3" t="s">
        <v>305</v>
      </c>
      <c r="B84" s="7" t="s">
        <v>248</v>
      </c>
      <c r="C84" s="22" t="n">
        <v>5</v>
      </c>
      <c r="I84" s="12" t="s">
        <v>306</v>
      </c>
    </row>
    <row r="85" customFormat="false" ht="15" hidden="false" customHeight="false" outlineLevel="1" collapsed="false">
      <c r="A85" s="3" t="s">
        <v>307</v>
      </c>
      <c r="B85" s="12" t="s">
        <v>91</v>
      </c>
      <c r="C85" s="24" t="n">
        <v>2</v>
      </c>
      <c r="I85" s="7" t="s">
        <v>308</v>
      </c>
    </row>
    <row r="86" customFormat="false" ht="15" hidden="false" customHeight="false" outlineLevel="1" collapsed="false">
      <c r="A86" s="3" t="s">
        <v>309</v>
      </c>
      <c r="B86" s="12" t="s">
        <v>74</v>
      </c>
      <c r="C86" s="38" t="n">
        <v>90.13</v>
      </c>
      <c r="I86" s="7" t="s">
        <v>310</v>
      </c>
    </row>
    <row r="87" customFormat="false" ht="15" hidden="false" customHeight="false" outlineLevel="1" collapsed="false">
      <c r="A87" s="3" t="s">
        <v>311</v>
      </c>
      <c r="B87" s="12" t="s">
        <v>77</v>
      </c>
      <c r="C87" s="23" t="n">
        <v>0.1</v>
      </c>
      <c r="I87" s="7" t="s">
        <v>312</v>
      </c>
    </row>
    <row r="88" customFormat="false" ht="15" hidden="false" customHeight="false" outlineLevel="1" collapsed="false">
      <c r="A88" s="3" t="s">
        <v>313</v>
      </c>
      <c r="B88" s="12" t="s">
        <v>77</v>
      </c>
      <c r="C88" s="23" t="n">
        <v>0.2</v>
      </c>
      <c r="I88" s="12" t="s">
        <v>314</v>
      </c>
    </row>
    <row r="89" customFormat="false" ht="15" hidden="false" customHeight="false" outlineLevel="1" collapsed="false">
      <c r="A89" s="3" t="s">
        <v>315</v>
      </c>
      <c r="B89" s="12" t="s">
        <v>77</v>
      </c>
      <c r="C89" s="23" t="n">
        <v>0.12</v>
      </c>
      <c r="I89" s="7" t="s">
        <v>316</v>
      </c>
    </row>
    <row r="90" customFormat="false" ht="15" hidden="false" customHeight="false" outlineLevel="1" collapsed="false">
      <c r="A90" s="4" t="s">
        <v>317</v>
      </c>
      <c r="B90" s="12" t="s">
        <v>318</v>
      </c>
      <c r="C90" s="22" t="n">
        <v>720</v>
      </c>
      <c r="I90" s="12" t="s">
        <v>319</v>
      </c>
    </row>
    <row r="91" customFormat="false" ht="15" hidden="false" customHeight="false" outlineLevel="1" collapsed="false">
      <c r="A91" s="4" t="s">
        <v>320</v>
      </c>
      <c r="B91" s="7"/>
      <c r="C91" s="22" t="n">
        <v>0</v>
      </c>
      <c r="I91" s="7" t="s">
        <v>321</v>
      </c>
    </row>
    <row r="92" customFormat="false" ht="15" hidden="false" customHeight="false" outlineLevel="1" collapsed="false">
      <c r="A92" s="15" t="s">
        <v>85</v>
      </c>
      <c r="B92" s="15" t="s">
        <v>86</v>
      </c>
      <c r="C92" s="27" t="s">
        <v>87</v>
      </c>
      <c r="D92" s="27" t="s">
        <v>88</v>
      </c>
      <c r="E92" s="27" t="s">
        <v>89</v>
      </c>
      <c r="F92" s="27" t="s">
        <v>169</v>
      </c>
      <c r="G92" s="27" t="s">
        <v>170</v>
      </c>
      <c r="I92" s="15" t="s">
        <v>200</v>
      </c>
    </row>
    <row r="93" customFormat="false" ht="15" hidden="false" customHeight="false" outlineLevel="1" collapsed="false">
      <c r="A93" s="3" t="s">
        <v>322</v>
      </c>
      <c r="B93" s="12" t="s">
        <v>91</v>
      </c>
      <c r="C93" s="24" t="n">
        <v>4.413</v>
      </c>
      <c r="D93" s="24" t="n">
        <v>6.184</v>
      </c>
      <c r="E93" s="24" t="n">
        <v>4.416</v>
      </c>
      <c r="F93" s="24" t="n">
        <v>2.421</v>
      </c>
      <c r="G93" s="24" t="n">
        <v>3.221</v>
      </c>
      <c r="I93" s="7" t="s">
        <v>323</v>
      </c>
    </row>
    <row r="94" customFormat="false" ht="15" hidden="false" customHeight="false" outlineLevel="1" collapsed="false">
      <c r="A94" s="3" t="s">
        <v>324</v>
      </c>
      <c r="B94" s="12" t="s">
        <v>77</v>
      </c>
      <c r="C94" s="23" t="n">
        <v>0.09</v>
      </c>
      <c r="D94" s="23" t="n">
        <v>0.09</v>
      </c>
      <c r="E94" s="23" t="n">
        <v>0.09</v>
      </c>
      <c r="F94" s="23" t="n">
        <v>0.09</v>
      </c>
      <c r="G94" s="23" t="n">
        <v>0.09</v>
      </c>
      <c r="I94" s="7" t="s">
        <v>325</v>
      </c>
    </row>
    <row r="95" customFormat="false" ht="15" hidden="false" customHeight="false" outlineLevel="1" collapsed="false">
      <c r="A95" s="3" t="s">
        <v>326</v>
      </c>
      <c r="B95" s="12" t="s">
        <v>91</v>
      </c>
      <c r="C95" s="39" t="n">
        <f aca="false">資產負債_既有債務!C35</f>
        <v>1.80589628695395</v>
      </c>
      <c r="D95" s="39" t="n">
        <f aca="false">資產負債_既有債務!D35</f>
        <v>2.46600676169447</v>
      </c>
      <c r="E95" s="39" t="n">
        <f aca="false">資產負債_既有債務!E35</f>
        <v>2.02009474796771</v>
      </c>
      <c r="F95" s="39" t="n">
        <f aca="false">資產負債_既有債務!F35</f>
        <v>1.73248149911395</v>
      </c>
      <c r="G95" s="39" t="n">
        <f aca="false">資產負債_既有債務!G35</f>
        <v>1.49513851973222</v>
      </c>
      <c r="I95" s="7" t="s">
        <v>327</v>
      </c>
    </row>
    <row r="97" customFormat="false" ht="15" hidden="false" customHeight="false" outlineLevel="0" collapsed="false">
      <c r="A97" s="8" t="s">
        <v>328</v>
      </c>
      <c r="B97" s="9"/>
      <c r="C97" s="9"/>
      <c r="D97" s="9"/>
      <c r="E97" s="9"/>
      <c r="F97" s="9"/>
      <c r="G97" s="9"/>
      <c r="H97" s="9"/>
    </row>
    <row r="98" customFormat="false" ht="15" hidden="false" customHeight="false" outlineLevel="1" collapsed="false">
      <c r="A98" s="3" t="s">
        <v>329</v>
      </c>
      <c r="B98" s="12" t="s">
        <v>74</v>
      </c>
      <c r="C98" s="38" t="n">
        <v>90.13</v>
      </c>
      <c r="I98" s="12" t="s">
        <v>330</v>
      </c>
    </row>
    <row r="99" customFormat="false" ht="15" hidden="false" customHeight="false" outlineLevel="1" collapsed="false">
      <c r="A99" s="3" t="s">
        <v>331</v>
      </c>
      <c r="B99" s="12" t="s">
        <v>332</v>
      </c>
      <c r="C99" s="40" t="n">
        <v>0.587</v>
      </c>
      <c r="I99" s="12" t="s">
        <v>333</v>
      </c>
    </row>
    <row r="100" customFormat="false" ht="15" hidden="false" customHeight="false" outlineLevel="1" collapsed="false">
      <c r="A100" s="3" t="s">
        <v>334</v>
      </c>
      <c r="B100" s="12" t="s">
        <v>91</v>
      </c>
      <c r="C100" s="24" t="n">
        <v>30</v>
      </c>
      <c r="I100" s="7" t="s">
        <v>335</v>
      </c>
    </row>
    <row r="101" customFormat="false" ht="15" hidden="false" customHeight="false" outlineLevel="1" collapsed="false">
      <c r="A101" s="4" t="s">
        <v>336</v>
      </c>
      <c r="B101" s="12" t="s">
        <v>77</v>
      </c>
      <c r="C101" s="23" t="n">
        <v>0.11</v>
      </c>
      <c r="I101" s="12" t="s">
        <v>219</v>
      </c>
    </row>
    <row r="102" customFormat="false" ht="15" hidden="false" customHeight="false" outlineLevel="1" collapsed="false">
      <c r="A102" s="3" t="s">
        <v>337</v>
      </c>
      <c r="B102" s="12" t="s">
        <v>77</v>
      </c>
      <c r="C102" s="23" t="n">
        <v>0.03</v>
      </c>
      <c r="I102" s="12" t="s">
        <v>219</v>
      </c>
    </row>
    <row r="103" customFormat="false" ht="15" hidden="false" customHeight="false" outlineLevel="1" collapsed="false">
      <c r="A103" s="3" t="s">
        <v>338</v>
      </c>
      <c r="B103" s="12" t="s">
        <v>77</v>
      </c>
      <c r="C103" s="23" t="n">
        <v>0.8</v>
      </c>
      <c r="I103" s="7" t="s">
        <v>339</v>
      </c>
    </row>
    <row r="104" customFormat="false" ht="15" hidden="false" customHeight="false" outlineLevel="1" collapsed="false">
      <c r="A104" s="3" t="s">
        <v>340</v>
      </c>
      <c r="B104" s="12" t="s">
        <v>77</v>
      </c>
      <c r="C104" s="23" t="n">
        <v>0.21</v>
      </c>
      <c r="I104" s="7" t="s">
        <v>341</v>
      </c>
    </row>
    <row r="105" customFormat="false" ht="15" hidden="false" customHeight="false" outlineLevel="1" collapsed="false">
      <c r="A105" s="3" t="s">
        <v>342</v>
      </c>
      <c r="B105" s="12" t="s">
        <v>91</v>
      </c>
      <c r="C105" s="24" t="n">
        <v>4</v>
      </c>
      <c r="I105" s="12" t="s">
        <v>343</v>
      </c>
    </row>
    <row r="106" customFormat="false" ht="15" hidden="false" customHeight="false" outlineLevel="1" collapsed="false">
      <c r="A106" s="4" t="s">
        <v>344</v>
      </c>
      <c r="B106" s="12" t="s">
        <v>133</v>
      </c>
      <c r="C106" s="41" t="n">
        <v>6</v>
      </c>
      <c r="I106" s="7" t="s">
        <v>345</v>
      </c>
    </row>
    <row r="107" customFormat="false" ht="15" hidden="false" customHeight="false" outlineLevel="1" collapsed="false">
      <c r="A107" s="4" t="s">
        <v>346</v>
      </c>
      <c r="B107" s="7"/>
      <c r="C107" s="19" t="n">
        <v>3</v>
      </c>
      <c r="I107" s="7" t="s">
        <v>347</v>
      </c>
    </row>
    <row r="108" customFormat="false" ht="15" hidden="false" customHeight="false" outlineLevel="1" collapsed="false">
      <c r="A108" s="3" t="s">
        <v>348</v>
      </c>
      <c r="B108" s="12" t="s">
        <v>77</v>
      </c>
      <c r="C108" s="23" t="n">
        <v>0.45</v>
      </c>
      <c r="I108" s="7"/>
    </row>
    <row r="109" customFormat="false" ht="15" hidden="false" customHeight="false" outlineLevel="1" collapsed="false">
      <c r="A109" s="3" t="s">
        <v>349</v>
      </c>
      <c r="B109" s="12" t="s">
        <v>77</v>
      </c>
      <c r="C109" s="23" t="n">
        <v>0.55</v>
      </c>
      <c r="I109" s="7"/>
    </row>
    <row r="110" customFormat="false" ht="15" hidden="false" customHeight="false" outlineLevel="1" collapsed="false">
      <c r="A110" s="3" t="s">
        <v>350</v>
      </c>
      <c r="B110" s="12" t="s">
        <v>133</v>
      </c>
      <c r="C110" s="41" t="n">
        <v>5</v>
      </c>
      <c r="I110" s="12" t="s">
        <v>351</v>
      </c>
    </row>
    <row r="111" customFormat="false" ht="15" hidden="false" customHeight="false" outlineLevel="1" collapsed="false">
      <c r="A111" s="3" t="s">
        <v>352</v>
      </c>
      <c r="B111" s="12" t="s">
        <v>133</v>
      </c>
      <c r="C111" s="41" t="n">
        <v>6</v>
      </c>
      <c r="I111" s="7"/>
    </row>
    <row r="112" customFormat="false" ht="15" hidden="false" customHeight="false" outlineLevel="1" collapsed="false">
      <c r="A112" s="3" t="s">
        <v>353</v>
      </c>
      <c r="B112" s="12" t="s">
        <v>77</v>
      </c>
      <c r="C112" s="23" t="n">
        <v>0.01</v>
      </c>
      <c r="I112" s="12" t="s">
        <v>354</v>
      </c>
    </row>
    <row r="113" customFormat="false" ht="15" hidden="false" customHeight="false" outlineLevel="1" collapsed="false">
      <c r="A113" s="3" t="s">
        <v>355</v>
      </c>
      <c r="B113" s="12" t="s">
        <v>91</v>
      </c>
      <c r="C113" s="24" t="n">
        <v>0.7</v>
      </c>
      <c r="I113" s="12" t="s">
        <v>356</v>
      </c>
    </row>
    <row r="114" customFormat="false" ht="15" hidden="false" customHeight="false" outlineLevel="1" collapsed="false">
      <c r="A114" s="35" t="s">
        <v>357</v>
      </c>
      <c r="B114" s="21"/>
      <c r="C114" s="21"/>
      <c r="D114" s="21"/>
      <c r="E114" s="21"/>
      <c r="F114" s="21"/>
      <c r="G114" s="21"/>
      <c r="H114" s="21"/>
    </row>
    <row r="115" customFormat="false" ht="15" hidden="false" customHeight="false" outlineLevel="2" collapsed="false">
      <c r="A115" s="4" t="s">
        <v>358</v>
      </c>
      <c r="B115" s="7"/>
      <c r="C115" s="19" t="n">
        <v>1</v>
      </c>
      <c r="I115" s="12" t="s">
        <v>359</v>
      </c>
    </row>
    <row r="116" customFormat="false" ht="15" hidden="false" customHeight="false" outlineLevel="2" collapsed="false">
      <c r="A116" s="3" t="s">
        <v>360</v>
      </c>
      <c r="B116" s="12" t="s">
        <v>77</v>
      </c>
      <c r="C116" s="23" t="n">
        <v>0.5</v>
      </c>
      <c r="I116" s="7" t="s">
        <v>361</v>
      </c>
    </row>
    <row r="117" customFormat="false" ht="15" hidden="false" customHeight="false" outlineLevel="2" collapsed="false">
      <c r="A117" s="3" t="s">
        <v>362</v>
      </c>
      <c r="B117" s="12" t="s">
        <v>77</v>
      </c>
      <c r="C117" s="23" t="n">
        <v>0.04</v>
      </c>
      <c r="I117" s="7" t="s">
        <v>361</v>
      </c>
    </row>
    <row r="118" customFormat="false" ht="15" hidden="false" customHeight="false" outlineLevel="2" collapsed="false">
      <c r="A118" s="3" t="s">
        <v>363</v>
      </c>
      <c r="B118" s="7" t="s">
        <v>248</v>
      </c>
      <c r="C118" s="34" t="n">
        <v>4.5</v>
      </c>
      <c r="I118" s="7" t="s">
        <v>364</v>
      </c>
    </row>
    <row r="119" customFormat="false" ht="15" hidden="false" customHeight="false" outlineLevel="1" collapsed="false">
      <c r="A119" s="20" t="s">
        <v>365</v>
      </c>
      <c r="B119" s="21"/>
      <c r="C119" s="21"/>
      <c r="D119" s="21"/>
      <c r="E119" s="21"/>
      <c r="F119" s="21"/>
      <c r="G119" s="21"/>
      <c r="H119" s="21"/>
    </row>
    <row r="120" customFormat="false" ht="15" hidden="false" customHeight="false" outlineLevel="2" collapsed="false">
      <c r="A120" s="3" t="s">
        <v>366</v>
      </c>
      <c r="B120" s="7" t="s">
        <v>367</v>
      </c>
      <c r="C120" s="29" t="n">
        <v>12</v>
      </c>
      <c r="I120" s="12" t="s">
        <v>368</v>
      </c>
    </row>
    <row r="121" customFormat="false" ht="15" hidden="false" customHeight="false" outlineLevel="2" collapsed="false">
      <c r="A121" s="3" t="s">
        <v>369</v>
      </c>
      <c r="B121" s="7"/>
      <c r="C121" s="42" t="s">
        <v>370</v>
      </c>
      <c r="I121" s="12" t="s">
        <v>371</v>
      </c>
    </row>
    <row r="122" customFormat="false" ht="15" hidden="false" customHeight="false" outlineLevel="2" collapsed="false">
      <c r="A122" s="3" t="s">
        <v>372</v>
      </c>
      <c r="B122" s="7"/>
      <c r="C122" s="42" t="s">
        <v>373</v>
      </c>
      <c r="I122" s="12" t="s">
        <v>374</v>
      </c>
    </row>
    <row r="123" customFormat="false" ht="15" hidden="false" customHeight="false" outlineLevel="2" collapsed="false">
      <c r="A123" s="3" t="s">
        <v>375</v>
      </c>
      <c r="B123" s="7"/>
      <c r="C123" s="42" t="s">
        <v>376</v>
      </c>
      <c r="I123" s="7" t="s">
        <v>377</v>
      </c>
    </row>
    <row r="124" customFormat="false" ht="15" hidden="false" customHeight="false" outlineLevel="2" collapsed="false">
      <c r="A124" s="3" t="s">
        <v>378</v>
      </c>
      <c r="B124" s="7" t="s">
        <v>248</v>
      </c>
      <c r="C124" s="32" t="n">
        <v>1</v>
      </c>
      <c r="I124" s="7"/>
    </row>
    <row r="125" customFormat="false" ht="15" hidden="false" customHeight="false" outlineLevel="2" collapsed="false">
      <c r="A125" s="3" t="s">
        <v>379</v>
      </c>
      <c r="B125" s="7"/>
      <c r="C125" s="42" t="s">
        <v>380</v>
      </c>
      <c r="I125" s="7" t="s">
        <v>381</v>
      </c>
    </row>
    <row r="126" customFormat="false" ht="15" hidden="false" customHeight="false" outlineLevel="2" collapsed="false">
      <c r="A126" s="3" t="s">
        <v>382</v>
      </c>
      <c r="B126" s="7"/>
      <c r="C126" s="42" t="s">
        <v>383</v>
      </c>
      <c r="I126" s="12" t="s">
        <v>384</v>
      </c>
    </row>
    <row r="127" customFormat="false" ht="15" hidden="false" customHeight="false" outlineLevel="2" collapsed="false">
      <c r="A127" s="3" t="s">
        <v>385</v>
      </c>
      <c r="B127" s="7"/>
      <c r="C127" s="42" t="s">
        <v>386</v>
      </c>
      <c r="I127" s="12" t="s">
        <v>387</v>
      </c>
    </row>
    <row r="128" customFormat="false" ht="15" hidden="false" customHeight="false" outlineLevel="2" collapsed="false">
      <c r="A128" s="3" t="s">
        <v>388</v>
      </c>
      <c r="B128" s="7" t="s">
        <v>248</v>
      </c>
      <c r="C128" s="32" t="n">
        <v>0.5</v>
      </c>
      <c r="I128" s="12" t="s">
        <v>389</v>
      </c>
    </row>
    <row r="129" customFormat="false" ht="15" hidden="false" customHeight="false" outlineLevel="2" collapsed="false">
      <c r="A129" s="15" t="s">
        <v>390</v>
      </c>
      <c r="B129" s="15" t="s">
        <v>86</v>
      </c>
      <c r="C129" s="27" t="s">
        <v>87</v>
      </c>
      <c r="D129" s="27" t="s">
        <v>88</v>
      </c>
      <c r="E129" s="27" t="s">
        <v>89</v>
      </c>
      <c r="F129" s="27" t="s">
        <v>169</v>
      </c>
      <c r="G129" s="27" t="s">
        <v>170</v>
      </c>
      <c r="I129" s="15" t="s">
        <v>200</v>
      </c>
    </row>
    <row r="130" customFormat="false" ht="15" hidden="false" customHeight="false" outlineLevel="2" collapsed="false">
      <c r="A130" s="3" t="s">
        <v>391</v>
      </c>
      <c r="B130" s="7"/>
      <c r="C130" s="42" t="s">
        <v>392</v>
      </c>
      <c r="D130" s="42" t="s">
        <v>393</v>
      </c>
      <c r="E130" s="42" t="s">
        <v>394</v>
      </c>
      <c r="F130" s="42" t="s">
        <v>395</v>
      </c>
      <c r="G130" s="42" t="s">
        <v>396</v>
      </c>
      <c r="I130" s="7" t="s">
        <v>397</v>
      </c>
    </row>
    <row r="131" customFormat="false" ht="15" hidden="false" customHeight="false" outlineLevel="2" collapsed="false">
      <c r="A131" s="3" t="s">
        <v>398</v>
      </c>
      <c r="B131" s="7" t="s">
        <v>248</v>
      </c>
      <c r="C131" s="32" t="n">
        <v>0.5</v>
      </c>
      <c r="D131" s="32" t="n">
        <v>1.5</v>
      </c>
      <c r="E131" s="32" t="n">
        <v>2.5</v>
      </c>
      <c r="F131" s="32" t="n">
        <v>3.5</v>
      </c>
      <c r="G131" s="32" t="n">
        <v>4.5</v>
      </c>
      <c r="I131" s="7" t="s">
        <v>397</v>
      </c>
    </row>
    <row r="132" customFormat="false" ht="15" hidden="false" customHeight="false" outlineLevel="2" collapsed="false">
      <c r="A132" s="3" t="s">
        <v>399</v>
      </c>
      <c r="B132" s="7" t="s">
        <v>248</v>
      </c>
      <c r="C132" s="32" t="n">
        <v>0</v>
      </c>
      <c r="D132" s="32" t="n">
        <v>0.5</v>
      </c>
      <c r="E132" s="32" t="n">
        <v>1.5</v>
      </c>
      <c r="F132" s="32" t="n">
        <v>2.5</v>
      </c>
      <c r="G132" s="32" t="n">
        <v>3.5</v>
      </c>
      <c r="I132" s="7" t="s">
        <v>397</v>
      </c>
    </row>
    <row r="133" customFormat="false" ht="15" hidden="false" customHeight="false" outlineLevel="1" collapsed="false">
      <c r="A133" s="20" t="s">
        <v>400</v>
      </c>
      <c r="B133" s="21"/>
      <c r="C133" s="21"/>
      <c r="D133" s="21"/>
      <c r="E133" s="21"/>
      <c r="F133" s="21"/>
      <c r="G133" s="21"/>
      <c r="H133" s="21"/>
    </row>
    <row r="134" customFormat="false" ht="15" hidden="false" customHeight="false" outlineLevel="2" collapsed="false">
      <c r="A134" s="3" t="s">
        <v>401</v>
      </c>
      <c r="B134" s="12" t="s">
        <v>77</v>
      </c>
      <c r="C134" s="23" t="n">
        <v>0.25</v>
      </c>
      <c r="I134" s="7" t="s">
        <v>402</v>
      </c>
    </row>
    <row r="135" customFormat="false" ht="15" hidden="false" customHeight="false" outlineLevel="2" collapsed="false">
      <c r="A135" s="3" t="s">
        <v>403</v>
      </c>
      <c r="B135" s="12" t="s">
        <v>77</v>
      </c>
      <c r="C135" s="23" t="n">
        <v>0.9</v>
      </c>
      <c r="I135" s="7" t="s">
        <v>404</v>
      </c>
    </row>
    <row r="136" customFormat="false" ht="15" hidden="false" customHeight="false" outlineLevel="2" collapsed="false">
      <c r="A136" s="3" t="s">
        <v>405</v>
      </c>
      <c r="B136" s="12" t="s">
        <v>77</v>
      </c>
      <c r="C136" s="23" t="n">
        <v>-0.15</v>
      </c>
      <c r="I136" s="7" t="s">
        <v>406</v>
      </c>
    </row>
    <row r="137" customFormat="false" ht="15" hidden="false" customHeight="false" outlineLevel="2" collapsed="false">
      <c r="A137" s="3" t="s">
        <v>407</v>
      </c>
      <c r="B137" s="12" t="s">
        <v>133</v>
      </c>
      <c r="C137" s="41" t="n">
        <v>1.5</v>
      </c>
      <c r="I137" s="7" t="s">
        <v>408</v>
      </c>
    </row>
    <row r="138" customFormat="false" ht="15" hidden="false" customHeight="false" outlineLevel="2" collapsed="false">
      <c r="A138" s="3" t="s">
        <v>409</v>
      </c>
      <c r="B138" s="12" t="s">
        <v>77</v>
      </c>
      <c r="C138" s="23" t="n">
        <v>-0.08</v>
      </c>
      <c r="I138" s="7" t="s">
        <v>410</v>
      </c>
    </row>
    <row r="139" customFormat="false" ht="15" hidden="false" customHeight="false" outlineLevel="2" collapsed="false">
      <c r="A139" s="3" t="s">
        <v>411</v>
      </c>
      <c r="B139" s="12" t="s">
        <v>77</v>
      </c>
      <c r="C139" s="23" t="n">
        <v>0.05</v>
      </c>
      <c r="I139" s="7" t="s">
        <v>412</v>
      </c>
    </row>
    <row r="140" customFormat="false" ht="15" hidden="false" customHeight="false" outlineLevel="2" collapsed="false">
      <c r="A140" s="3" t="s">
        <v>413</v>
      </c>
      <c r="B140" s="12" t="s">
        <v>77</v>
      </c>
      <c r="C140" s="23" t="n">
        <v>0.85</v>
      </c>
      <c r="I140" s="7" t="s">
        <v>414</v>
      </c>
    </row>
    <row r="142" customFormat="false" ht="15" hidden="false" customHeight="false" outlineLevel="0" collapsed="true">
      <c r="A142" s="8" t="s">
        <v>415</v>
      </c>
      <c r="B142" s="9"/>
      <c r="C142" s="9"/>
      <c r="D142" s="9"/>
      <c r="E142" s="9"/>
      <c r="F142" s="9"/>
      <c r="G142" s="9"/>
      <c r="H142" s="9"/>
    </row>
    <row r="143" customFormat="false" ht="15" hidden="true" customHeight="false" outlineLevel="1" collapsed="false">
      <c r="A143" s="4" t="s">
        <v>416</v>
      </c>
      <c r="B143" s="12" t="s">
        <v>91</v>
      </c>
      <c r="C143" s="24" t="n">
        <v>3.127</v>
      </c>
      <c r="I143" s="12" t="s">
        <v>417</v>
      </c>
    </row>
    <row r="144" customFormat="false" ht="15" hidden="true" customHeight="false" outlineLevel="1" collapsed="false">
      <c r="A144" s="3" t="s">
        <v>418</v>
      </c>
      <c r="B144" s="12" t="s">
        <v>91</v>
      </c>
      <c r="C144" s="24" t="n">
        <v>3.663</v>
      </c>
      <c r="I144" s="7" t="s">
        <v>419</v>
      </c>
    </row>
    <row r="145" customFormat="false" ht="15" hidden="true" customHeight="false" outlineLevel="1" collapsed="false">
      <c r="A145" s="3" t="s">
        <v>420</v>
      </c>
      <c r="B145" s="12" t="s">
        <v>91</v>
      </c>
      <c r="C145" s="24" t="n">
        <v>14.117</v>
      </c>
      <c r="I145" s="7" t="s">
        <v>421</v>
      </c>
    </row>
    <row r="146" customFormat="false" ht="15" hidden="true" customHeight="false" outlineLevel="1" collapsed="false">
      <c r="A146" s="4" t="s">
        <v>422</v>
      </c>
      <c r="B146" s="12" t="s">
        <v>91</v>
      </c>
      <c r="C146" s="24" t="n">
        <v>16.139</v>
      </c>
      <c r="I146" s="12" t="s">
        <v>423</v>
      </c>
    </row>
    <row r="147" customFormat="false" ht="15" hidden="true" customHeight="false" outlineLevel="1" collapsed="false">
      <c r="A147" s="4" t="s">
        <v>424</v>
      </c>
      <c r="B147" s="12" t="s">
        <v>91</v>
      </c>
      <c r="C147" s="24" t="n">
        <v>0.688</v>
      </c>
      <c r="I147" s="12" t="s">
        <v>425</v>
      </c>
    </row>
    <row r="148" customFormat="false" ht="15" hidden="true" customHeight="false" outlineLevel="1" collapsed="false">
      <c r="A148" s="3" t="s">
        <v>426</v>
      </c>
      <c r="B148" s="12" t="s">
        <v>91</v>
      </c>
      <c r="C148" s="24" t="n">
        <v>16.747</v>
      </c>
      <c r="I148" s="7" t="s">
        <v>427</v>
      </c>
    </row>
    <row r="149" customFormat="false" ht="15" hidden="true" customHeight="false" outlineLevel="1" collapsed="false">
      <c r="A149" s="3" t="s">
        <v>428</v>
      </c>
      <c r="B149" s="12" t="s">
        <v>91</v>
      </c>
      <c r="C149" s="24" t="n">
        <v>5.219</v>
      </c>
      <c r="I149" s="7" t="s">
        <v>429</v>
      </c>
    </row>
    <row r="150" customFormat="false" ht="15" hidden="true" customHeight="false" outlineLevel="1" collapsed="false">
      <c r="A150" s="4" t="s">
        <v>430</v>
      </c>
      <c r="B150" s="12" t="s">
        <v>91</v>
      </c>
      <c r="C150" s="24" t="n">
        <v>0.492</v>
      </c>
      <c r="I150" s="12" t="s">
        <v>431</v>
      </c>
    </row>
    <row r="151" customFormat="false" ht="15" hidden="true" customHeight="false" outlineLevel="1" collapsed="false">
      <c r="A151" s="3" t="s">
        <v>432</v>
      </c>
      <c r="B151" s="12" t="s">
        <v>91</v>
      </c>
      <c r="C151" s="24" t="n">
        <v>2.982</v>
      </c>
      <c r="I151" s="12" t="s">
        <v>433</v>
      </c>
    </row>
    <row r="152" customFormat="false" ht="15" hidden="true" customHeight="false" outlineLevel="1" collapsed="false">
      <c r="A152" s="3" t="s">
        <v>434</v>
      </c>
      <c r="B152" s="12" t="s">
        <v>91</v>
      </c>
      <c r="C152" s="24" t="n">
        <v>1.176</v>
      </c>
      <c r="I152" s="7" t="s">
        <v>435</v>
      </c>
    </row>
    <row r="153" customFormat="false" ht="15" hidden="true" customHeight="false" outlineLevel="1" collapsed="false">
      <c r="A153" s="3" t="s">
        <v>436</v>
      </c>
      <c r="B153" s="12" t="s">
        <v>91</v>
      </c>
      <c r="C153" s="24" t="n">
        <v>0.748</v>
      </c>
      <c r="I153" s="7" t="s">
        <v>437</v>
      </c>
    </row>
    <row r="154" customFormat="false" ht="15" hidden="true" customHeight="false" outlineLevel="1" collapsed="false">
      <c r="A154" s="3" t="s">
        <v>438</v>
      </c>
      <c r="B154" s="12" t="s">
        <v>91</v>
      </c>
      <c r="C154" s="24" t="n">
        <v>4.653</v>
      </c>
      <c r="I154" s="12" t="s">
        <v>439</v>
      </c>
    </row>
    <row r="155" customFormat="false" ht="15" hidden="true" customHeight="false" outlineLevel="1" collapsed="false">
      <c r="A155" s="4" t="s">
        <v>440</v>
      </c>
      <c r="B155" s="12" t="s">
        <v>91</v>
      </c>
      <c r="C155" s="24" t="n">
        <v>-0.193</v>
      </c>
      <c r="I155" s="12" t="s">
        <v>441</v>
      </c>
    </row>
    <row r="156" customFormat="false" ht="15" hidden="true" customHeight="false" outlineLevel="1" collapsed="false">
      <c r="A156" s="3" t="s">
        <v>442</v>
      </c>
      <c r="B156" s="12" t="s">
        <v>91</v>
      </c>
      <c r="C156" s="24" t="n">
        <v>-1.366</v>
      </c>
      <c r="I156" s="12" t="s">
        <v>441</v>
      </c>
    </row>
    <row r="157" customFormat="false" ht="15" hidden="true" customHeight="false" outlineLevel="1" collapsed="false">
      <c r="A157" s="3" t="s">
        <v>443</v>
      </c>
      <c r="B157" s="12" t="s">
        <v>91</v>
      </c>
      <c r="C157" s="24" t="n">
        <v>1.365</v>
      </c>
      <c r="I157" s="7" t="s">
        <v>437</v>
      </c>
    </row>
    <row r="158" customFormat="false" ht="15" hidden="true" customHeight="false" outlineLevel="1" collapsed="false">
      <c r="A158" s="4" t="s">
        <v>444</v>
      </c>
      <c r="B158" s="12" t="s">
        <v>91</v>
      </c>
      <c r="C158" s="24" t="n">
        <v>2.54</v>
      </c>
      <c r="I158" s="7" t="s">
        <v>445</v>
      </c>
    </row>
    <row r="159" customFormat="false" ht="15" hidden="true" customHeight="false" outlineLevel="1" collapsed="false">
      <c r="A159" s="4" t="s">
        <v>446</v>
      </c>
      <c r="B159" s="12" t="s">
        <v>91</v>
      </c>
      <c r="C159" s="24" t="n">
        <v>0.318</v>
      </c>
      <c r="I159" s="7" t="s">
        <v>445</v>
      </c>
    </row>
    <row r="160" customFormat="false" ht="15" hidden="true" customHeight="false" outlineLevel="1" collapsed="false">
      <c r="A160" s="4" t="s">
        <v>447</v>
      </c>
      <c r="B160" s="12" t="s">
        <v>74</v>
      </c>
      <c r="C160" s="24" t="n">
        <v>-2.53</v>
      </c>
      <c r="I160" s="7" t="s">
        <v>448</v>
      </c>
    </row>
    <row r="161" customFormat="false" ht="15" hidden="true" customHeight="false" outlineLevel="1" collapsed="false">
      <c r="A161" s="4" t="s">
        <v>449</v>
      </c>
      <c r="B161" s="12" t="s">
        <v>74</v>
      </c>
      <c r="C161" s="24" t="n">
        <v>-1.94</v>
      </c>
      <c r="I161" s="12" t="s">
        <v>450</v>
      </c>
    </row>
    <row r="162" customFormat="false" ht="15" hidden="true" customHeight="false" outlineLevel="1" collapsed="false">
      <c r="A162" s="3" t="s">
        <v>451</v>
      </c>
      <c r="B162" s="12" t="s">
        <v>91</v>
      </c>
      <c r="C162" s="24" t="n">
        <v>2.667</v>
      </c>
      <c r="I162" s="12" t="s">
        <v>452</v>
      </c>
    </row>
    <row r="164" customFormat="false" ht="15" hidden="false" customHeight="false" outlineLevel="0" collapsed="false">
      <c r="A164" s="8" t="s">
        <v>453</v>
      </c>
      <c r="B164" s="9"/>
      <c r="C164" s="9"/>
      <c r="D164" s="9"/>
      <c r="E164" s="9"/>
      <c r="F164" s="9"/>
      <c r="G164" s="9"/>
      <c r="H164" s="9"/>
      <c r="I164" s="7" t="s">
        <v>454</v>
      </c>
    </row>
    <row r="165" customFormat="false" ht="15" hidden="false" customHeight="false" outlineLevel="1" collapsed="false">
      <c r="A165" s="3" t="s">
        <v>455</v>
      </c>
      <c r="D165" s="13" t="n">
        <f aca="false">評價_DCF與目標價!C48</f>
        <v>45.501149936383</v>
      </c>
      <c r="E165" s="10" t="n">
        <f aca="false">評價_DCF與目標價!C57</f>
        <v>-1</v>
      </c>
    </row>
    <row r="166" customFormat="false" ht="15" hidden="false" customHeight="false" outlineLevel="1" collapsed="false">
      <c r="A166" s="3" t="s">
        <v>456</v>
      </c>
      <c r="C166" s="10" t="n">
        <v>1</v>
      </c>
      <c r="D166" s="43" t="n">
        <f t="dataTable" ref="D166:E168" dt2D="0" dtr="0" r1="C5"/>
        <v>69.741656925025</v>
      </c>
      <c r="E166" s="44" t="n">
        <v>-1</v>
      </c>
    </row>
    <row r="167" customFormat="false" ht="15" hidden="false" customHeight="false" outlineLevel="1" collapsed="false">
      <c r="A167" s="3" t="s">
        <v>457</v>
      </c>
      <c r="C167" s="10" t="n">
        <v>2</v>
      </c>
      <c r="D167" s="43" t="n">
        <v>45.501149936383</v>
      </c>
      <c r="E167" s="44" t="n">
        <v>-1</v>
      </c>
    </row>
    <row r="168" customFormat="false" ht="15" hidden="false" customHeight="false" outlineLevel="1" collapsed="false">
      <c r="A168" s="3" t="s">
        <v>458</v>
      </c>
      <c r="C168" s="10" t="n">
        <v>3</v>
      </c>
      <c r="D168" s="43" t="n">
        <v>30.953265648845</v>
      </c>
      <c r="E168" s="44" t="n">
        <v>-1</v>
      </c>
    </row>
    <row r="170" customFormat="false" ht="15" hidden="false" customHeight="false" outlineLevel="0" collapsed="false">
      <c r="A170" s="8" t="s">
        <v>459</v>
      </c>
      <c r="B170" s="9"/>
      <c r="C170" s="9"/>
      <c r="D170" s="9"/>
      <c r="E170" s="9"/>
      <c r="F170" s="9"/>
      <c r="G170" s="9"/>
      <c r="H170" s="9"/>
      <c r="I170" s="7" t="s">
        <v>460</v>
      </c>
    </row>
    <row r="171" customFormat="false" ht="15" hidden="false" customHeight="false" outlineLevel="1" collapsed="false">
      <c r="A171" s="15" t="s">
        <v>461</v>
      </c>
      <c r="B171" s="15" t="s">
        <v>86</v>
      </c>
      <c r="C171" s="15" t="s">
        <v>462</v>
      </c>
      <c r="D171" s="15"/>
      <c r="E171" s="15"/>
      <c r="F171" s="15" t="s">
        <v>463</v>
      </c>
      <c r="G171" s="15" t="s">
        <v>464</v>
      </c>
      <c r="H171" s="15"/>
      <c r="I171" s="15" t="s">
        <v>465</v>
      </c>
      <c r="J171" s="15" t="s">
        <v>466</v>
      </c>
    </row>
    <row r="172" customFormat="false" ht="15" hidden="false" customHeight="false" outlineLevel="1" collapsed="false">
      <c r="A172" s="3" t="s">
        <v>467</v>
      </c>
      <c r="B172" s="12" t="s">
        <v>74</v>
      </c>
      <c r="C172" s="38" t="n">
        <v>90.13</v>
      </c>
      <c r="F172" s="12" t="s">
        <v>386</v>
      </c>
      <c r="G172" s="12" t="s">
        <v>468</v>
      </c>
      <c r="I172" s="12" t="s">
        <v>469</v>
      </c>
      <c r="J172" s="7" t="s">
        <v>470</v>
      </c>
    </row>
    <row r="173" customFormat="false" ht="15" hidden="false" customHeight="false" outlineLevel="1" collapsed="false">
      <c r="A173" s="3" t="s">
        <v>471</v>
      </c>
      <c r="B173" s="12" t="s">
        <v>74</v>
      </c>
      <c r="C173" s="38" t="n">
        <v>140.81</v>
      </c>
      <c r="F173" s="12" t="s">
        <v>383</v>
      </c>
      <c r="G173" s="12" t="s">
        <v>472</v>
      </c>
      <c r="I173" s="12" t="s">
        <v>473</v>
      </c>
      <c r="J173" s="7"/>
    </row>
    <row r="174" customFormat="false" ht="15" hidden="false" customHeight="false" outlineLevel="1" collapsed="false">
      <c r="A174" s="3" t="s">
        <v>474</v>
      </c>
      <c r="B174" s="12" t="s">
        <v>74</v>
      </c>
      <c r="C174" s="38" t="n">
        <v>140</v>
      </c>
      <c r="F174" s="12" t="s">
        <v>383</v>
      </c>
      <c r="G174" s="12" t="s">
        <v>472</v>
      </c>
      <c r="I174" s="12" t="s">
        <v>473</v>
      </c>
      <c r="J174" s="7"/>
    </row>
    <row r="175" customFormat="false" ht="15" hidden="false" customHeight="false" outlineLevel="1" collapsed="false">
      <c r="A175" s="3" t="s">
        <v>475</v>
      </c>
      <c r="B175" s="12" t="s">
        <v>74</v>
      </c>
      <c r="C175" s="38" t="n">
        <v>39</v>
      </c>
      <c r="F175" s="12" t="s">
        <v>383</v>
      </c>
      <c r="G175" s="12" t="s">
        <v>472</v>
      </c>
      <c r="I175" s="12" t="s">
        <v>473</v>
      </c>
      <c r="J175" s="7"/>
    </row>
    <row r="176" customFormat="false" ht="15" hidden="false" customHeight="false" outlineLevel="1" collapsed="false">
      <c r="A176" s="3" t="s">
        <v>476</v>
      </c>
      <c r="B176" s="12" t="s">
        <v>74</v>
      </c>
      <c r="C176" s="38" t="n">
        <v>317</v>
      </c>
      <c r="F176" s="12" t="s">
        <v>383</v>
      </c>
      <c r="G176" s="12" t="s">
        <v>472</v>
      </c>
      <c r="I176" s="12" t="s">
        <v>473</v>
      </c>
      <c r="J176" s="7"/>
    </row>
    <row r="177" customFormat="false" ht="15" hidden="false" customHeight="false" outlineLevel="1" collapsed="false">
      <c r="A177" s="3" t="s">
        <v>477</v>
      </c>
      <c r="B177" s="7" t="s">
        <v>156</v>
      </c>
      <c r="C177" s="22" t="n">
        <v>40</v>
      </c>
      <c r="F177" s="12" t="s">
        <v>383</v>
      </c>
      <c r="G177" s="12" t="s">
        <v>472</v>
      </c>
      <c r="I177" s="12" t="s">
        <v>473</v>
      </c>
      <c r="J177" s="7"/>
    </row>
    <row r="178" customFormat="false" ht="15" hidden="false" customHeight="false" outlineLevel="1" collapsed="false">
      <c r="A178" s="3" t="s">
        <v>478</v>
      </c>
      <c r="B178" s="7"/>
      <c r="C178" s="4" t="s">
        <v>479</v>
      </c>
      <c r="F178" s="12" t="s">
        <v>383</v>
      </c>
      <c r="G178" s="12" t="s">
        <v>472</v>
      </c>
      <c r="I178" s="12" t="s">
        <v>473</v>
      </c>
      <c r="J178" s="7"/>
    </row>
    <row r="179" customFormat="false" ht="15" hidden="false" customHeight="false" outlineLevel="1" collapsed="false">
      <c r="A179" s="3" t="s">
        <v>480</v>
      </c>
      <c r="B179" s="12" t="s">
        <v>74</v>
      </c>
      <c r="C179" s="38" t="n">
        <v>140.95</v>
      </c>
      <c r="F179" s="12" t="s">
        <v>383</v>
      </c>
      <c r="G179" s="12" t="s">
        <v>472</v>
      </c>
      <c r="I179" s="12" t="s">
        <v>481</v>
      </c>
      <c r="J179" s="7"/>
    </row>
    <row r="180" customFormat="false" ht="15" hidden="false" customHeight="false" outlineLevel="1" collapsed="false">
      <c r="A180" s="3" t="s">
        <v>482</v>
      </c>
      <c r="B180" s="7" t="s">
        <v>156</v>
      </c>
      <c r="C180" s="22" t="n">
        <v>40</v>
      </c>
      <c r="F180" s="12" t="s">
        <v>383</v>
      </c>
      <c r="G180" s="12" t="s">
        <v>472</v>
      </c>
      <c r="I180" s="12" t="s">
        <v>481</v>
      </c>
      <c r="J180" s="7"/>
    </row>
    <row r="181" customFormat="false" ht="15" hidden="false" customHeight="false" outlineLevel="1" collapsed="false">
      <c r="A181" s="3" t="s">
        <v>483</v>
      </c>
      <c r="B181" s="7"/>
      <c r="C181" s="4" t="s">
        <v>484</v>
      </c>
      <c r="F181" s="12" t="s">
        <v>383</v>
      </c>
      <c r="G181" s="12" t="s">
        <v>472</v>
      </c>
      <c r="I181" s="12" t="s">
        <v>481</v>
      </c>
      <c r="J181" s="7"/>
    </row>
    <row r="182" customFormat="false" ht="15" hidden="false" customHeight="false" outlineLevel="1" collapsed="false">
      <c r="A182" s="15" t="s">
        <v>485</v>
      </c>
      <c r="B182" s="15" t="s">
        <v>86</v>
      </c>
      <c r="C182" s="15" t="s">
        <v>462</v>
      </c>
      <c r="D182" s="15"/>
      <c r="E182" s="15"/>
      <c r="F182" s="15" t="s">
        <v>463</v>
      </c>
      <c r="G182" s="15" t="s">
        <v>464</v>
      </c>
      <c r="H182" s="15"/>
      <c r="I182" s="15" t="s">
        <v>465</v>
      </c>
      <c r="J182" s="15" t="s">
        <v>466</v>
      </c>
    </row>
    <row r="183" customFormat="false" ht="15" hidden="false" customHeight="false" outlineLevel="1" collapsed="false">
      <c r="A183" s="3" t="s">
        <v>486</v>
      </c>
      <c r="B183" s="7" t="s">
        <v>156</v>
      </c>
      <c r="C183" s="22" t="n">
        <v>21</v>
      </c>
      <c r="F183" s="12" t="s">
        <v>383</v>
      </c>
      <c r="G183" s="12" t="s">
        <v>472</v>
      </c>
      <c r="I183" s="12" t="s">
        <v>473</v>
      </c>
      <c r="J183" s="7"/>
    </row>
    <row r="184" customFormat="false" ht="15" hidden="false" customHeight="false" outlineLevel="1" collapsed="false">
      <c r="A184" s="3" t="s">
        <v>487</v>
      </c>
      <c r="B184" s="7" t="s">
        <v>156</v>
      </c>
      <c r="C184" s="22" t="n">
        <v>7</v>
      </c>
      <c r="F184" s="12" t="s">
        <v>383</v>
      </c>
      <c r="G184" s="12" t="s">
        <v>472</v>
      </c>
      <c r="I184" s="12" t="s">
        <v>473</v>
      </c>
      <c r="J184" s="7"/>
    </row>
    <row r="185" customFormat="false" ht="15" hidden="false" customHeight="false" outlineLevel="1" collapsed="false">
      <c r="A185" s="3" t="s">
        <v>488</v>
      </c>
      <c r="B185" s="7" t="s">
        <v>156</v>
      </c>
      <c r="C185" s="22" t="n">
        <v>9</v>
      </c>
      <c r="F185" s="12" t="s">
        <v>383</v>
      </c>
      <c r="G185" s="12" t="s">
        <v>472</v>
      </c>
      <c r="I185" s="12" t="s">
        <v>473</v>
      </c>
      <c r="J185" s="7"/>
    </row>
    <row r="186" customFormat="false" ht="15" hidden="false" customHeight="false" outlineLevel="1" collapsed="false">
      <c r="A186" s="3" t="s">
        <v>489</v>
      </c>
      <c r="B186" s="7" t="s">
        <v>156</v>
      </c>
      <c r="C186" s="22" t="n">
        <v>1</v>
      </c>
      <c r="F186" s="12" t="s">
        <v>383</v>
      </c>
      <c r="G186" s="12" t="s">
        <v>472</v>
      </c>
      <c r="I186" s="12" t="s">
        <v>473</v>
      </c>
      <c r="J186" s="7"/>
    </row>
    <row r="187" customFormat="false" ht="15" hidden="false" customHeight="false" outlineLevel="1" collapsed="false">
      <c r="A187" s="3" t="s">
        <v>490</v>
      </c>
      <c r="B187" s="7" t="s">
        <v>156</v>
      </c>
      <c r="C187" s="22" t="n">
        <v>2</v>
      </c>
      <c r="F187" s="12" t="s">
        <v>383</v>
      </c>
      <c r="G187" s="12" t="s">
        <v>472</v>
      </c>
      <c r="I187" s="12" t="s">
        <v>473</v>
      </c>
      <c r="J187" s="7"/>
    </row>
    <row r="188" customFormat="false" ht="15" hidden="false" customHeight="false" outlineLevel="1" collapsed="false">
      <c r="A188" s="3" t="s">
        <v>491</v>
      </c>
      <c r="B188" s="7" t="s">
        <v>156</v>
      </c>
      <c r="C188" s="22" t="n">
        <v>40</v>
      </c>
      <c r="F188" s="12" t="s">
        <v>383</v>
      </c>
      <c r="G188" s="12" t="s">
        <v>472</v>
      </c>
      <c r="I188" s="12" t="s">
        <v>473</v>
      </c>
      <c r="J188" s="7"/>
    </row>
    <row r="189" customFormat="false" ht="15" hidden="false" customHeight="false" outlineLevel="1" collapsed="false">
      <c r="A189" s="15" t="s">
        <v>492</v>
      </c>
      <c r="B189" s="15" t="s">
        <v>86</v>
      </c>
      <c r="C189" s="15" t="s">
        <v>462</v>
      </c>
      <c r="D189" s="15"/>
      <c r="E189" s="15"/>
      <c r="F189" s="15" t="s">
        <v>463</v>
      </c>
      <c r="G189" s="15" t="s">
        <v>464</v>
      </c>
      <c r="H189" s="15"/>
      <c r="I189" s="15" t="s">
        <v>465</v>
      </c>
      <c r="J189" s="15" t="s">
        <v>466</v>
      </c>
    </row>
    <row r="190" customFormat="false" ht="15" hidden="false" customHeight="false" outlineLevel="1" collapsed="false">
      <c r="A190" s="3" t="s">
        <v>493</v>
      </c>
      <c r="B190" s="12" t="s">
        <v>91</v>
      </c>
      <c r="C190" s="45" t="n">
        <v>12.882</v>
      </c>
      <c r="D190" s="45" t="n">
        <v>26.376</v>
      </c>
      <c r="E190" s="45" t="n">
        <v>42.55</v>
      </c>
      <c r="F190" s="12" t="s">
        <v>383</v>
      </c>
      <c r="G190" s="12" t="s">
        <v>472</v>
      </c>
      <c r="I190" s="12" t="s">
        <v>494</v>
      </c>
      <c r="J190" s="7"/>
    </row>
    <row r="191" customFormat="false" ht="15" hidden="false" customHeight="false" outlineLevel="1" collapsed="false">
      <c r="A191" s="3" t="s">
        <v>495</v>
      </c>
      <c r="B191" s="12" t="s">
        <v>91</v>
      </c>
      <c r="C191" s="45" t="n">
        <v>7.574</v>
      </c>
      <c r="D191" s="45" t="n">
        <v>16.656</v>
      </c>
      <c r="E191" s="45" t="n">
        <v>28.857</v>
      </c>
      <c r="F191" s="12" t="s">
        <v>383</v>
      </c>
      <c r="G191" s="12" t="s">
        <v>472</v>
      </c>
      <c r="I191" s="12" t="s">
        <v>494</v>
      </c>
      <c r="J191" s="7"/>
    </row>
    <row r="192" customFormat="false" ht="15" hidden="false" customHeight="false" outlineLevel="1" collapsed="false">
      <c r="A192" s="3" t="s">
        <v>496</v>
      </c>
      <c r="B192" s="12" t="s">
        <v>77</v>
      </c>
      <c r="C192" s="23" t="n">
        <v>0.588</v>
      </c>
      <c r="D192" s="23" t="n">
        <v>0.632</v>
      </c>
      <c r="E192" s="23" t="n">
        <v>0.678</v>
      </c>
      <c r="F192" s="12" t="s">
        <v>383</v>
      </c>
      <c r="G192" s="12" t="s">
        <v>472</v>
      </c>
      <c r="I192" s="12" t="s">
        <v>494</v>
      </c>
      <c r="J192" s="7"/>
    </row>
    <row r="193" customFormat="false" ht="15" hidden="false" customHeight="false" outlineLevel="1" collapsed="false">
      <c r="A193" s="3" t="s">
        <v>497</v>
      </c>
      <c r="B193" s="12" t="s">
        <v>91</v>
      </c>
      <c r="C193" s="45" t="n">
        <v>1.063</v>
      </c>
      <c r="D193" s="45" t="n">
        <v>4.119</v>
      </c>
      <c r="E193" s="45" t="n">
        <v>8.418</v>
      </c>
      <c r="F193" s="12" t="s">
        <v>383</v>
      </c>
      <c r="G193" s="12" t="s">
        <v>472</v>
      </c>
      <c r="I193" s="12" t="s">
        <v>494</v>
      </c>
      <c r="J193" s="7"/>
    </row>
    <row r="194" customFormat="false" ht="15" hidden="false" customHeight="false" outlineLevel="1" collapsed="false">
      <c r="A194" s="3" t="s">
        <v>498</v>
      </c>
      <c r="B194" s="12" t="s">
        <v>91</v>
      </c>
      <c r="C194" s="45" t="n">
        <v>2.965</v>
      </c>
      <c r="D194" s="45" t="n">
        <v>5.22</v>
      </c>
      <c r="E194" s="45" t="n">
        <v>7.361</v>
      </c>
      <c r="F194" s="12" t="s">
        <v>383</v>
      </c>
      <c r="G194" s="12" t="s">
        <v>472</v>
      </c>
      <c r="I194" s="12" t="s">
        <v>494</v>
      </c>
      <c r="J194" s="7"/>
    </row>
    <row r="195" customFormat="false" ht="15" hidden="false" customHeight="false" outlineLevel="1" collapsed="false">
      <c r="A195" s="3" t="s">
        <v>499</v>
      </c>
      <c r="B195" s="12" t="s">
        <v>91</v>
      </c>
      <c r="C195" s="45" t="n">
        <v>-2.786</v>
      </c>
      <c r="D195" s="45" t="n">
        <v>-2.526</v>
      </c>
      <c r="E195" s="45" t="n">
        <v>-1.559</v>
      </c>
      <c r="F195" s="12" t="s">
        <v>383</v>
      </c>
      <c r="G195" s="12" t="s">
        <v>472</v>
      </c>
      <c r="I195" s="12" t="s">
        <v>494</v>
      </c>
      <c r="J195" s="7"/>
    </row>
    <row r="196" customFormat="false" ht="15" hidden="false" customHeight="false" outlineLevel="1" collapsed="false">
      <c r="A196" s="3" t="s">
        <v>500</v>
      </c>
      <c r="B196" s="12" t="s">
        <v>74</v>
      </c>
      <c r="C196" s="38" t="n">
        <v>-5.074</v>
      </c>
      <c r="D196" s="38" t="n">
        <v>-4.186</v>
      </c>
      <c r="E196" s="38" t="n">
        <v>-2.177</v>
      </c>
      <c r="F196" s="12" t="s">
        <v>383</v>
      </c>
      <c r="G196" s="12" t="s">
        <v>472</v>
      </c>
      <c r="I196" s="12" t="s">
        <v>494</v>
      </c>
      <c r="J196" s="7"/>
    </row>
    <row r="197" customFormat="false" ht="15" hidden="false" customHeight="false" outlineLevel="1" collapsed="false">
      <c r="A197" s="3" t="s">
        <v>501</v>
      </c>
      <c r="B197" s="12" t="s">
        <v>91</v>
      </c>
      <c r="C197" s="45" t="n">
        <v>35.953</v>
      </c>
      <c r="D197" s="45" t="n">
        <v>46.476</v>
      </c>
      <c r="E197" s="45" t="n">
        <v>50.129</v>
      </c>
      <c r="F197" s="12" t="s">
        <v>383</v>
      </c>
      <c r="G197" s="12" t="s">
        <v>472</v>
      </c>
      <c r="I197" s="12" t="s">
        <v>494</v>
      </c>
      <c r="J197" s="7"/>
    </row>
    <row r="198" customFormat="false" ht="15" hidden="false" customHeight="false" outlineLevel="1" collapsed="false">
      <c r="A198" s="3" t="s">
        <v>502</v>
      </c>
      <c r="B198" s="12" t="s">
        <v>91</v>
      </c>
      <c r="C198" s="45" t="n">
        <v>-28.831</v>
      </c>
      <c r="D198" s="45" t="n">
        <v>-33.741</v>
      </c>
      <c r="E198" s="45" t="n">
        <v>-25.222</v>
      </c>
      <c r="F198" s="12" t="s">
        <v>383</v>
      </c>
      <c r="G198" s="12" t="s">
        <v>472</v>
      </c>
      <c r="I198" s="12" t="s">
        <v>494</v>
      </c>
      <c r="J198" s="7"/>
    </row>
    <row r="199" customFormat="false" ht="15" hidden="false" customHeight="false" outlineLevel="1" collapsed="false">
      <c r="A199" s="3" t="s">
        <v>503</v>
      </c>
      <c r="B199" s="12" t="s">
        <v>91</v>
      </c>
      <c r="C199" s="45" t="n">
        <v>46.442</v>
      </c>
      <c r="D199" s="45" t="n">
        <v>74.707</v>
      </c>
      <c r="E199" s="45" t="n">
        <v>96.039</v>
      </c>
      <c r="F199" s="12" t="s">
        <v>383</v>
      </c>
      <c r="G199" s="12" t="s">
        <v>472</v>
      </c>
      <c r="I199" s="12" t="s">
        <v>494</v>
      </c>
      <c r="J199" s="7"/>
    </row>
    <row r="200" customFormat="false" ht="15" hidden="false" customHeight="false" outlineLevel="1" collapsed="false">
      <c r="A200" s="3" t="s">
        <v>504</v>
      </c>
      <c r="B200" s="7"/>
      <c r="C200" s="4" t="s">
        <v>505</v>
      </c>
      <c r="F200" s="12" t="s">
        <v>383</v>
      </c>
      <c r="G200" s="12" t="s">
        <v>472</v>
      </c>
      <c r="I200" s="12" t="s">
        <v>494</v>
      </c>
      <c r="J200" s="7"/>
    </row>
    <row r="201" customFormat="false" ht="15" hidden="false" customHeight="false" outlineLevel="1" collapsed="false">
      <c r="A201" s="16" t="s">
        <v>506</v>
      </c>
      <c r="B201" s="15" t="s">
        <v>86</v>
      </c>
      <c r="C201" s="15" t="s">
        <v>462</v>
      </c>
      <c r="D201" s="15"/>
      <c r="E201" s="15"/>
      <c r="F201" s="15" t="s">
        <v>463</v>
      </c>
      <c r="G201" s="15" t="s">
        <v>464</v>
      </c>
      <c r="H201" s="15"/>
      <c r="I201" s="15" t="s">
        <v>465</v>
      </c>
      <c r="J201" s="15" t="s">
        <v>466</v>
      </c>
    </row>
    <row r="202" customFormat="false" ht="15" hidden="false" customHeight="false" outlineLevel="1" collapsed="false">
      <c r="A202" s="3" t="s">
        <v>507</v>
      </c>
      <c r="B202" s="12" t="s">
        <v>91</v>
      </c>
      <c r="C202" s="45" t="n">
        <v>12.88</v>
      </c>
      <c r="D202" s="45" t="n">
        <v>26.39</v>
      </c>
      <c r="F202" s="12" t="s">
        <v>383</v>
      </c>
      <c r="G202" s="12" t="s">
        <v>472</v>
      </c>
      <c r="I202" s="12" t="s">
        <v>473</v>
      </c>
      <c r="J202" s="7"/>
    </row>
    <row r="203" customFormat="false" ht="15" hidden="false" customHeight="false" outlineLevel="1" collapsed="false">
      <c r="A203" s="3" t="s">
        <v>508</v>
      </c>
      <c r="B203" s="12" t="s">
        <v>91</v>
      </c>
      <c r="C203" s="45" t="n">
        <v>12.4</v>
      </c>
      <c r="D203" s="45" t="n">
        <v>13.2</v>
      </c>
      <c r="F203" s="12" t="s">
        <v>383</v>
      </c>
      <c r="G203" s="12" t="s">
        <v>472</v>
      </c>
      <c r="I203" s="12" t="s">
        <v>473</v>
      </c>
      <c r="J203" s="7"/>
    </row>
    <row r="204" customFormat="false" ht="15" hidden="false" customHeight="false" outlineLevel="1" collapsed="false">
      <c r="A204" s="3" t="s">
        <v>509</v>
      </c>
      <c r="B204" s="12" t="s">
        <v>74</v>
      </c>
      <c r="C204" s="38" t="n">
        <v>-3.95</v>
      </c>
      <c r="D204" s="38" t="n">
        <v>-1.82</v>
      </c>
      <c r="F204" s="12" t="s">
        <v>383</v>
      </c>
      <c r="G204" s="12" t="s">
        <v>472</v>
      </c>
      <c r="I204" s="12" t="s">
        <v>473</v>
      </c>
      <c r="J204" s="7"/>
    </row>
    <row r="205" customFormat="false" ht="15" hidden="false" customHeight="false" outlineLevel="1" collapsed="false">
      <c r="A205" s="3" t="s">
        <v>510</v>
      </c>
      <c r="B205" s="12" t="s">
        <v>74</v>
      </c>
      <c r="C205" s="38" t="n">
        <v>-4.81</v>
      </c>
      <c r="D205" s="38" t="n">
        <v>-1.33</v>
      </c>
      <c r="F205" s="12" t="s">
        <v>383</v>
      </c>
      <c r="G205" s="12" t="s">
        <v>472</v>
      </c>
      <c r="I205" s="12" t="s">
        <v>473</v>
      </c>
      <c r="J205" s="7"/>
    </row>
    <row r="206" customFormat="false" ht="15" hidden="false" customHeight="false" outlineLevel="1" collapsed="false">
      <c r="A206" s="3" t="s">
        <v>511</v>
      </c>
      <c r="B206" s="7" t="s">
        <v>156</v>
      </c>
      <c r="C206" s="22" t="n">
        <v>38</v>
      </c>
      <c r="F206" s="12" t="s">
        <v>383</v>
      </c>
      <c r="G206" s="12" t="s">
        <v>472</v>
      </c>
      <c r="I206" s="12" t="s">
        <v>473</v>
      </c>
      <c r="J206" s="12" t="s">
        <v>512</v>
      </c>
    </row>
    <row r="207" customFormat="false" ht="15" hidden="false" customHeight="false" outlineLevel="1" collapsed="false">
      <c r="A207" s="15" t="s">
        <v>513</v>
      </c>
      <c r="B207" s="15" t="s">
        <v>86</v>
      </c>
      <c r="C207" s="15" t="s">
        <v>462</v>
      </c>
      <c r="D207" s="15"/>
      <c r="E207" s="15"/>
      <c r="F207" s="15" t="s">
        <v>463</v>
      </c>
      <c r="G207" s="15" t="s">
        <v>464</v>
      </c>
      <c r="H207" s="15"/>
      <c r="I207" s="15" t="s">
        <v>465</v>
      </c>
      <c r="J207" s="15" t="s">
        <v>466</v>
      </c>
    </row>
    <row r="208" customFormat="false" ht="15" hidden="false" customHeight="false" outlineLevel="1" collapsed="false">
      <c r="A208" s="3" t="s">
        <v>514</v>
      </c>
      <c r="B208" s="12" t="s">
        <v>91</v>
      </c>
      <c r="C208" s="45" t="n">
        <v>3.541</v>
      </c>
      <c r="D208" s="45" t="n">
        <v>4.706</v>
      </c>
      <c r="F208" s="12" t="s">
        <v>383</v>
      </c>
      <c r="G208" s="12" t="s">
        <v>472</v>
      </c>
      <c r="I208" s="12" t="s">
        <v>494</v>
      </c>
      <c r="J208" s="7"/>
    </row>
    <row r="209" customFormat="false" ht="15" hidden="false" customHeight="false" outlineLevel="1" collapsed="false">
      <c r="A209" s="3" t="s">
        <v>515</v>
      </c>
      <c r="B209" s="12" t="s">
        <v>91</v>
      </c>
      <c r="C209" s="45" t="n">
        <v>2.047</v>
      </c>
      <c r="D209" s="45" t="n">
        <v>2.897</v>
      </c>
      <c r="F209" s="12" t="s">
        <v>383</v>
      </c>
      <c r="G209" s="12" t="s">
        <v>472</v>
      </c>
      <c r="I209" s="12" t="s">
        <v>494</v>
      </c>
      <c r="J209" s="7"/>
    </row>
    <row r="210" customFormat="false" ht="15" hidden="false" customHeight="false" outlineLevel="1" collapsed="false">
      <c r="A210" s="3" t="s">
        <v>516</v>
      </c>
      <c r="B210" s="12" t="s">
        <v>91</v>
      </c>
      <c r="C210" s="45" t="n">
        <v>0.2408</v>
      </c>
      <c r="D210" s="45" t="n">
        <v>0.6805</v>
      </c>
      <c r="F210" s="12" t="s">
        <v>383</v>
      </c>
      <c r="G210" s="12" t="s">
        <v>472</v>
      </c>
      <c r="I210" s="12" t="s">
        <v>494</v>
      </c>
      <c r="J210" s="7"/>
    </row>
    <row r="211" customFormat="false" ht="15" hidden="false" customHeight="false" outlineLevel="1" collapsed="false">
      <c r="A211" s="3" t="s">
        <v>517</v>
      </c>
      <c r="B211" s="12" t="s">
        <v>91</v>
      </c>
      <c r="C211" s="45" t="n">
        <v>-0.8388</v>
      </c>
      <c r="D211" s="45" t="n">
        <v>-0.5706</v>
      </c>
      <c r="F211" s="12" t="s">
        <v>383</v>
      </c>
      <c r="G211" s="12" t="s">
        <v>472</v>
      </c>
      <c r="I211" s="12" t="s">
        <v>494</v>
      </c>
      <c r="J211" s="7"/>
    </row>
    <row r="212" customFormat="false" ht="15" hidden="false" customHeight="false" outlineLevel="1" collapsed="false">
      <c r="A212" s="3" t="s">
        <v>518</v>
      </c>
      <c r="B212" s="7"/>
      <c r="C212" s="4" t="s">
        <v>519</v>
      </c>
      <c r="F212" s="12" t="s">
        <v>383</v>
      </c>
      <c r="G212" s="12" t="s">
        <v>472</v>
      </c>
      <c r="I212" s="12" t="s">
        <v>494</v>
      </c>
      <c r="J212" s="7"/>
    </row>
    <row r="213" customFormat="false" ht="15" hidden="false" customHeight="false" outlineLevel="1" collapsed="false">
      <c r="A213" s="15" t="s">
        <v>520</v>
      </c>
      <c r="B213" s="15" t="s">
        <v>86</v>
      </c>
      <c r="C213" s="15" t="s">
        <v>462</v>
      </c>
      <c r="D213" s="15"/>
      <c r="E213" s="15"/>
      <c r="F213" s="15" t="s">
        <v>463</v>
      </c>
      <c r="G213" s="15" t="s">
        <v>464</v>
      </c>
      <c r="H213" s="15"/>
      <c r="I213" s="15" t="s">
        <v>465</v>
      </c>
      <c r="J213" s="15" t="s">
        <v>466</v>
      </c>
    </row>
    <row r="214" customFormat="false" ht="15" hidden="false" customHeight="false" outlineLevel="1" collapsed="false">
      <c r="A214" s="3" t="s">
        <v>521</v>
      </c>
      <c r="B214" s="12" t="s">
        <v>91</v>
      </c>
      <c r="C214" s="45" t="n">
        <v>12.4</v>
      </c>
      <c r="D214" s="45" t="n">
        <v>13.2</v>
      </c>
      <c r="F214" s="7" t="s">
        <v>522</v>
      </c>
      <c r="G214" s="12" t="s">
        <v>472</v>
      </c>
      <c r="I214" s="12" t="s">
        <v>523</v>
      </c>
      <c r="J214" s="7"/>
    </row>
    <row r="215" customFormat="false" ht="15" hidden="false" customHeight="false" outlineLevel="1" collapsed="false">
      <c r="A215" s="3" t="s">
        <v>524</v>
      </c>
      <c r="B215" s="12" t="s">
        <v>91</v>
      </c>
      <c r="C215" s="45" t="n">
        <v>0.96</v>
      </c>
      <c r="D215" s="45" t="n">
        <v>1.15</v>
      </c>
      <c r="F215" s="7" t="s">
        <v>522</v>
      </c>
      <c r="G215" s="12" t="s">
        <v>472</v>
      </c>
      <c r="I215" s="12" t="s">
        <v>523</v>
      </c>
      <c r="J215" s="7"/>
    </row>
    <row r="216" customFormat="false" ht="15" hidden="false" customHeight="false" outlineLevel="1" collapsed="false">
      <c r="A216" s="3" t="s">
        <v>525</v>
      </c>
      <c r="B216" s="12" t="s">
        <v>91</v>
      </c>
      <c r="C216" s="45" t="n">
        <v>35</v>
      </c>
      <c r="D216" s="45" t="n">
        <v>39</v>
      </c>
      <c r="F216" s="7" t="s">
        <v>522</v>
      </c>
      <c r="G216" s="12" t="s">
        <v>472</v>
      </c>
      <c r="I216" s="12" t="s">
        <v>523</v>
      </c>
      <c r="J216" s="7"/>
    </row>
    <row r="217" customFormat="false" ht="15" hidden="false" customHeight="false" outlineLevel="1" collapsed="false">
      <c r="A217" s="3" t="s">
        <v>526</v>
      </c>
      <c r="B217" s="12" t="s">
        <v>91</v>
      </c>
      <c r="C217" s="45" t="n">
        <v>3.45</v>
      </c>
      <c r="D217" s="45" t="n">
        <v>3.6</v>
      </c>
      <c r="F217" s="7" t="s">
        <v>522</v>
      </c>
      <c r="G217" s="12" t="s">
        <v>472</v>
      </c>
      <c r="I217" s="12" t="s">
        <v>523</v>
      </c>
      <c r="J217" s="7" t="s">
        <v>527</v>
      </c>
    </row>
    <row r="218" customFormat="false" ht="15" hidden="false" customHeight="false" outlineLevel="1" collapsed="false">
      <c r="A218" s="15" t="s">
        <v>528</v>
      </c>
      <c r="B218" s="15" t="s">
        <v>86</v>
      </c>
      <c r="C218" s="15" t="s">
        <v>462</v>
      </c>
      <c r="D218" s="15"/>
      <c r="E218" s="15"/>
      <c r="F218" s="15" t="s">
        <v>463</v>
      </c>
      <c r="G218" s="15" t="s">
        <v>464</v>
      </c>
      <c r="H218" s="15"/>
      <c r="I218" s="15" t="s">
        <v>465</v>
      </c>
      <c r="J218" s="15" t="s">
        <v>466</v>
      </c>
    </row>
    <row r="219" customFormat="false" ht="15" hidden="false" customHeight="false" outlineLevel="1" collapsed="false">
      <c r="A219" s="3" t="s">
        <v>529</v>
      </c>
      <c r="B219" s="12" t="s">
        <v>91</v>
      </c>
      <c r="C219" s="45" t="n">
        <v>12.63</v>
      </c>
      <c r="F219" s="12" t="s">
        <v>530</v>
      </c>
      <c r="G219" s="12" t="s">
        <v>472</v>
      </c>
      <c r="I219" s="12" t="s">
        <v>531</v>
      </c>
      <c r="J219" s="7"/>
    </row>
    <row r="220" customFormat="false" ht="15" hidden="false" customHeight="false" outlineLevel="1" collapsed="false">
      <c r="A220" s="3" t="s">
        <v>532</v>
      </c>
      <c r="B220" s="12" t="s">
        <v>91</v>
      </c>
      <c r="C220" s="45" t="n">
        <v>3.43</v>
      </c>
      <c r="F220" s="12" t="s">
        <v>530</v>
      </c>
      <c r="G220" s="12" t="s">
        <v>472</v>
      </c>
      <c r="I220" s="12" t="s">
        <v>531</v>
      </c>
      <c r="J220" s="12" t="s">
        <v>533</v>
      </c>
    </row>
    <row r="221" customFormat="false" ht="15" hidden="false" customHeight="false" outlineLevel="1" collapsed="false">
      <c r="A221" s="15" t="s">
        <v>534</v>
      </c>
      <c r="B221" s="15" t="s">
        <v>86</v>
      </c>
      <c r="C221" s="15" t="s">
        <v>462</v>
      </c>
      <c r="D221" s="15"/>
      <c r="E221" s="15"/>
      <c r="F221" s="15" t="s">
        <v>463</v>
      </c>
      <c r="G221" s="15" t="s">
        <v>464</v>
      </c>
      <c r="H221" s="15"/>
      <c r="I221" s="15" t="s">
        <v>465</v>
      </c>
      <c r="J221" s="15" t="s">
        <v>466</v>
      </c>
    </row>
    <row r="222" customFormat="false" ht="15" hidden="false" customHeight="false" outlineLevel="1" collapsed="false">
      <c r="A222" s="3" t="s">
        <v>535</v>
      </c>
      <c r="B222" s="12" t="s">
        <v>74</v>
      </c>
      <c r="C222" s="3" t="s">
        <v>536</v>
      </c>
      <c r="F222" s="12" t="s">
        <v>383</v>
      </c>
      <c r="G222" s="12" t="s">
        <v>472</v>
      </c>
      <c r="I222" s="12" t="s">
        <v>537</v>
      </c>
      <c r="J222" s="12" t="s">
        <v>538</v>
      </c>
    </row>
    <row r="223" customFormat="false" ht="15" hidden="false" customHeight="false" outlineLevel="1" collapsed="false">
      <c r="A223" s="3" t="s">
        <v>539</v>
      </c>
      <c r="B223" s="12" t="s">
        <v>74</v>
      </c>
      <c r="C223" s="38" t="n">
        <v>125</v>
      </c>
      <c r="F223" s="12" t="s">
        <v>383</v>
      </c>
      <c r="G223" s="12" t="s">
        <v>472</v>
      </c>
      <c r="I223" s="12" t="s">
        <v>537</v>
      </c>
      <c r="J223" s="12" t="s">
        <v>540</v>
      </c>
    </row>
    <row r="224" customFormat="false" ht="15" hidden="false" customHeight="false" outlineLevel="1" collapsed="false">
      <c r="A224" s="3" t="s">
        <v>541</v>
      </c>
      <c r="B224" s="12" t="s">
        <v>74</v>
      </c>
      <c r="C224" s="38" t="n">
        <v>120</v>
      </c>
      <c r="F224" s="12" t="s">
        <v>383</v>
      </c>
      <c r="G224" s="12" t="s">
        <v>472</v>
      </c>
      <c r="I224" s="12" t="s">
        <v>537</v>
      </c>
      <c r="J224" s="12" t="s">
        <v>542</v>
      </c>
    </row>
    <row r="225" customFormat="false" ht="15" hidden="false" customHeight="false" outlineLevel="1" collapsed="false">
      <c r="A225" s="3" t="s">
        <v>543</v>
      </c>
      <c r="B225" s="12" t="s">
        <v>74</v>
      </c>
      <c r="C225" s="3" t="s">
        <v>536</v>
      </c>
      <c r="F225" s="12" t="s">
        <v>383</v>
      </c>
      <c r="G225" s="12" t="s">
        <v>472</v>
      </c>
      <c r="I225" s="12" t="s">
        <v>537</v>
      </c>
      <c r="J225" s="12" t="s">
        <v>544</v>
      </c>
    </row>
    <row r="226" customFormat="false" ht="15" hidden="false" customHeight="false" outlineLevel="1" collapsed="false">
      <c r="A226" s="3" t="s">
        <v>545</v>
      </c>
      <c r="B226" s="12" t="s">
        <v>74</v>
      </c>
      <c r="C226" s="38" t="n">
        <v>151</v>
      </c>
      <c r="F226" s="12" t="s">
        <v>383</v>
      </c>
      <c r="G226" s="12" t="s">
        <v>472</v>
      </c>
      <c r="I226" s="12" t="s">
        <v>537</v>
      </c>
      <c r="J226" s="12" t="s">
        <v>546</v>
      </c>
    </row>
    <row r="227" customFormat="false" ht="15" hidden="false" customHeight="false" outlineLevel="1" collapsed="false">
      <c r="A227" s="15" t="s">
        <v>547</v>
      </c>
      <c r="B227" s="15" t="s">
        <v>86</v>
      </c>
      <c r="C227" s="15" t="s">
        <v>462</v>
      </c>
      <c r="D227" s="15"/>
      <c r="E227" s="15"/>
      <c r="F227" s="15" t="s">
        <v>463</v>
      </c>
      <c r="G227" s="15" t="s">
        <v>464</v>
      </c>
      <c r="H227" s="15"/>
      <c r="I227" s="15" t="s">
        <v>465</v>
      </c>
      <c r="J227" s="15" t="s">
        <v>466</v>
      </c>
    </row>
    <row r="228" customFormat="false" ht="15" hidden="false" customHeight="false" outlineLevel="1" collapsed="false">
      <c r="A228" s="3" t="s">
        <v>548</v>
      </c>
      <c r="B228" s="7"/>
      <c r="C228" s="4" t="s">
        <v>549</v>
      </c>
      <c r="F228" s="12" t="s">
        <v>383</v>
      </c>
      <c r="G228" s="7"/>
      <c r="I228" s="7" t="s">
        <v>550</v>
      </c>
      <c r="J228" s="7"/>
    </row>
    <row r="229" customFormat="false" ht="15" hidden="false" customHeight="false" outlineLevel="1" collapsed="false">
      <c r="A229" s="3" t="s">
        <v>551</v>
      </c>
      <c r="B229" s="7"/>
      <c r="C229" s="4" t="s">
        <v>552</v>
      </c>
      <c r="F229" s="12" t="s">
        <v>383</v>
      </c>
      <c r="G229" s="7"/>
      <c r="I229" s="7" t="s">
        <v>550</v>
      </c>
      <c r="J229" s="7"/>
    </row>
    <row r="230" customFormat="false" ht="15" hidden="false" customHeight="false" outlineLevel="1" collapsed="false">
      <c r="A230" s="3" t="s">
        <v>553</v>
      </c>
      <c r="B230" s="7"/>
      <c r="C230" s="4" t="s">
        <v>554</v>
      </c>
      <c r="F230" s="12" t="s">
        <v>383</v>
      </c>
      <c r="G230" s="7"/>
      <c r="I230" s="7" t="s">
        <v>550</v>
      </c>
      <c r="J230" s="7"/>
    </row>
    <row r="231" customFormat="false" ht="15" hidden="false" customHeight="false" outlineLevel="1" collapsed="false">
      <c r="A231" s="3" t="s">
        <v>555</v>
      </c>
      <c r="B231" s="7"/>
      <c r="C231" s="3" t="s">
        <v>556</v>
      </c>
      <c r="F231" s="12" t="s">
        <v>383</v>
      </c>
      <c r="G231" s="7"/>
      <c r="I231" s="7" t="s">
        <v>550</v>
      </c>
      <c r="J231" s="7"/>
    </row>
    <row r="232" customFormat="false" ht="15" hidden="false" customHeight="false" outlineLevel="1" collapsed="false">
      <c r="A232" s="3" t="s">
        <v>557</v>
      </c>
      <c r="B232" s="12" t="s">
        <v>77</v>
      </c>
      <c r="C232" s="23" t="n">
        <v>0.05</v>
      </c>
      <c r="I232" s="7" t="s">
        <v>558</v>
      </c>
    </row>
    <row r="233" customFormat="false" ht="15" hidden="false" customHeight="false" outlineLevel="1" collapsed="false">
      <c r="A233" s="3" t="s">
        <v>559</v>
      </c>
      <c r="B233" s="12" t="s">
        <v>103</v>
      </c>
      <c r="C233" s="23" t="n">
        <v>0.02</v>
      </c>
      <c r="I233" s="7" t="s">
        <v>560</v>
      </c>
    </row>
    <row r="235" customFormat="false" ht="15" hidden="false" customHeight="false" outlineLevel="0" collapsed="false">
      <c r="A235" s="8" t="s">
        <v>561</v>
      </c>
      <c r="B235" s="9"/>
      <c r="C235" s="9"/>
      <c r="D235" s="9"/>
      <c r="E235" s="9"/>
      <c r="F235" s="9"/>
      <c r="G235" s="9"/>
      <c r="H235" s="9"/>
    </row>
    <row r="236" customFormat="false" ht="15" hidden="false" customHeight="false" outlineLevel="1" collapsed="false">
      <c r="A236" s="15" t="s">
        <v>562</v>
      </c>
      <c r="B236" s="15" t="s">
        <v>86</v>
      </c>
      <c r="C236" s="16" t="s">
        <v>563</v>
      </c>
      <c r="D236" s="16" t="s">
        <v>564</v>
      </c>
      <c r="E236" s="16" t="s">
        <v>565</v>
      </c>
      <c r="F236" s="16" t="s">
        <v>566</v>
      </c>
      <c r="G236" s="16" t="s">
        <v>567</v>
      </c>
      <c r="H236" s="16" t="s">
        <v>568</v>
      </c>
      <c r="J236" s="15" t="s">
        <v>569</v>
      </c>
    </row>
    <row r="237" customFormat="false" ht="15" hidden="false" customHeight="false" outlineLevel="1" collapsed="false">
      <c r="A237" s="3" t="s">
        <v>570</v>
      </c>
      <c r="C237" s="29" t="n">
        <v>1</v>
      </c>
      <c r="D237" s="29" t="n">
        <v>1</v>
      </c>
      <c r="E237" s="29" t="n">
        <v>2</v>
      </c>
      <c r="F237" s="29" t="n">
        <v>2</v>
      </c>
      <c r="G237" s="29" t="n">
        <v>2</v>
      </c>
      <c r="H237" s="29" t="n">
        <v>2</v>
      </c>
      <c r="J237" s="7" t="s">
        <v>571</v>
      </c>
    </row>
    <row r="238" customFormat="false" ht="15" hidden="false" customHeight="false" outlineLevel="1" collapsed="false">
      <c r="A238" s="3" t="s">
        <v>572</v>
      </c>
      <c r="C238" s="19" t="n">
        <v>1</v>
      </c>
      <c r="J238" s="7" t="s">
        <v>573</v>
      </c>
    </row>
    <row r="239" customFormat="false" ht="15" hidden="false" customHeight="false" outlineLevel="1" collapsed="false">
      <c r="A239" s="3" t="s">
        <v>574</v>
      </c>
      <c r="B239" s="12" t="s">
        <v>91</v>
      </c>
      <c r="C239" s="45" t="n">
        <v>2.575</v>
      </c>
      <c r="J239" s="7" t="s">
        <v>575</v>
      </c>
    </row>
    <row r="240" customFormat="false" ht="15" hidden="false" customHeight="false" outlineLevel="1" collapsed="false">
      <c r="A240" s="3" t="s">
        <v>576</v>
      </c>
      <c r="B240" s="12" t="s">
        <v>173</v>
      </c>
      <c r="C240" s="22" t="n">
        <v>1500</v>
      </c>
      <c r="J240" s="12" t="s">
        <v>577</v>
      </c>
    </row>
    <row r="241" customFormat="false" ht="15" hidden="false" customHeight="false" outlineLevel="1" collapsed="false">
      <c r="A241" s="3" t="s">
        <v>578</v>
      </c>
      <c r="B241" s="12" t="s">
        <v>91</v>
      </c>
      <c r="C241" s="45"/>
      <c r="D241" s="45"/>
      <c r="E241" s="45"/>
      <c r="F241" s="45"/>
      <c r="G241" s="45"/>
      <c r="H241" s="45"/>
      <c r="J241" s="7" t="s">
        <v>579</v>
      </c>
    </row>
    <row r="242" customFormat="false" ht="15" hidden="false" customHeight="false" outlineLevel="1" collapsed="false">
      <c r="A242" s="3" t="s">
        <v>580</v>
      </c>
      <c r="B242" s="12" t="s">
        <v>91</v>
      </c>
      <c r="C242" s="45"/>
      <c r="D242" s="45"/>
      <c r="E242" s="45"/>
      <c r="F242" s="45"/>
      <c r="G242" s="45"/>
      <c r="H242" s="45"/>
    </row>
    <row r="243" customFormat="false" ht="15" hidden="false" customHeight="false" outlineLevel="1" collapsed="false">
      <c r="A243" s="3" t="s">
        <v>581</v>
      </c>
      <c r="B243" s="12" t="s">
        <v>91</v>
      </c>
      <c r="C243" s="45"/>
      <c r="D243" s="45"/>
      <c r="E243" s="45"/>
      <c r="F243" s="45"/>
      <c r="G243" s="45"/>
      <c r="H243" s="45"/>
    </row>
    <row r="244" customFormat="false" ht="15" hidden="false" customHeight="false" outlineLevel="1" collapsed="false">
      <c r="A244" s="3" t="s">
        <v>582</v>
      </c>
      <c r="B244" s="12" t="s">
        <v>91</v>
      </c>
      <c r="C244" s="45"/>
      <c r="D244" s="45"/>
      <c r="E244" s="45"/>
      <c r="F244" s="45"/>
      <c r="G244" s="45"/>
      <c r="H244" s="45"/>
    </row>
    <row r="245" customFormat="false" ht="15" hidden="false" customHeight="false" outlineLevel="1" collapsed="false">
      <c r="A245" s="3" t="s">
        <v>583</v>
      </c>
      <c r="B245" s="12" t="s">
        <v>173</v>
      </c>
      <c r="C245" s="22"/>
      <c r="D245" s="22"/>
      <c r="E245" s="22"/>
      <c r="F245" s="22"/>
      <c r="G245" s="22"/>
      <c r="H245" s="22"/>
    </row>
    <row r="246" customFormat="false" ht="15" hidden="false" customHeight="false" outlineLevel="1" collapsed="false">
      <c r="A246" s="3" t="s">
        <v>584</v>
      </c>
      <c r="C246" s="46"/>
      <c r="D246" s="46"/>
      <c r="E246" s="46"/>
      <c r="F246" s="46"/>
      <c r="G246" s="46"/>
      <c r="H246" s="46"/>
    </row>
    <row r="247" customFormat="false" ht="15" hidden="false" customHeight="false" outlineLevel="1" collapsed="false">
      <c r="A247" s="3" t="s">
        <v>585</v>
      </c>
      <c r="C247" s="46"/>
      <c r="D247" s="46"/>
      <c r="E247" s="46"/>
      <c r="F247" s="46"/>
      <c r="G247" s="46"/>
      <c r="H247" s="46"/>
    </row>
    <row r="248" customFormat="false" ht="15" hidden="false" customHeight="false" outlineLevel="1" collapsed="false">
      <c r="A248" s="3" t="s">
        <v>586</v>
      </c>
      <c r="C248" s="46"/>
      <c r="D248" s="46"/>
      <c r="E248" s="46"/>
      <c r="F248" s="46"/>
      <c r="G248" s="46"/>
      <c r="H248" s="46"/>
    </row>
    <row r="249" customFormat="false" ht="15" hidden="false" customHeight="false" outlineLevel="1" collapsed="false">
      <c r="A249" s="3" t="s">
        <v>587</v>
      </c>
      <c r="B249" s="12" t="s">
        <v>91</v>
      </c>
      <c r="C249" s="45" t="n">
        <v>3.45</v>
      </c>
      <c r="D249" s="45"/>
      <c r="E249" s="45"/>
      <c r="F249" s="45"/>
      <c r="G249" s="45"/>
      <c r="H249" s="45"/>
      <c r="J249" s="12" t="s">
        <v>588</v>
      </c>
    </row>
    <row r="250" customFormat="false" ht="15" hidden="false" customHeight="false" outlineLevel="1" collapsed="false">
      <c r="A250" s="3" t="s">
        <v>589</v>
      </c>
      <c r="B250" s="12" t="s">
        <v>91</v>
      </c>
      <c r="C250" s="45" t="n">
        <v>3.6</v>
      </c>
      <c r="D250" s="45"/>
      <c r="E250" s="45"/>
      <c r="F250" s="45"/>
      <c r="G250" s="45"/>
      <c r="H250" s="45"/>
    </row>
    <row r="251" customFormat="false" ht="15" hidden="false" customHeight="false" outlineLevel="1" collapsed="false">
      <c r="A251" s="3" t="s">
        <v>590</v>
      </c>
      <c r="B251" s="12" t="s">
        <v>91</v>
      </c>
      <c r="C251" s="45" t="n">
        <v>0.2</v>
      </c>
      <c r="D251" s="45"/>
      <c r="E251" s="45"/>
      <c r="F251" s="45"/>
      <c r="G251" s="45"/>
      <c r="H251" s="45"/>
      <c r="J251" s="12" t="s">
        <v>588</v>
      </c>
    </row>
    <row r="252" customFormat="false" ht="15" hidden="false" customHeight="false" outlineLevel="1" collapsed="false">
      <c r="A252" s="3" t="s">
        <v>591</v>
      </c>
      <c r="B252" s="12" t="s">
        <v>91</v>
      </c>
      <c r="C252" s="45" t="n">
        <v>0.26</v>
      </c>
      <c r="D252" s="45"/>
      <c r="E252" s="45"/>
      <c r="F252" s="45"/>
      <c r="G252" s="45"/>
      <c r="H252" s="45"/>
    </row>
    <row r="253" customFormat="false" ht="15" hidden="false" customHeight="false" outlineLevel="1" collapsed="false">
      <c r="A253" s="3" t="s">
        <v>592</v>
      </c>
      <c r="B253" s="12" t="s">
        <v>91</v>
      </c>
      <c r="C253" s="45" t="n">
        <v>11.5</v>
      </c>
      <c r="D253" s="45"/>
      <c r="E253" s="45"/>
      <c r="F253" s="45"/>
      <c r="G253" s="45"/>
      <c r="H253" s="45"/>
      <c r="J253" s="12" t="s">
        <v>588</v>
      </c>
    </row>
    <row r="254" customFormat="false" ht="15" hidden="false" customHeight="false" outlineLevel="1" collapsed="false">
      <c r="A254" s="3" t="s">
        <v>593</v>
      </c>
      <c r="B254" s="12" t="s">
        <v>91</v>
      </c>
      <c r="C254" s="45" t="n">
        <v>13.5</v>
      </c>
      <c r="D254" s="45"/>
      <c r="E254" s="45"/>
      <c r="F254" s="45"/>
      <c r="G254" s="45"/>
      <c r="H254" s="45"/>
    </row>
    <row r="255" customFormat="false" ht="15" hidden="false" customHeight="false" outlineLevel="1" collapsed="false">
      <c r="A255" s="3" t="s">
        <v>594</v>
      </c>
      <c r="C255" s="46"/>
      <c r="D255" s="47" t="s">
        <v>595</v>
      </c>
      <c r="E255" s="46"/>
      <c r="F255" s="46"/>
      <c r="G255" s="46"/>
      <c r="H255" s="46"/>
      <c r="J255" s="12" t="s">
        <v>596</v>
      </c>
    </row>
    <row r="256" customFormat="false" ht="15" hidden="false" customHeight="false" outlineLevel="1" collapsed="false">
      <c r="A256" s="3" t="s">
        <v>597</v>
      </c>
      <c r="B256" s="12" t="s">
        <v>91</v>
      </c>
      <c r="C256" s="45" t="n">
        <v>12.4</v>
      </c>
      <c r="D256" s="45" t="n">
        <v>13.2</v>
      </c>
      <c r="E256" s="45" t="n">
        <v>4.653</v>
      </c>
      <c r="J256" s="7" t="s">
        <v>598</v>
      </c>
    </row>
    <row r="257" customFormat="false" ht="15" hidden="false" customHeight="false" outlineLevel="1" collapsed="false">
      <c r="A257" s="3" t="s">
        <v>599</v>
      </c>
      <c r="B257" s="12" t="s">
        <v>91</v>
      </c>
      <c r="C257" s="45" t="n">
        <v>35</v>
      </c>
      <c r="D257" s="45" t="n">
        <v>39</v>
      </c>
      <c r="E257" s="45" t="n">
        <v>16.139</v>
      </c>
      <c r="J257" s="7" t="s">
        <v>598</v>
      </c>
    </row>
  </sheetData>
  <dataValidations count="1">
    <dataValidation allowBlank="false" error="請輸入 1–4" errorStyle="stop" errorTitle="錨定年度" operator="between" showDropDown="false" showErrorMessage="true" showInputMessage="false" sqref="C107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6" t="s">
        <v>600</v>
      </c>
    </row>
    <row r="2" customFormat="false" ht="15" hidden="false" customHeight="false" outlineLevel="0" collapsed="false">
      <c r="A2" s="12" t="s">
        <v>601</v>
      </c>
    </row>
    <row r="4" customFormat="false" ht="15" hidden="false" customHeight="false" outlineLevel="0" collapsed="false">
      <c r="A4" s="15" t="s">
        <v>85</v>
      </c>
      <c r="B4" s="15" t="s">
        <v>86</v>
      </c>
      <c r="C4" s="27" t="s">
        <v>87</v>
      </c>
      <c r="D4" s="27" t="s">
        <v>88</v>
      </c>
      <c r="E4" s="27" t="s">
        <v>89</v>
      </c>
      <c r="F4" s="27" t="s">
        <v>169</v>
      </c>
      <c r="G4" s="27" t="s">
        <v>170</v>
      </c>
      <c r="I4" s="15" t="s">
        <v>602</v>
      </c>
    </row>
    <row r="5" customFormat="false" ht="15" hidden="false" customHeight="false" outlineLevel="0" collapsed="false">
      <c r="A5" s="48" t="s">
        <v>603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604</v>
      </c>
      <c r="B6" s="12" t="s">
        <v>91</v>
      </c>
      <c r="C6" s="32" t="n">
        <f aca="false">輸入與假設!$C$146+輸入與假設!C$73</f>
        <v>36.975</v>
      </c>
      <c r="D6" s="32" t="n">
        <f aca="false">輸入與假設!D$73</f>
        <v>38.335</v>
      </c>
      <c r="E6" s="32" t="n">
        <f aca="false">輸入與假設!E$73</f>
        <v>29.41</v>
      </c>
      <c r="F6" s="32" t="n">
        <f aca="false">輸入與假設!F$73</f>
        <v>30.6</v>
      </c>
      <c r="G6" s="32" t="n">
        <f aca="false">輸入與假設!G$73</f>
        <v>32.47</v>
      </c>
      <c r="I6" s="12" t="s">
        <v>605</v>
      </c>
    </row>
    <row r="7" customFormat="false" ht="15" hidden="false" customHeight="false" outlineLevel="1" collapsed="false">
      <c r="A7" s="3" t="s">
        <v>606</v>
      </c>
      <c r="B7" s="12" t="s">
        <v>77</v>
      </c>
      <c r="C7" s="49" t="n">
        <f aca="false">輸入與假設!C$58</f>
        <v>0.08</v>
      </c>
      <c r="D7" s="49" t="n">
        <f aca="false">輸入與假設!D$58</f>
        <v>0.08</v>
      </c>
      <c r="E7" s="49" t="n">
        <f aca="false">輸入與假設!E$58</f>
        <v>0.08</v>
      </c>
      <c r="F7" s="49" t="n">
        <f aca="false">輸入與假設!F$58</f>
        <v>0.08</v>
      </c>
      <c r="G7" s="49" t="n">
        <f aca="false">輸入與假設!G$58</f>
        <v>0.08</v>
      </c>
    </row>
    <row r="8" customFormat="false" ht="15" hidden="false" customHeight="false" outlineLevel="1" collapsed="false">
      <c r="A8" s="3" t="s">
        <v>607</v>
      </c>
      <c r="B8" s="12" t="s">
        <v>91</v>
      </c>
      <c r="C8" s="32" t="n">
        <f aca="false">輸入與假設!C$73*C7</f>
        <v>1.66688</v>
      </c>
      <c r="D8" s="32" t="n">
        <f aca="false">輸入與假設!D$73*D7</f>
        <v>3.0668</v>
      </c>
      <c r="E8" s="32" t="n">
        <f aca="false">輸入與假設!E$73*E7</f>
        <v>2.3528</v>
      </c>
      <c r="F8" s="32" t="n">
        <f aca="false">輸入與假設!F$73*F7</f>
        <v>2.448</v>
      </c>
      <c r="G8" s="32" t="n">
        <f aca="false">輸入與假設!G$73*G7</f>
        <v>2.5976</v>
      </c>
      <c r="I8" s="12" t="s">
        <v>608</v>
      </c>
    </row>
    <row r="9" customFormat="false" ht="15" hidden="false" customHeight="false" outlineLevel="1" collapsed="false">
      <c r="A9" s="4" t="s">
        <v>609</v>
      </c>
      <c r="B9" s="12" t="s">
        <v>91</v>
      </c>
      <c r="C9" s="32" t="n">
        <f aca="false">輸入與假設!$C$145+輸入與假設!C$73</f>
        <v>34.953</v>
      </c>
      <c r="D9" s="32" t="n">
        <f aca="false">輸入與假設!D$73</f>
        <v>38.335</v>
      </c>
      <c r="E9" s="32" t="n">
        <f aca="false">輸入與假設!E$73</f>
        <v>29.41</v>
      </c>
      <c r="F9" s="32" t="n">
        <f aca="false">輸入與假設!F$73</f>
        <v>30.6</v>
      </c>
      <c r="G9" s="32" t="n">
        <f aca="false">輸入與假設!G$73</f>
        <v>32.47</v>
      </c>
      <c r="I9" s="12" t="s">
        <v>610</v>
      </c>
    </row>
    <row r="10" customFormat="false" ht="15" hidden="false" customHeight="false" outlineLevel="1" collapsed="false">
      <c r="A10" s="3" t="s">
        <v>611</v>
      </c>
      <c r="B10" s="12" t="s">
        <v>91</v>
      </c>
      <c r="C10" s="39" t="n">
        <f aca="false">輸入與假設!C$59</f>
        <v>1.04</v>
      </c>
      <c r="D10" s="39" t="n">
        <f aca="false">輸入與假設!D$59</f>
        <v>2.339</v>
      </c>
      <c r="E10" s="39" t="n">
        <f aca="false">輸入與假設!E$59</f>
        <v>2.306</v>
      </c>
      <c r="F10" s="39" t="n">
        <f aca="false">輸入與假設!F$59</f>
        <v>2.373</v>
      </c>
      <c r="G10" s="39" t="n">
        <f aca="false">輸入與假設!G$59</f>
        <v>2.289</v>
      </c>
      <c r="I10" s="7" t="s">
        <v>612</v>
      </c>
    </row>
    <row r="11" customFormat="false" ht="15" hidden="false" customHeight="false" outlineLevel="1" collapsed="false">
      <c r="A11" s="3" t="s">
        <v>613</v>
      </c>
      <c r="B11" s="12" t="s">
        <v>91</v>
      </c>
      <c r="C11" s="39" t="n">
        <f aca="false">輸入與假設!C$60</f>
        <v>0.3</v>
      </c>
      <c r="D11" s="39" t="n">
        <f aca="false">輸入與假設!D$60</f>
        <v>1.6</v>
      </c>
      <c r="E11" s="39" t="n">
        <f aca="false">輸入與假設!E$60</f>
        <v>2.41935483870968</v>
      </c>
      <c r="F11" s="39" t="n">
        <f aca="false">輸入與假設!F$60</f>
        <v>2.75</v>
      </c>
      <c r="G11" s="39" t="n">
        <f aca="false">輸入與假設!G$60</f>
        <v>2.90153846153846</v>
      </c>
      <c r="I11" s="7" t="s">
        <v>614</v>
      </c>
    </row>
    <row r="12" customFormat="false" ht="15" hidden="false" customHeight="false" outlineLevel="1" collapsed="false">
      <c r="A12" s="3" t="s">
        <v>615</v>
      </c>
      <c r="B12" s="12" t="s">
        <v>91</v>
      </c>
      <c r="C12" s="32" t="n">
        <f aca="false">C10+C11</f>
        <v>1.34</v>
      </c>
      <c r="D12" s="32" t="n">
        <f aca="false">D10+D11</f>
        <v>3.939</v>
      </c>
      <c r="E12" s="32" t="n">
        <f aca="false">E10+E11</f>
        <v>4.72535483870968</v>
      </c>
      <c r="F12" s="32" t="n">
        <f aca="false">F10+F11</f>
        <v>5.123</v>
      </c>
      <c r="G12" s="32" t="n">
        <f aca="false">G10+G11</f>
        <v>5.19053846153846</v>
      </c>
    </row>
    <row r="13" customFormat="false" ht="15" hidden="false" customHeight="false" outlineLevel="1" collapsed="false">
      <c r="A13" s="3" t="s">
        <v>616</v>
      </c>
      <c r="B13" s="12" t="s">
        <v>91</v>
      </c>
      <c r="C13" s="39" t="n">
        <f aca="false">輸入與假設!C$95</f>
        <v>1.80589628695395</v>
      </c>
      <c r="D13" s="39" t="n">
        <f aca="false">輸入與假設!D$95</f>
        <v>2.46600676169447</v>
      </c>
      <c r="E13" s="39" t="n">
        <f aca="false">輸入與假設!E$95</f>
        <v>2.02009474796771</v>
      </c>
      <c r="F13" s="39" t="n">
        <f aca="false">輸入與假設!F$95</f>
        <v>1.73248149911395</v>
      </c>
      <c r="G13" s="39" t="n">
        <f aca="false">輸入與假設!G$95</f>
        <v>1.49513851973222</v>
      </c>
      <c r="I13" s="7" t="str">
        <f aca="false">"6/30 債務餘額的利息。FY26 全年利息＝1H 實際 1.176＋2H "&amp;TEXT(C13,"0.0")&amp;"＝"&amp;TEXT(1.176+C13,"0.00")&amp;"（見下方備忘）"</f>
        <v>6/30 債務餘額的利息。FY26 全年利息＝1H 實際 1.176＋2H 1.8＝2.98（見下方備忘）</v>
      </c>
    </row>
    <row r="14" customFormat="false" ht="15" hidden="false" customHeight="false" outlineLevel="1" collapsed="false">
      <c r="A14" s="3" t="s">
        <v>617</v>
      </c>
      <c r="B14" s="12" t="s">
        <v>91</v>
      </c>
      <c r="C14" s="32" t="n">
        <f aca="false">輸入與假設!$C$143</f>
        <v>3.127</v>
      </c>
      <c r="D14" s="32" t="n">
        <f aca="false">C41</f>
        <v>2</v>
      </c>
      <c r="E14" s="32" t="n">
        <f aca="false">D41</f>
        <v>2</v>
      </c>
      <c r="F14" s="32" t="n">
        <f aca="false">E41</f>
        <v>2</v>
      </c>
      <c r="G14" s="32" t="n">
        <f aca="false">F41</f>
        <v>2</v>
      </c>
      <c r="I14" s="12" t="s">
        <v>618</v>
      </c>
    </row>
    <row r="15" customFormat="false" ht="15" hidden="false" customHeight="false" outlineLevel="1" collapsed="false">
      <c r="A15" s="3" t="s">
        <v>619</v>
      </c>
      <c r="B15" s="12" t="s">
        <v>77</v>
      </c>
      <c r="C15" s="31" t="n">
        <f aca="false">IF(輸入與假設!$C$91=1,輸入與假設!C$94+MAX(0,輸入與假設!$C$90-450)/100*0.004,輸入與假設!C$94)</f>
        <v>0.09</v>
      </c>
      <c r="D15" s="31" t="n">
        <f aca="false">IF(輸入與假設!$C$91=1,輸入與假設!D$94+MAX(0,輸入與假設!$C$90-450)/100*0.004,輸入與假設!D$94)</f>
        <v>0.09</v>
      </c>
      <c r="E15" s="31" t="n">
        <f aca="false">IF(輸入與假設!$C$91=1,輸入與假設!E$94+MAX(0,輸入與假設!$C$90-450)/100*0.004,輸入與假設!E$94)</f>
        <v>0.09</v>
      </c>
      <c r="F15" s="31" t="n">
        <f aca="false">IF(輸入與假設!$C$91=1,輸入與假設!F$94+MAX(0,輸入與假設!$C$90-450)/100*0.004,輸入與假設!F$94)</f>
        <v>0.09</v>
      </c>
      <c r="G15" s="31" t="n">
        <f aca="false">IF(輸入與假設!$C$91=1,輸入與假設!G$94+MAX(0,輸入與假設!$C$90-450)/100*0.004,輸入與假設!G$94)</f>
        <v>0.09</v>
      </c>
      <c r="I15" s="12" t="s">
        <v>620</v>
      </c>
    </row>
    <row r="16" customFormat="false" ht="15" hidden="false" customHeight="false" outlineLevel="1" collapsed="false">
      <c r="A16" s="3" t="s">
        <v>621</v>
      </c>
      <c r="B16" s="12" t="s">
        <v>91</v>
      </c>
      <c r="C16" s="32" t="n">
        <f aca="false">C63</f>
        <v>0.564952311705499</v>
      </c>
      <c r="D16" s="32" t="n">
        <f aca="false">D63</f>
        <v>4.07082035882062</v>
      </c>
      <c r="E16" s="32" t="n">
        <f aca="false">E63</f>
        <v>5.58647186461765</v>
      </c>
      <c r="F16" s="32" t="n">
        <f aca="false">F63</f>
        <v>5.869010565</v>
      </c>
      <c r="G16" s="32" t="n">
        <f aca="false">G63</f>
        <v>6.51509604</v>
      </c>
      <c r="I16" s="7" t="s">
        <v>622</v>
      </c>
    </row>
    <row r="17" customFormat="false" ht="15" hidden="false" customHeight="false" outlineLevel="1" collapsed="false">
      <c r="A17" s="3" t="s">
        <v>623</v>
      </c>
      <c r="B17" s="12" t="s">
        <v>91</v>
      </c>
      <c r="C17" s="32" t="n">
        <f aca="false">C13+C16</f>
        <v>2.37084859865945</v>
      </c>
      <c r="D17" s="32" t="n">
        <f aca="false">D13+D16</f>
        <v>6.53682712051508</v>
      </c>
      <c r="E17" s="32" t="n">
        <f aca="false">E13+E16</f>
        <v>7.60656661258536</v>
      </c>
      <c r="F17" s="32" t="n">
        <f aca="false">F13+F16</f>
        <v>7.60149206411395</v>
      </c>
      <c r="G17" s="32" t="n">
        <f aca="false">G13+G16</f>
        <v>8.01023455973222</v>
      </c>
    </row>
    <row r="18" customFormat="false" ht="15" hidden="false" customHeight="false" outlineLevel="1" collapsed="false">
      <c r="A18" s="4" t="s">
        <v>624</v>
      </c>
      <c r="B18" s="12" t="s">
        <v>91</v>
      </c>
      <c r="C18" s="32" t="n">
        <f aca="false">輸入與假設!$C$147+輸入與假設!C$63</f>
        <v>1.938</v>
      </c>
      <c r="D18" s="32" t="n">
        <f aca="false">輸入與假設!D$63</f>
        <v>0.4</v>
      </c>
      <c r="E18" s="32" t="n">
        <f aca="false">輸入與假設!E$63</f>
        <v>0.3</v>
      </c>
      <c r="F18" s="32" t="n">
        <f aca="false">輸入與假設!F$63</f>
        <v>0.2</v>
      </c>
      <c r="G18" s="32" t="n">
        <f aca="false">輸入與假設!G$63</f>
        <v>0.2</v>
      </c>
      <c r="I18" s="12" t="s">
        <v>625</v>
      </c>
    </row>
    <row r="19" customFormat="false" ht="15" hidden="false" customHeight="false" outlineLevel="1" collapsed="false">
      <c r="A19" s="3" t="s">
        <v>626</v>
      </c>
      <c r="B19" s="12" t="s">
        <v>91</v>
      </c>
      <c r="C19" s="32" t="n">
        <f aca="false">IF(輸入與假設!$C$42=1,運營_產能與收入!C9*8760*輸入與假設!C$44*輸入與假設!C$43/1000000000*運營_產能與收入!C7,0)</f>
        <v>0</v>
      </c>
      <c r="D19" s="32" t="n">
        <f aca="false">IF(輸入與假設!$C$42=1,運營_產能與收入!D9*8760*輸入與假設!D$44*輸入與假設!D$43/1000000000*運營_產能與收入!D7,0)</f>
        <v>0</v>
      </c>
      <c r="E19" s="32" t="n">
        <f aca="false">IF(輸入與假設!$C$42=1,運營_產能與收入!E9*8760*輸入與假設!E$44*輸入與假設!E$43/1000000000*運營_產能與收入!E7,0)</f>
        <v>0</v>
      </c>
      <c r="F19" s="32" t="n">
        <f aca="false">IF(輸入與假設!$C$42=1,運營_產能與收入!F9*8760*輸入與假設!F$44*輸入與假設!F$43/1000000000*運營_產能與收入!F7,0)</f>
        <v>0</v>
      </c>
      <c r="G19" s="32" t="n">
        <f aca="false">IF(輸入與假設!$C$42=1,運營_產能與收入!G9*8760*輸入與假設!G$44*輸入與假設!G$43/1000000000*運營_產能與收入!G7,0)</f>
        <v>0</v>
      </c>
      <c r="I19" s="7" t="s">
        <v>627</v>
      </c>
    </row>
    <row r="20" customFormat="false" ht="15" hidden="false" customHeight="false" outlineLevel="1" collapsed="false">
      <c r="A20" s="3" t="s">
        <v>628</v>
      </c>
      <c r="B20" s="12" t="s">
        <v>91</v>
      </c>
      <c r="C20" s="32" t="n">
        <f aca="false">IF(輸入與假設!$C$42=1,運營_產能與收入!C9*輸入與假設!C$45/1000*運營_產能與收入!C7,0)</f>
        <v>0</v>
      </c>
      <c r="D20" s="32" t="n">
        <f aca="false">IF(輸入與假設!$C$42=1,運營_產能與收入!D9*輸入與假設!D$45/1000*運營_產能與收入!D7,0)</f>
        <v>0</v>
      </c>
      <c r="E20" s="32" t="n">
        <f aca="false">IF(輸入與假設!$C$42=1,運營_產能與收入!E9*輸入與假設!E$45/1000*運營_產能與收入!E7,0)</f>
        <v>0</v>
      </c>
      <c r="F20" s="32" t="n">
        <f aca="false">IF(輸入與假設!$C$42=1,運營_產能與收入!F9*輸入與假設!F$45/1000*運營_產能與收入!F7,0)</f>
        <v>0</v>
      </c>
      <c r="G20" s="32" t="n">
        <f aca="false">IF(輸入與假設!$C$42=1,運營_產能與收入!G9*輸入與假設!G$45/1000*運營_產能與收入!G7,0)</f>
        <v>0</v>
      </c>
    </row>
    <row r="21" customFormat="false" ht="15" hidden="false" customHeight="false" outlineLevel="1" collapsed="false">
      <c r="A21" s="3" t="s">
        <v>629</v>
      </c>
      <c r="B21" s="12" t="s">
        <v>91</v>
      </c>
      <c r="C21" s="32" t="n">
        <f aca="false">輸入與假設!$C$149+IF(輸入與假設!$C$82=1,輸入與假設!C$93,0)</f>
        <v>9.632</v>
      </c>
      <c r="D21" s="32" t="n">
        <f aca="false">IF(輸入與假設!$C$82=1,輸入與假設!D$93,0)</f>
        <v>6.184</v>
      </c>
      <c r="E21" s="32" t="n">
        <f aca="false">IF(輸入與假設!$C$82=1,輸入與假設!E$93,0)</f>
        <v>4.416</v>
      </c>
      <c r="F21" s="32" t="n">
        <f aca="false">IF(輸入與假設!$C$82=1,輸入與假設!F$93,0)</f>
        <v>2.421</v>
      </c>
      <c r="G21" s="32" t="n">
        <f aca="false">IF(輸入與假設!$C$82=1,輸入與假設!G$93,0)</f>
        <v>3.221</v>
      </c>
      <c r="I21" s="12" t="s">
        <v>630</v>
      </c>
    </row>
    <row r="22" customFormat="false" ht="15" hidden="false" customHeight="false" outlineLevel="1" collapsed="false">
      <c r="A22" s="4" t="s">
        <v>631</v>
      </c>
      <c r="B22" s="12" t="s">
        <v>91</v>
      </c>
      <c r="C22" s="32" t="n">
        <f aca="false">輸入與假設!$C$150</f>
        <v>0.492</v>
      </c>
      <c r="D22" s="32" t="n">
        <f aca="false">0</f>
        <v>0</v>
      </c>
      <c r="E22" s="32" t="n">
        <f aca="false">0</f>
        <v>0</v>
      </c>
      <c r="F22" s="32" t="n">
        <f aca="false">0</f>
        <v>0</v>
      </c>
      <c r="G22" s="32" t="n">
        <f aca="false">0</f>
        <v>0</v>
      </c>
      <c r="I22" s="12" t="s">
        <v>632</v>
      </c>
    </row>
    <row r="23" customFormat="false" ht="15" hidden="false" customHeight="false" outlineLevel="1" collapsed="false">
      <c r="A23" s="2" t="s">
        <v>633</v>
      </c>
      <c r="B23" s="12" t="s">
        <v>91</v>
      </c>
      <c r="C23" s="36" t="n">
        <f aca="false">C9+C12+C17+C18+C19+C20+C21+C22</f>
        <v>50.7258485986595</v>
      </c>
      <c r="D23" s="36" t="n">
        <f aca="false">D9+D12+D17+D18+D19+D20+D21+D22</f>
        <v>55.3948271205151</v>
      </c>
      <c r="E23" s="36" t="n">
        <f aca="false">E9+E12+E17+E18+E19+E20+E21+E22</f>
        <v>46.457921451295</v>
      </c>
      <c r="F23" s="36" t="n">
        <f aca="false">F9+F12+F17+F18+F19+F20+F21+F22</f>
        <v>45.945492064114</v>
      </c>
      <c r="G23" s="36" t="n">
        <f aca="false">G9+G12+G17+G18+G19+G20+G21+G22</f>
        <v>49.0917730212707</v>
      </c>
      <c r="I23" s="12" t="s">
        <v>634</v>
      </c>
    </row>
    <row r="24" customFormat="false" ht="15" hidden="false" customHeight="false" outlineLevel="0" collapsed="false">
      <c r="A24" s="48" t="s">
        <v>635</v>
      </c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1" collapsed="false">
      <c r="A25" s="4" t="s">
        <v>636</v>
      </c>
      <c r="B25" s="12" t="s">
        <v>91</v>
      </c>
      <c r="C25" s="39" t="n">
        <f aca="false">輸入與假設!$C$144</f>
        <v>3.663</v>
      </c>
      <c r="D25" s="39" t="n">
        <f aca="false">0</f>
        <v>0</v>
      </c>
      <c r="E25" s="39" t="n">
        <f aca="false">0</f>
        <v>0</v>
      </c>
      <c r="F25" s="39" t="n">
        <f aca="false">0</f>
        <v>0</v>
      </c>
      <c r="G25" s="39" t="n">
        <f aca="false">0</f>
        <v>0</v>
      </c>
      <c r="I25" s="12" t="s">
        <v>637</v>
      </c>
    </row>
    <row r="26" customFormat="false" ht="15" hidden="false" customHeight="false" outlineLevel="1" collapsed="false">
      <c r="A26" s="4" t="s">
        <v>638</v>
      </c>
      <c r="B26" s="12" t="s">
        <v>91</v>
      </c>
      <c r="C26" s="39" t="n">
        <f aca="false">運營_產能與收入!C36</f>
        <v>6.0636895903037</v>
      </c>
      <c r="D26" s="39" t="n">
        <f aca="false">運營_產能與收入!D36</f>
        <v>18.8954249232071</v>
      </c>
      <c r="E26" s="39" t="n">
        <f aca="false">運營_產能與收入!E36</f>
        <v>19.1311823027985</v>
      </c>
      <c r="F26" s="39" t="n">
        <f aca="false">運營_產能與收入!F36</f>
        <v>18.781449967</v>
      </c>
      <c r="G26" s="39" t="n">
        <f aca="false">運營_產能與收入!G36</f>
        <v>13.374716905551</v>
      </c>
    </row>
    <row r="27" customFormat="false" ht="15" hidden="false" customHeight="false" outlineLevel="1" collapsed="false">
      <c r="A27" s="3" t="s">
        <v>639</v>
      </c>
      <c r="B27" s="12" t="s">
        <v>91</v>
      </c>
      <c r="C27" s="39" t="n">
        <f aca="false">運營_產能與收入!C37</f>
        <v>0</v>
      </c>
      <c r="D27" s="39" t="n">
        <f aca="false">運營_產能與收入!D37</f>
        <v>0</v>
      </c>
      <c r="E27" s="39" t="n">
        <f aca="false">運營_產能與收入!E37</f>
        <v>6.78541228626628</v>
      </c>
      <c r="F27" s="39" t="n">
        <f aca="false">運營_產能與收入!F37</f>
        <v>10.826919371542</v>
      </c>
      <c r="G27" s="39" t="n">
        <f aca="false">運營_產能與收入!G37</f>
        <v>17.7594020166549</v>
      </c>
    </row>
    <row r="28" customFormat="false" ht="15" hidden="false" customHeight="false" outlineLevel="1" collapsed="false">
      <c r="A28" s="3" t="s">
        <v>640</v>
      </c>
      <c r="B28" s="12" t="s">
        <v>91</v>
      </c>
      <c r="C28" s="39" t="n">
        <f aca="false">輸入與假設!C$40</f>
        <v>0.224783192677998</v>
      </c>
      <c r="D28" s="39" t="n">
        <f aca="false">輸入與假設!D$40</f>
        <v>0.755760692756674</v>
      </c>
      <c r="E28" s="39" t="n">
        <f aca="false">輸入與假設!E$40</f>
        <v>1.34795457559659</v>
      </c>
      <c r="F28" s="39" t="n">
        <f aca="false">輸入與假設!F$40</f>
        <v>2.11660002119496</v>
      </c>
      <c r="G28" s="39" t="n">
        <f aca="false">輸入與假設!G$40</f>
        <v>2.90837126816542</v>
      </c>
    </row>
    <row r="29" customFormat="false" ht="15" hidden="false" customHeight="false" outlineLevel="1" collapsed="false">
      <c r="A29" s="3" t="s">
        <v>641</v>
      </c>
      <c r="B29" s="12" t="s">
        <v>91</v>
      </c>
      <c r="C29" s="32" t="n">
        <f aca="false">C8</f>
        <v>1.66688</v>
      </c>
      <c r="D29" s="32" t="n">
        <f aca="false">D8</f>
        <v>3.0668</v>
      </c>
      <c r="E29" s="32" t="n">
        <f aca="false">E8</f>
        <v>2.3528</v>
      </c>
      <c r="F29" s="32" t="n">
        <f aca="false">F8</f>
        <v>2.448</v>
      </c>
      <c r="G29" s="32" t="n">
        <f aca="false">G8</f>
        <v>2.5976</v>
      </c>
    </row>
    <row r="30" customFormat="false" ht="15" hidden="false" customHeight="false" outlineLevel="1" collapsed="false">
      <c r="A30" s="2" t="s">
        <v>642</v>
      </c>
      <c r="B30" s="12" t="s">
        <v>91</v>
      </c>
      <c r="C30" s="36" t="n">
        <f aca="false">C25+C26+C27+C28+C29</f>
        <v>11.6183527829817</v>
      </c>
      <c r="D30" s="36" t="n">
        <f aca="false">D25+D26+D27+D28+D29</f>
        <v>22.7179856159638</v>
      </c>
      <c r="E30" s="36" t="n">
        <f aca="false">E25+E26+E27+E28+E29</f>
        <v>29.6173491646613</v>
      </c>
      <c r="F30" s="36" t="n">
        <f aca="false">F25+F26+F27+F28+F29</f>
        <v>34.1729693597369</v>
      </c>
      <c r="G30" s="36" t="n">
        <f aca="false">G25+G26+G27+G28+G29</f>
        <v>36.6400901903713</v>
      </c>
    </row>
    <row r="31" customFormat="false" ht="15" hidden="false" customHeight="false" outlineLevel="1" collapsed="false">
      <c r="A31" s="3" t="s">
        <v>643</v>
      </c>
      <c r="B31" s="12" t="s">
        <v>91</v>
      </c>
      <c r="C31" s="32" t="n">
        <f aca="false">輸入與假設!$C$151+IF(輸入與假設!$C$79=1,輸入與假設!$C$78,0)</f>
        <v>9.182</v>
      </c>
      <c r="D31" s="32" t="n">
        <f aca="false">0</f>
        <v>0</v>
      </c>
      <c r="E31" s="32" t="n">
        <f aca="false">0</f>
        <v>0</v>
      </c>
      <c r="F31" s="32" t="n">
        <f aca="false">0</f>
        <v>0</v>
      </c>
      <c r="G31" s="32" t="n">
        <f aca="false">0</f>
        <v>0</v>
      </c>
      <c r="I31" s="12" t="s">
        <v>644</v>
      </c>
    </row>
    <row r="32" customFormat="false" ht="15" hidden="false" customHeight="false" outlineLevel="1" collapsed="false">
      <c r="A32" s="4" t="s">
        <v>645</v>
      </c>
      <c r="B32" s="12" t="s">
        <v>91</v>
      </c>
      <c r="C32" s="39" t="n">
        <f aca="false">輸入與假設!$C$148</f>
        <v>16.747</v>
      </c>
      <c r="D32" s="39" t="n">
        <f aca="false">0</f>
        <v>0</v>
      </c>
      <c r="E32" s="39" t="n">
        <f aca="false">0</f>
        <v>0</v>
      </c>
      <c r="F32" s="39" t="n">
        <f aca="false">0</f>
        <v>0</v>
      </c>
      <c r="G32" s="39" t="n">
        <f aca="false">0</f>
        <v>0</v>
      </c>
      <c r="I32" s="12" t="s">
        <v>646</v>
      </c>
    </row>
    <row r="33" customFormat="false" ht="15" hidden="false" customHeight="false" outlineLevel="1" collapsed="false">
      <c r="A33" s="3" t="s">
        <v>647</v>
      </c>
      <c r="B33" s="12" t="s">
        <v>91</v>
      </c>
      <c r="C33" s="32" t="n">
        <f aca="false">C58</f>
        <v>12.5544958156778</v>
      </c>
      <c r="D33" s="32" t="n">
        <f aca="false">D58</f>
        <v>32.6768415045513</v>
      </c>
      <c r="E33" s="32" t="n">
        <f aca="false">E58</f>
        <v>16.8405722866337</v>
      </c>
      <c r="F33" s="32" t="n">
        <f aca="false">F58</f>
        <v>3.13931889313726</v>
      </c>
      <c r="G33" s="32" t="n">
        <f aca="false">G58</f>
        <v>7.17872749999999</v>
      </c>
      <c r="I33" s="7" t="s">
        <v>648</v>
      </c>
    </row>
    <row r="34" customFormat="false" ht="15" hidden="false" customHeight="false" outlineLevel="1" collapsed="false">
      <c r="A34" s="3" t="s">
        <v>649</v>
      </c>
      <c r="B34" s="12" t="s">
        <v>91</v>
      </c>
      <c r="C34" s="32" t="n">
        <f aca="false">C61</f>
        <v>0</v>
      </c>
      <c r="D34" s="32" t="n">
        <f aca="false">D61</f>
        <v>0</v>
      </c>
      <c r="E34" s="32" t="n">
        <f aca="false">E61</f>
        <v>0</v>
      </c>
      <c r="F34" s="32" t="n">
        <f aca="false">F61</f>
        <v>8.63320381123975</v>
      </c>
      <c r="G34" s="32" t="n">
        <f aca="false">G61</f>
        <v>5.27295533089938</v>
      </c>
      <c r="I34" s="7" t="s">
        <v>650</v>
      </c>
    </row>
    <row r="35" customFormat="false" ht="15" hidden="false" customHeight="false" outlineLevel="1" collapsed="false">
      <c r="A35" s="3" t="s">
        <v>651</v>
      </c>
      <c r="B35" s="12" t="s">
        <v>91</v>
      </c>
      <c r="C35" s="32" t="n">
        <f aca="false">C62</f>
        <v>0</v>
      </c>
      <c r="D35" s="32" t="n">
        <f aca="false">D62</f>
        <v>0</v>
      </c>
      <c r="E35" s="32" t="n">
        <f aca="false">E62</f>
        <v>0</v>
      </c>
      <c r="F35" s="32" t="n">
        <f aca="false">F62</f>
        <v>0</v>
      </c>
      <c r="G35" s="32" t="n">
        <f aca="false">G62</f>
        <v>0</v>
      </c>
      <c r="I35" s="7" t="s">
        <v>652</v>
      </c>
    </row>
    <row r="36" customFormat="false" ht="15" hidden="false" customHeight="false" outlineLevel="1" collapsed="false">
      <c r="A36" s="2" t="s">
        <v>653</v>
      </c>
      <c r="B36" s="12" t="s">
        <v>91</v>
      </c>
      <c r="C36" s="36" t="n">
        <f aca="false">C30+C31+C32+C33+C34+C35</f>
        <v>50.1018485986595</v>
      </c>
      <c r="D36" s="36" t="n">
        <f aca="false">D30+D31+D32+D33+D34+D35</f>
        <v>55.3948271205151</v>
      </c>
      <c r="E36" s="36" t="n">
        <f aca="false">E30+E31+E32+E33+E34+E35</f>
        <v>46.457921451295</v>
      </c>
      <c r="F36" s="36" t="n">
        <f aca="false">F30+F31+F32+F33+F34+F35</f>
        <v>45.945492064114</v>
      </c>
      <c r="G36" s="36" t="n">
        <f aca="false">G30+G31+G32+G33+G34+G35</f>
        <v>49.0917730212707</v>
      </c>
    </row>
    <row r="37" customFormat="false" ht="15" hidden="false" customHeight="false" outlineLevel="0" collapsed="false">
      <c r="A37" s="48" t="s">
        <v>654</v>
      </c>
      <c r="B37" s="9"/>
      <c r="C37" s="9"/>
      <c r="D37" s="9"/>
      <c r="E37" s="9"/>
      <c r="F37" s="9"/>
      <c r="G37" s="9"/>
      <c r="H37" s="9"/>
    </row>
    <row r="38" customFormat="false" ht="15" hidden="false" customHeight="false" outlineLevel="1" collapsed="false">
      <c r="A38" s="3" t="s">
        <v>655</v>
      </c>
      <c r="B38" s="12" t="s">
        <v>91</v>
      </c>
      <c r="C38" s="32" t="n">
        <f aca="false">輸入與假設!$C$77-(輸入與假設!$C$143+輸入與假設!$C$144+輸入與假設!$C$148+輸入與假設!$C$151-輸入與假設!$C$145-輸入與假設!$C$147-輸入與假設!$C$149-輸入與假設!$C$150)</f>
        <v>-0.502999999999997</v>
      </c>
      <c r="D38" s="32" t="n">
        <f aca="false">0</f>
        <v>0</v>
      </c>
      <c r="E38" s="32" t="n">
        <f aca="false">0</f>
        <v>0</v>
      </c>
      <c r="F38" s="32" t="n">
        <f aca="false">0</f>
        <v>0</v>
      </c>
      <c r="G38" s="32" t="n">
        <f aca="false">0</f>
        <v>0</v>
      </c>
      <c r="I38" s="7" t="s">
        <v>656</v>
      </c>
    </row>
    <row r="39" customFormat="false" ht="15" hidden="false" customHeight="false" outlineLevel="1" collapsed="false">
      <c r="A39" s="2" t="s">
        <v>657</v>
      </c>
      <c r="B39" s="12" t="s">
        <v>91</v>
      </c>
      <c r="C39" s="36" t="n">
        <f aca="false">C30-(C23-C21-C22)</f>
        <v>-28.9834958156778</v>
      </c>
      <c r="D39" s="36" t="n">
        <f aca="false">D30-(D23-D21-D22)</f>
        <v>-26.4928415045513</v>
      </c>
      <c r="E39" s="36" t="n">
        <f aca="false">E30-(E23-E21-E22)</f>
        <v>-12.4245722866337</v>
      </c>
      <c r="F39" s="36" t="n">
        <f aca="false">F30-(F23-F21-F22)</f>
        <v>-9.351522704377</v>
      </c>
      <c r="G39" s="36" t="n">
        <f aca="false">G30-(G23-G21-G22)</f>
        <v>-9.23068283089938</v>
      </c>
      <c r="I39" s="7" t="s">
        <v>658</v>
      </c>
    </row>
    <row r="40" customFormat="false" ht="15" hidden="false" customHeight="false" outlineLevel="1" collapsed="false">
      <c r="A40" s="3" t="s">
        <v>659</v>
      </c>
      <c r="B40" s="12" t="s">
        <v>91</v>
      </c>
      <c r="C40" s="32" t="n">
        <f aca="false">C36-C23+C38</f>
        <v>-1.127</v>
      </c>
      <c r="D40" s="32" t="n">
        <f aca="false">D36-D23+D38</f>
        <v>0</v>
      </c>
      <c r="E40" s="32" t="n">
        <f aca="false">E36-E23+E38</f>
        <v>0</v>
      </c>
      <c r="F40" s="32" t="n">
        <f aca="false">F36-F23+F38</f>
        <v>0</v>
      </c>
      <c r="G40" s="32" t="n">
        <f aca="false">G36-G23+G38</f>
        <v>0</v>
      </c>
    </row>
    <row r="41" customFormat="false" ht="15" hidden="false" customHeight="false" outlineLevel="1" collapsed="false">
      <c r="A41" s="2" t="s">
        <v>660</v>
      </c>
      <c r="B41" s="12" t="s">
        <v>91</v>
      </c>
      <c r="C41" s="36" t="n">
        <f aca="false">C14+C40</f>
        <v>2</v>
      </c>
      <c r="D41" s="36" t="n">
        <f aca="false">D14+D40</f>
        <v>2</v>
      </c>
      <c r="E41" s="36" t="n">
        <f aca="false">E14+E40</f>
        <v>2</v>
      </c>
      <c r="F41" s="36" t="n">
        <f aca="false">F14+F40</f>
        <v>2</v>
      </c>
      <c r="G41" s="36" t="n">
        <f aca="false">G14+G40</f>
        <v>2</v>
      </c>
      <c r="I41" s="7" t="s">
        <v>661</v>
      </c>
    </row>
    <row r="43" customFormat="false" ht="15" hidden="false" customHeight="false" outlineLevel="0" collapsed="false">
      <c r="A43" s="48" t="s">
        <v>662</v>
      </c>
      <c r="B43" s="9"/>
      <c r="C43" s="9"/>
      <c r="D43" s="9"/>
      <c r="E43" s="9"/>
      <c r="F43" s="9"/>
      <c r="G43" s="9"/>
      <c r="H43" s="9"/>
    </row>
    <row r="44" customFormat="false" ht="15" hidden="false" customHeight="false" outlineLevel="1" collapsed="false">
      <c r="A44" s="3" t="s">
        <v>663</v>
      </c>
      <c r="B44" s="12" t="s">
        <v>91</v>
      </c>
      <c r="C44" s="32" t="n">
        <f aca="false">C9+C12+C13+C18+C19+C20+C21+C22</f>
        <v>50.160896286954</v>
      </c>
      <c r="D44" s="32" t="n">
        <f aca="false">D9+D12+D13+D18+D19+D20+D21+D22</f>
        <v>51.3240067616945</v>
      </c>
      <c r="E44" s="32" t="n">
        <f aca="false">E9+E12+E13+E18+E19+E20+E21+E22</f>
        <v>40.8714495866774</v>
      </c>
      <c r="F44" s="32" t="n">
        <f aca="false">F9+F12+F13+F18+F19+F20+F21+F22</f>
        <v>40.076481499114</v>
      </c>
      <c r="G44" s="32" t="n">
        <f aca="false">G9+G12+G13+G18+G19+G20+G21+G22</f>
        <v>42.5766769812707</v>
      </c>
      <c r="I44" s="7" t="s">
        <v>664</v>
      </c>
    </row>
    <row r="45" customFormat="false" ht="15" hidden="false" customHeight="false" outlineLevel="1" collapsed="false">
      <c r="A45" s="3" t="s">
        <v>665</v>
      </c>
      <c r="B45" s="12" t="s">
        <v>91</v>
      </c>
      <c r="C45" s="32" t="n">
        <f aca="false">0</f>
        <v>0</v>
      </c>
      <c r="D45" s="32" t="n">
        <f aca="false">C67</f>
        <v>12.5544958156778</v>
      </c>
      <c r="E45" s="32" t="n">
        <f aca="false">D67</f>
        <v>45.2313373202291</v>
      </c>
      <c r="F45" s="32" t="n">
        <f aca="false">E67</f>
        <v>62.0719096068628</v>
      </c>
      <c r="G45" s="32" t="n">
        <f aca="false">F67</f>
        <v>65.2112285</v>
      </c>
    </row>
    <row r="46" customFormat="false" ht="15" hidden="false" customHeight="false" outlineLevel="1" collapsed="false">
      <c r="A46" s="3" t="s">
        <v>666</v>
      </c>
      <c r="B46" s="12" t="s">
        <v>77</v>
      </c>
      <c r="C46" s="50" t="n">
        <f aca="false">C15*運營_產能與收入!C7</f>
        <v>0.045</v>
      </c>
      <c r="D46" s="50" t="n">
        <f aca="false">D15*運營_產能與收入!D7</f>
        <v>0.09</v>
      </c>
      <c r="E46" s="50" t="n">
        <f aca="false">E15*運營_產能與收入!E7</f>
        <v>0.09</v>
      </c>
      <c r="F46" s="50" t="n">
        <f aca="false">F15*運營_產能與收入!F7</f>
        <v>0.09</v>
      </c>
      <c r="G46" s="50" t="n">
        <f aca="false">G15*運營_產能與收入!G7</f>
        <v>0.09</v>
      </c>
    </row>
    <row r="47" customFormat="false" ht="15" hidden="false" customHeight="false" outlineLevel="1" collapsed="false">
      <c r="A47" s="3" t="s">
        <v>667</v>
      </c>
      <c r="B47" s="12" t="s">
        <v>91</v>
      </c>
      <c r="C47" s="32" t="n">
        <f aca="false">0</f>
        <v>0</v>
      </c>
      <c r="D47" s="32" t="n">
        <f aca="false">C69</f>
        <v>0</v>
      </c>
      <c r="E47" s="32" t="n">
        <f aca="false">D69</f>
        <v>0</v>
      </c>
      <c r="F47" s="32" t="n">
        <f aca="false">E69</f>
        <v>0</v>
      </c>
      <c r="G47" s="32" t="n">
        <f aca="false">F69</f>
        <v>0</v>
      </c>
    </row>
    <row r="48" customFormat="false" ht="15" hidden="false" customHeight="false" outlineLevel="1" collapsed="false">
      <c r="A48" s="3" t="s">
        <v>668</v>
      </c>
      <c r="B48" s="12" t="s">
        <v>77</v>
      </c>
      <c r="C48" s="50" t="n">
        <f aca="false">(輸入與假設!$C$89+IF(輸入與假設!$C$91=1,MAX(0,輸入與假設!$C$90-450)/10000*0.4,0))*運營_產能與收入!C7</f>
        <v>0.06</v>
      </c>
      <c r="D48" s="50" t="n">
        <f aca="false">(輸入與假設!$C$89+IF(輸入與假設!$C$91=1,MAX(0,輸入與假設!$C$90-450)/10000*0.4,0))*運營_產能與收入!D7</f>
        <v>0.12</v>
      </c>
      <c r="E48" s="50" t="n">
        <f aca="false">(輸入與假設!$C$89+IF(輸入與假設!$C$91=1,MAX(0,輸入與假設!$C$90-450)/10000*0.4,0))*運營_產能與收入!E7</f>
        <v>0.12</v>
      </c>
      <c r="F48" s="50" t="n">
        <f aca="false">(輸入與假設!$C$89+IF(輸入與假設!$C$91=1,MAX(0,輸入與假設!$C$90-450)/10000*0.4,0))*運營_產能與收入!F7</f>
        <v>0.12</v>
      </c>
      <c r="G48" s="50" t="n">
        <f aca="false">(輸入與假設!$C$89+IF(輸入與假設!$C$91=1,MAX(0,輸入與假設!$C$90-450)/10000*0.4,0))*運營_產能與收入!G7</f>
        <v>0.12</v>
      </c>
    </row>
    <row r="49" customFormat="false" ht="15" hidden="false" customHeight="false" outlineLevel="1" collapsed="false">
      <c r="A49" s="3" t="s">
        <v>669</v>
      </c>
      <c r="B49" s="12" t="s">
        <v>91</v>
      </c>
      <c r="C49" s="32" t="n">
        <f aca="false">C14+C30+C31+C32+C38-C44-C46*C45-C48*C47</f>
        <v>-9.98954350397226</v>
      </c>
      <c r="D49" s="32" t="n">
        <f aca="false">D14+D30+D31+D32+D38-D44-D46*D45-D48*D47</f>
        <v>-27.7359257691417</v>
      </c>
      <c r="E49" s="32" t="n">
        <f aca="false">E14+E30+E31+E32+E38-E44-E46*E45-E48*E47</f>
        <v>-13.3249207808367</v>
      </c>
      <c r="F49" s="32" t="n">
        <f aca="false">F14+F30+F31+F32+F38-F44-F46*F45-F48*F47</f>
        <v>-9.48998400399466</v>
      </c>
      <c r="G49" s="32" t="n">
        <f aca="false">G14+G30+G31+G32+G38-G44-G46*G45-G48*G47</f>
        <v>-9.80559735589938</v>
      </c>
    </row>
    <row r="50" customFormat="false" ht="15" hidden="false" customHeight="false" outlineLevel="1" collapsed="false">
      <c r="A50" s="2" t="s">
        <v>670</v>
      </c>
      <c r="B50" s="12" t="s">
        <v>91</v>
      </c>
      <c r="C50" s="36" t="n">
        <f aca="false">MAX(0,輸入與假設!$C$85-C49)</f>
        <v>11.9895435039723</v>
      </c>
      <c r="D50" s="36" t="n">
        <f aca="false">MAX(0,輸入與假設!$C$85-D49)</f>
        <v>29.7359257691417</v>
      </c>
      <c r="E50" s="36" t="n">
        <f aca="false">MAX(0,輸入與假設!$C$85-E49)</f>
        <v>15.3249207808367</v>
      </c>
      <c r="F50" s="36" t="n">
        <f aca="false">MAX(0,輸入與假設!$C$85-F49)</f>
        <v>11.4899840039947</v>
      </c>
      <c r="G50" s="36" t="n">
        <f aca="false">MAX(0,輸入與假設!$C$85-G49)</f>
        <v>11.8055973558994</v>
      </c>
    </row>
    <row r="51" customFormat="false" ht="15" hidden="false" customHeight="false" outlineLevel="1" collapsed="false">
      <c r="A51" s="3" t="s">
        <v>671</v>
      </c>
      <c r="B51" s="12" t="s">
        <v>91</v>
      </c>
      <c r="C51" s="32" t="n">
        <f aca="false">輸入與假設!$C$15+輸入與假設!$C$16</f>
        <v>128.7</v>
      </c>
      <c r="D51" s="32" t="n">
        <f aca="false">C53</f>
        <v>115.50825</v>
      </c>
      <c r="E51" s="32" t="n">
        <f aca="false">D53</f>
        <v>89.12475</v>
      </c>
      <c r="F51" s="32" t="n">
        <f aca="false">E53</f>
        <v>99.902412</v>
      </c>
      <c r="G51" s="32" t="n">
        <f aca="false">F53</f>
        <v>87.0282285</v>
      </c>
      <c r="I51" s="12" t="s">
        <v>672</v>
      </c>
    </row>
    <row r="52" customFormat="false" ht="15" hidden="false" customHeight="false" outlineLevel="1" collapsed="false">
      <c r="A52" s="3" t="s">
        <v>673</v>
      </c>
      <c r="B52" s="12" t="s">
        <v>91</v>
      </c>
      <c r="C52" s="32" t="n">
        <f aca="false">MAX(0,運營_產能與收入!C23/運營_產能與收入!C7-0)*輸入與假設!$C$84</f>
        <v>0</v>
      </c>
      <c r="D52" s="32" t="n">
        <f aca="false">MAX(0,運營_產能與收入!D23/運營_產能與收入!D7-運營_產能與收入!C23/運營_產能與收入!C7)*輸入與假設!$C$84</f>
        <v>0</v>
      </c>
      <c r="E52" s="32" t="n">
        <f aca="false">MAX(0,運營_產能與收入!E23/運營_產能與收入!E7-運營_產能與收入!D23/運營_產能與收入!D7)*輸入與假設!$C$84</f>
        <v>45.6470775</v>
      </c>
      <c r="F52" s="32" t="n">
        <f aca="false">MAX(0,運營_產能與收入!F23/運營_產能與收入!F7-運營_產能與收入!E23/運營_產能與收入!E7)*輸入與假設!$C$84</f>
        <v>26.689665</v>
      </c>
      <c r="G52" s="32" t="n">
        <f aca="false">MAX(0,運營_產能與收入!G23/運營_產能與收入!G7-運營_產能與收入!F23/運營_產能與收入!F7)*輸入與假設!$C$84</f>
        <v>45.1516575</v>
      </c>
    </row>
    <row r="53" customFormat="false" ht="15" hidden="false" customHeight="false" outlineLevel="1" collapsed="false">
      <c r="A53" s="3" t="s">
        <v>674</v>
      </c>
      <c r="B53" s="12" t="s">
        <v>91</v>
      </c>
      <c r="C53" s="32" t="n">
        <f aca="false">C51-運營_產能與收入!C17-運營_產能與收入!C23+C52</f>
        <v>115.50825</v>
      </c>
      <c r="D53" s="32" t="n">
        <f aca="false">D51-運營_產能與收入!D17-運營_產能與收入!D23+D52</f>
        <v>89.12475</v>
      </c>
      <c r="E53" s="32" t="n">
        <f aca="false">E51-運營_產能與收入!E17-運營_產能與收入!E23+E52</f>
        <v>99.902412</v>
      </c>
      <c r="F53" s="32" t="n">
        <f aca="false">F51-運營_產能與收入!F17-運營_產能與收入!F23+F52</f>
        <v>87.0282285</v>
      </c>
      <c r="G53" s="32" t="n">
        <f aca="false">G51-運營_產能與收入!G17-運營_產能與收入!G23+G52</f>
        <v>90.985956</v>
      </c>
      <c r="I53" s="7" t="s">
        <v>675</v>
      </c>
    </row>
    <row r="54" customFormat="false" ht="15" hidden="false" customHeight="false" outlineLevel="1" collapsed="false">
      <c r="A54" s="3" t="s">
        <v>676</v>
      </c>
      <c r="B54" s="12" t="s">
        <v>91</v>
      </c>
      <c r="C54" s="32" t="n">
        <f aca="false">IF(輸入與假設!$C$82=1,資產負債_既有債務!C30,35.551)+3.7</f>
        <v>34.838</v>
      </c>
      <c r="D54" s="32" t="n">
        <f aca="false">IF(輸入與假設!$C$82=1,資產負債_既有債務!D30,35.551)+3.7</f>
        <v>28.654</v>
      </c>
      <c r="E54" s="32" t="n">
        <f aca="false">IF(輸入與假設!$C$82=1,資產負債_既有債務!E30,35.551)+3.7</f>
        <v>24.238</v>
      </c>
      <c r="F54" s="32" t="n">
        <f aca="false">IF(輸入與假設!$C$82=1,資產負債_既有債務!F30,35.551)+3.7</f>
        <v>21.817</v>
      </c>
      <c r="G54" s="32" t="n">
        <f aca="false">IF(輸入與假設!$C$82=1,資產負債_既有債務!G30,35.551)+3.7</f>
        <v>18.596</v>
      </c>
      <c r="I54" s="7" t="s">
        <v>677</v>
      </c>
    </row>
    <row r="55" customFormat="false" ht="15" hidden="false" customHeight="false" outlineLevel="1" collapsed="false">
      <c r="A55" s="3" t="s">
        <v>678</v>
      </c>
      <c r="B55" s="12" t="s">
        <v>91</v>
      </c>
      <c r="C55" s="32" t="n">
        <f aca="false">輸入與假設!$C$83*C53</f>
        <v>115.50825</v>
      </c>
      <c r="D55" s="32" t="n">
        <f aca="false">輸入與假設!$C$83*D53</f>
        <v>89.12475</v>
      </c>
      <c r="E55" s="32" t="n">
        <f aca="false">輸入與假設!$C$83*E53</f>
        <v>99.902412</v>
      </c>
      <c r="F55" s="32" t="n">
        <f aca="false">輸入與假設!$C$83*F53</f>
        <v>87.0282285</v>
      </c>
      <c r="G55" s="32" t="n">
        <f aca="false">輸入與假設!$C$83*G53</f>
        <v>90.985956</v>
      </c>
    </row>
    <row r="56" customFormat="false" ht="15" hidden="false" customHeight="false" outlineLevel="1" collapsed="false">
      <c r="A56" s="3" t="s">
        <v>679</v>
      </c>
      <c r="B56" s="12" t="s">
        <v>91</v>
      </c>
      <c r="C56" s="32" t="n">
        <f aca="false">IF(輸入與假設!$C$81=1,輸入與假設!$C$80,0)</f>
        <v>10</v>
      </c>
      <c r="D56" s="32" t="n">
        <f aca="false">C68</f>
        <v>0</v>
      </c>
      <c r="E56" s="32" t="n">
        <f aca="false">D68</f>
        <v>0</v>
      </c>
      <c r="F56" s="32" t="n">
        <f aca="false">E68</f>
        <v>0</v>
      </c>
      <c r="G56" s="32" t="n">
        <f aca="false">F68</f>
        <v>0</v>
      </c>
    </row>
    <row r="57" customFormat="false" ht="15" hidden="false" customHeight="false" outlineLevel="1" collapsed="false">
      <c r="A57" s="3" t="s">
        <v>680</v>
      </c>
      <c r="B57" s="12" t="s">
        <v>91</v>
      </c>
      <c r="C57" s="32" t="n">
        <f aca="false">MAX(0,C55-(C54+C45),C56)</f>
        <v>80.67025</v>
      </c>
      <c r="D57" s="32" t="n">
        <f aca="false">MAX(0,D55-(D54+D45),D56)</f>
        <v>47.9162541843222</v>
      </c>
      <c r="E57" s="32" t="n">
        <f aca="false">MAX(0,E55-(E54+E45),E56)</f>
        <v>30.4330746797709</v>
      </c>
      <c r="F57" s="32" t="n">
        <f aca="false">MAX(0,F55-(F54+F45),F56)</f>
        <v>3.13931889313726</v>
      </c>
      <c r="G57" s="32" t="n">
        <f aca="false">MAX(0,G55-(G54+G45),G56)</f>
        <v>7.17872749999999</v>
      </c>
      <c r="I57" s="7" t="s">
        <v>681</v>
      </c>
    </row>
    <row r="58" customFormat="false" ht="15" hidden="false" customHeight="false" outlineLevel="1" collapsed="false">
      <c r="A58" s="2" t="s">
        <v>682</v>
      </c>
      <c r="B58" s="12" t="s">
        <v>91</v>
      </c>
      <c r="C58" s="36" t="n">
        <f aca="false">MIN(C57,C50/(1-C46))</f>
        <v>12.5544958156778</v>
      </c>
      <c r="D58" s="36" t="n">
        <f aca="false">MIN(D57,D50/(1-D46))</f>
        <v>32.6768415045513</v>
      </c>
      <c r="E58" s="36" t="n">
        <f aca="false">MIN(E57,E50/(1-E46))</f>
        <v>16.8405722866337</v>
      </c>
      <c r="F58" s="36" t="n">
        <f aca="false">MIN(F57,F50/(1-F46))</f>
        <v>3.13931889313726</v>
      </c>
      <c r="G58" s="36" t="n">
        <f aca="false">MIN(G57,G50/(1-G46))</f>
        <v>7.17872749999999</v>
      </c>
      <c r="I58" s="7" t="s">
        <v>683</v>
      </c>
    </row>
    <row r="59" customFormat="false" ht="15" hidden="false" customHeight="false" outlineLevel="1" collapsed="false">
      <c r="A59" s="3" t="s">
        <v>684</v>
      </c>
      <c r="B59" s="12" t="s">
        <v>91</v>
      </c>
      <c r="C59" s="32" t="n">
        <f aca="false">MAX(0,C50+C46*C58-C58)</f>
        <v>0</v>
      </c>
      <c r="D59" s="32" t="n">
        <f aca="false">MAX(0,D50+D46*D58-D58)</f>
        <v>0</v>
      </c>
      <c r="E59" s="32" t="n">
        <f aca="false">MAX(0,E50+E46*E58-E58)</f>
        <v>0</v>
      </c>
      <c r="F59" s="32" t="n">
        <f aca="false">MAX(0,F50+F46*F58-F58)</f>
        <v>8.63320381123975</v>
      </c>
      <c r="G59" s="32" t="n">
        <f aca="false">MAX(0,G50+G46*G58-G58)</f>
        <v>5.27295533089938</v>
      </c>
    </row>
    <row r="60" customFormat="false" ht="15" hidden="false" customHeight="false" outlineLevel="1" collapsed="false">
      <c r="A60" s="3" t="s">
        <v>685</v>
      </c>
      <c r="B60" s="12" t="s">
        <v>91</v>
      </c>
      <c r="C60" s="32" t="n">
        <f aca="false">IF(輸入與假設!$C$88&gt;=9,1E+099,輸入與假設!$C$88*輸入與假設!$C$86*0.5865*運營_產能與收入!C7)</f>
        <v>5.2861245</v>
      </c>
      <c r="D60" s="32" t="n">
        <f aca="false">IF(輸入與假設!$C$88&gt;=9,1E+099,輸入與假設!$C$88*輸入與假設!$C$86*0.5865*運營_產能與收入!D7)</f>
        <v>10.572249</v>
      </c>
      <c r="E60" s="32" t="n">
        <f aca="false">IF(輸入與假設!$C$88&gt;=9,1E+099,輸入與假設!$C$88*輸入與假設!$C$86*0.5865*運營_產能與收入!E7)</f>
        <v>10.572249</v>
      </c>
      <c r="F60" s="32" t="n">
        <f aca="false">IF(輸入與假設!$C$88&gt;=9,1E+099,輸入與假設!$C$88*輸入與假設!$C$86*0.5865*運營_產能與收入!F7)</f>
        <v>10.572249</v>
      </c>
      <c r="G60" s="32" t="n">
        <f aca="false">IF(輸入與假設!$C$88&gt;=9,1E+099,輸入與假設!$C$88*輸入與假設!$C$86*0.5865*運營_產能與收入!G7)</f>
        <v>10.572249</v>
      </c>
      <c r="I60" s="7" t="s">
        <v>686</v>
      </c>
    </row>
    <row r="61" customFormat="false" ht="15" hidden="false" customHeight="false" outlineLevel="1" collapsed="false">
      <c r="A61" s="2" t="s">
        <v>687</v>
      </c>
      <c r="B61" s="12" t="s">
        <v>91</v>
      </c>
      <c r="C61" s="36" t="n">
        <f aca="false">MIN(C59,C60)</f>
        <v>0</v>
      </c>
      <c r="D61" s="36" t="n">
        <f aca="false">MIN(D59,D60)</f>
        <v>0</v>
      </c>
      <c r="E61" s="36" t="n">
        <f aca="false">MIN(E59,E60)</f>
        <v>0</v>
      </c>
      <c r="F61" s="36" t="n">
        <f aca="false">MIN(F59,F60)</f>
        <v>8.63320381123975</v>
      </c>
      <c r="G61" s="36" t="n">
        <f aca="false">MIN(G59,G60)</f>
        <v>5.27295533089938</v>
      </c>
    </row>
    <row r="62" customFormat="false" ht="15" hidden="false" customHeight="false" outlineLevel="1" collapsed="false">
      <c r="A62" s="2" t="s">
        <v>688</v>
      </c>
      <c r="B62" s="12" t="s">
        <v>91</v>
      </c>
      <c r="C62" s="36" t="n">
        <f aca="false">(C59-C61)/(1-C48)</f>
        <v>0</v>
      </c>
      <c r="D62" s="36" t="n">
        <f aca="false">(D59-D61)/(1-D48)</f>
        <v>0</v>
      </c>
      <c r="E62" s="36" t="n">
        <f aca="false">(E59-E61)/(1-E48)</f>
        <v>0</v>
      </c>
      <c r="F62" s="36" t="n">
        <f aca="false">(F59-F61)/(1-F48)</f>
        <v>0</v>
      </c>
      <c r="G62" s="36" t="n">
        <f aca="false">(G59-G61)/(1-G48)</f>
        <v>0</v>
      </c>
    </row>
    <row r="63" customFormat="false" ht="15" hidden="false" customHeight="false" outlineLevel="1" collapsed="false">
      <c r="A63" s="3" t="s">
        <v>689</v>
      </c>
      <c r="B63" s="12" t="s">
        <v>91</v>
      </c>
      <c r="C63" s="32" t="n">
        <f aca="false">C46*(C45+C58)+C48*(C47+C62)</f>
        <v>0.564952311705499</v>
      </c>
      <c r="D63" s="32" t="n">
        <f aca="false">D46*(D45+D58)+D48*(D47+D62)</f>
        <v>4.07082035882062</v>
      </c>
      <c r="E63" s="32" t="n">
        <f aca="false">E46*(E45+E58)+E48*(E47+E62)</f>
        <v>5.58647186461765</v>
      </c>
      <c r="F63" s="32" t="n">
        <f aca="false">F46*(F45+F58)+F48*(F47+F62)</f>
        <v>5.869010565</v>
      </c>
      <c r="G63" s="32" t="n">
        <f aca="false">G46*(G45+G58)+G48*(G47+G62)</f>
        <v>6.51509604</v>
      </c>
    </row>
    <row r="64" customFormat="false" ht="15" hidden="false" customHeight="false" outlineLevel="1" collapsed="false">
      <c r="A64" s="3" t="s">
        <v>690</v>
      </c>
      <c r="B64" s="12" t="s">
        <v>74</v>
      </c>
      <c r="C64" s="51" t="n">
        <f aca="false">輸入與假設!$C$86*(1-輸入與假設!$C$87)</f>
        <v>81.117</v>
      </c>
      <c r="D64" s="51" t="n">
        <f aca="false">輸入與假設!$C$86*(1-輸入與假設!$C$87)</f>
        <v>81.117</v>
      </c>
      <c r="E64" s="51" t="n">
        <f aca="false">輸入與假設!$C$86*(1-輸入與假設!$C$87)</f>
        <v>81.117</v>
      </c>
      <c r="F64" s="51" t="n">
        <f aca="false">輸入與假設!$C$86*(1-輸入與假設!$C$87)</f>
        <v>81.117</v>
      </c>
      <c r="G64" s="51" t="n">
        <f aca="false">輸入與假設!$C$86*(1-輸入與假設!$C$87)</f>
        <v>81.117</v>
      </c>
    </row>
    <row r="65" customFormat="false" ht="15" hidden="false" customHeight="false" outlineLevel="1" collapsed="false">
      <c r="A65" s="3" t="s">
        <v>691</v>
      </c>
      <c r="B65" s="12" t="s">
        <v>332</v>
      </c>
      <c r="C65" s="52" t="n">
        <f aca="false">C61/C64</f>
        <v>0</v>
      </c>
      <c r="D65" s="52" t="n">
        <f aca="false">D61/D64</f>
        <v>0</v>
      </c>
      <c r="E65" s="52" t="n">
        <f aca="false">E61/E64</f>
        <v>0</v>
      </c>
      <c r="F65" s="52" t="n">
        <f aca="false">F61/F64</f>
        <v>0.106429032277325</v>
      </c>
      <c r="G65" s="52" t="n">
        <f aca="false">G61/G64</f>
        <v>0.0650043188345154</v>
      </c>
    </row>
    <row r="66" customFormat="false" ht="15" hidden="false" customHeight="false" outlineLevel="1" collapsed="false">
      <c r="A66" s="2" t="s">
        <v>692</v>
      </c>
      <c r="B66" s="12" t="s">
        <v>332</v>
      </c>
      <c r="C66" s="53" t="n">
        <f aca="false">C65</f>
        <v>0</v>
      </c>
      <c r="D66" s="53" t="n">
        <f aca="false">C66+D65</f>
        <v>0</v>
      </c>
      <c r="E66" s="53" t="n">
        <f aca="false">D66+E65</f>
        <v>0</v>
      </c>
      <c r="F66" s="53" t="n">
        <f aca="false">E66+F65</f>
        <v>0.106429032277325</v>
      </c>
      <c r="G66" s="53" t="n">
        <f aca="false">F66+G65</f>
        <v>0.17143335111184</v>
      </c>
    </row>
    <row r="67" customFormat="false" ht="15" hidden="false" customHeight="false" outlineLevel="1" collapsed="false">
      <c r="A67" s="3" t="s">
        <v>693</v>
      </c>
      <c r="B67" s="12" t="s">
        <v>91</v>
      </c>
      <c r="C67" s="32" t="n">
        <f aca="false">C45+C58</f>
        <v>12.5544958156778</v>
      </c>
      <c r="D67" s="32" t="n">
        <f aca="false">D45+D58</f>
        <v>45.2313373202291</v>
      </c>
      <c r="E67" s="32" t="n">
        <f aca="false">E45+E58</f>
        <v>62.0719096068628</v>
      </c>
      <c r="F67" s="32" t="n">
        <f aca="false">F45+F58</f>
        <v>65.2112285</v>
      </c>
      <c r="G67" s="32" t="n">
        <f aca="false">G45+G58</f>
        <v>72.389956</v>
      </c>
    </row>
    <row r="68" customFormat="false" ht="15" hidden="false" customHeight="false" outlineLevel="1" collapsed="false">
      <c r="A68" s="3" t="s">
        <v>694</v>
      </c>
      <c r="B68" s="12" t="s">
        <v>91</v>
      </c>
      <c r="C68" s="32" t="n">
        <f aca="false">C56-MIN(C56,C58)</f>
        <v>0</v>
      </c>
      <c r="D68" s="32" t="n">
        <f aca="false">D56-MIN(D56,D58)</f>
        <v>0</v>
      </c>
      <c r="E68" s="32" t="n">
        <f aca="false">E56-MIN(E56,E58)</f>
        <v>0</v>
      </c>
      <c r="F68" s="32" t="n">
        <f aca="false">F56-MIN(F56,F58)</f>
        <v>0</v>
      </c>
      <c r="G68" s="32" t="n">
        <f aca="false">G56-MIN(G56,G58)</f>
        <v>0</v>
      </c>
    </row>
    <row r="69" customFormat="false" ht="15" hidden="false" customHeight="false" outlineLevel="1" collapsed="false">
      <c r="A69" s="3" t="s">
        <v>695</v>
      </c>
      <c r="B69" s="12" t="s">
        <v>91</v>
      </c>
      <c r="C69" s="32" t="n">
        <f aca="false">C47+C62</f>
        <v>0</v>
      </c>
      <c r="D69" s="32" t="n">
        <f aca="false">D47+D62</f>
        <v>0</v>
      </c>
      <c r="E69" s="32" t="n">
        <f aca="false">E47+E62</f>
        <v>0</v>
      </c>
      <c r="F69" s="32" t="n">
        <f aca="false">F47+F62</f>
        <v>0</v>
      </c>
      <c r="G69" s="32" t="n">
        <f aca="false">G47+G62</f>
        <v>0</v>
      </c>
    </row>
    <row r="70" customFormat="false" ht="15" hidden="false" customHeight="false" outlineLevel="1" collapsed="false">
      <c r="A70" s="2" t="s">
        <v>696</v>
      </c>
      <c r="B70" s="12" t="s">
        <v>91</v>
      </c>
      <c r="C70" s="36" t="n">
        <f aca="false">C54+C67+C69</f>
        <v>47.3924958156778</v>
      </c>
      <c r="D70" s="36" t="n">
        <f aca="false">D54+D67+D69</f>
        <v>73.8853373202291</v>
      </c>
      <c r="E70" s="36" t="n">
        <f aca="false">E54+E67+E69</f>
        <v>86.3099096068628</v>
      </c>
      <c r="F70" s="36" t="n">
        <f aca="false">F54+F67+F69</f>
        <v>87.0282285</v>
      </c>
      <c r="G70" s="36" t="n">
        <f aca="false">G54+G67+G69</f>
        <v>90.985956</v>
      </c>
    </row>
    <row r="71" customFormat="false" ht="15" hidden="false" customHeight="false" outlineLevel="1" collapsed="false">
      <c r="A71" s="2" t="s">
        <v>697</v>
      </c>
      <c r="B71" s="12" t="s">
        <v>91</v>
      </c>
      <c r="C71" s="36" t="n">
        <f aca="false">C14+C30+C31+C32+C38-C44</f>
        <v>-9.98954350397226</v>
      </c>
      <c r="D71" s="36" t="n">
        <f aca="false">C71+D30+D31-D44</f>
        <v>-38.5955646497029</v>
      </c>
      <c r="E71" s="36" t="n">
        <f aca="false">D71+E30+E31-E44</f>
        <v>-49.849665071719</v>
      </c>
      <c r="F71" s="36" t="n">
        <f aca="false">E71+F30+F31-F44</f>
        <v>-55.753177211096</v>
      </c>
      <c r="G71" s="36" t="n">
        <f aca="false">F71+G30+G31-G44</f>
        <v>-61.6897640019954</v>
      </c>
      <c r="I71" s="7" t="s">
        <v>698</v>
      </c>
    </row>
    <row r="73" customFormat="false" ht="15" hidden="false" customHeight="false" outlineLevel="0" collapsed="true">
      <c r="A73" s="48" t="s">
        <v>699</v>
      </c>
      <c r="B73" s="9"/>
      <c r="C73" s="9"/>
      <c r="D73" s="9"/>
      <c r="E73" s="9"/>
      <c r="F73" s="9"/>
      <c r="G73" s="9"/>
      <c r="H73" s="9"/>
    </row>
    <row r="74" customFormat="false" ht="15" hidden="true" customHeight="false" outlineLevel="1" collapsed="false">
      <c r="A74" s="3" t="s">
        <v>700</v>
      </c>
      <c r="C74" s="54" t="n">
        <f aca="false">輸入與假設!$C$143</f>
        <v>3.127</v>
      </c>
    </row>
    <row r="75" customFormat="false" ht="15" hidden="true" customHeight="false" outlineLevel="1" collapsed="false">
      <c r="A75" s="3" t="s">
        <v>701</v>
      </c>
      <c r="C75" s="54" t="n">
        <f aca="false">SUM(C39:G39)</f>
        <v>-86.4831151421392</v>
      </c>
    </row>
    <row r="76" customFormat="false" ht="15" hidden="true" customHeight="false" outlineLevel="1" collapsed="false">
      <c r="A76" s="3" t="s">
        <v>702</v>
      </c>
      <c r="C76" s="54" t="n">
        <f aca="false">SUM(C31:G31)</f>
        <v>9.182</v>
      </c>
    </row>
    <row r="77" customFormat="false" ht="15" hidden="true" customHeight="false" outlineLevel="1" collapsed="false">
      <c r="A77" s="3" t="s">
        <v>703</v>
      </c>
      <c r="C77" s="54" t="n">
        <f aca="false">SUM(C32:G32)</f>
        <v>16.747</v>
      </c>
    </row>
    <row r="78" customFormat="false" ht="15" hidden="true" customHeight="false" outlineLevel="1" collapsed="false">
      <c r="A78" s="4" t="s">
        <v>704</v>
      </c>
      <c r="C78" s="54" t="n">
        <f aca="false">-SUM(C22:G22)</f>
        <v>-0.492</v>
      </c>
    </row>
    <row r="79" customFormat="false" ht="15" hidden="true" customHeight="false" outlineLevel="1" collapsed="false">
      <c r="A79" s="3" t="s">
        <v>705</v>
      </c>
      <c r="C79" s="54" t="n">
        <f aca="false">SUM(C38:G38)</f>
        <v>-0.502999999999997</v>
      </c>
    </row>
    <row r="80" customFormat="false" ht="15" hidden="true" customHeight="false" outlineLevel="1" collapsed="false">
      <c r="A80" s="3" t="s">
        <v>706</v>
      </c>
      <c r="C80" s="54" t="n">
        <f aca="false">SUM(C33:G33)+SUM(C34:G34)+SUM(C35:G35)</f>
        <v>86.2961151421391</v>
      </c>
    </row>
    <row r="81" customFormat="false" ht="15" hidden="true" customHeight="false" outlineLevel="1" collapsed="false">
      <c r="A81" s="3" t="s">
        <v>707</v>
      </c>
      <c r="C81" s="54" t="n">
        <f aca="false">-SUM(C21:G21)</f>
        <v>-25.874</v>
      </c>
    </row>
    <row r="82" customFormat="false" ht="15" hidden="true" customHeight="false" outlineLevel="1" collapsed="false">
      <c r="A82" s="2" t="s">
        <v>708</v>
      </c>
      <c r="C82" s="55" t="n">
        <f aca="false">SUM(C74:C81)</f>
        <v>1.99999999999998</v>
      </c>
    </row>
    <row r="83" customFormat="false" ht="15" hidden="true" customHeight="false" outlineLevel="1" collapsed="false">
      <c r="A83" s="3" t="s">
        <v>709</v>
      </c>
      <c r="C83" s="54" t="n">
        <f aca="false">G41</f>
        <v>2</v>
      </c>
    </row>
    <row r="84" customFormat="false" ht="15" hidden="true" customHeight="false" outlineLevel="1" collapsed="false">
      <c r="A84" s="2" t="s">
        <v>710</v>
      </c>
      <c r="C84" s="54" t="n">
        <f aca="false">C82-C83</f>
        <v>-2.57571741713036E-014</v>
      </c>
      <c r="I84" s="7" t="s">
        <v>711</v>
      </c>
    </row>
    <row r="86" customFormat="false" ht="15" hidden="false" customHeight="false" outlineLevel="0" collapsed="true">
      <c r="A86" s="8" t="s">
        <v>712</v>
      </c>
      <c r="B86" s="9"/>
      <c r="C86" s="9"/>
      <c r="D86" s="9"/>
      <c r="E86" s="9"/>
      <c r="F86" s="9"/>
      <c r="G86" s="9"/>
      <c r="H86" s="9"/>
    </row>
    <row r="87" customFormat="false" ht="15" hidden="true" customHeight="false" outlineLevel="1" collapsed="false">
      <c r="A87" s="4" t="s">
        <v>713</v>
      </c>
      <c r="C87" s="11" t="n">
        <f aca="false">運營_產能與收入!C27</f>
        <v>13.066</v>
      </c>
      <c r="I87" s="7" t="s">
        <v>714</v>
      </c>
    </row>
    <row r="88" customFormat="false" ht="15" hidden="true" customHeight="false" outlineLevel="1" collapsed="false">
      <c r="A88" s="4" t="s">
        <v>715</v>
      </c>
      <c r="C88" s="11" t="n">
        <f aca="false">C6</f>
        <v>36.975</v>
      </c>
      <c r="I88" s="7" t="s">
        <v>716</v>
      </c>
    </row>
    <row r="89" customFormat="false" ht="15" hidden="true" customHeight="false" outlineLevel="1" collapsed="false">
      <c r="A89" s="4" t="s">
        <v>717</v>
      </c>
      <c r="C89" s="11" t="n">
        <f aca="false">輸入與假設!$C$152+輸入與假設!C$95+C16</f>
        <v>3.54684859865945</v>
      </c>
      <c r="I89" s="12" t="s">
        <v>718</v>
      </c>
    </row>
    <row r="90" customFormat="false" ht="15" hidden="true" customHeight="false" outlineLevel="1" collapsed="false">
      <c r="A90" s="4" t="s">
        <v>719</v>
      </c>
      <c r="C90" s="11" t="n">
        <f aca="false">輸入與假設!$C$153+C12</f>
        <v>2.088</v>
      </c>
      <c r="I90" s="12" t="s">
        <v>720</v>
      </c>
    </row>
    <row r="91" customFormat="false" ht="15" hidden="true" customHeight="false" outlineLevel="1" collapsed="false">
      <c r="A91" s="4" t="s">
        <v>721</v>
      </c>
      <c r="C91" s="11" t="n">
        <f aca="false">C21</f>
        <v>9.632</v>
      </c>
      <c r="I91" s="12" t="s">
        <v>722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6" t="s">
        <v>723</v>
      </c>
    </row>
    <row r="2" customFormat="false" ht="15" hidden="false" customHeight="false" outlineLevel="0" collapsed="false">
      <c r="A2" s="7" t="s">
        <v>724</v>
      </c>
    </row>
    <row r="4" customFormat="false" ht="15" hidden="false" customHeight="false" outlineLevel="0" collapsed="false">
      <c r="A4" s="8" t="s">
        <v>725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customFormat="false" ht="15" hidden="false" customHeight="false" outlineLevel="1" collapsed="false">
      <c r="A5" s="15" t="s">
        <v>726</v>
      </c>
      <c r="B5" s="15" t="s">
        <v>86</v>
      </c>
      <c r="C5" s="15" t="s">
        <v>727</v>
      </c>
      <c r="D5" s="15" t="s">
        <v>728</v>
      </c>
      <c r="E5" s="15" t="s">
        <v>729</v>
      </c>
      <c r="F5" s="15" t="s">
        <v>730</v>
      </c>
      <c r="G5" s="15" t="s">
        <v>731</v>
      </c>
      <c r="H5" s="15" t="s">
        <v>732</v>
      </c>
      <c r="I5" s="15" t="s">
        <v>733</v>
      </c>
      <c r="J5" s="15" t="s">
        <v>734</v>
      </c>
      <c r="K5" s="15" t="s">
        <v>735</v>
      </c>
      <c r="L5" s="15" t="s">
        <v>736</v>
      </c>
      <c r="M5" s="15" t="s">
        <v>737</v>
      </c>
      <c r="N5" s="15" t="s">
        <v>738</v>
      </c>
      <c r="O5" s="15" t="s">
        <v>734</v>
      </c>
      <c r="P5" s="15" t="s">
        <v>735</v>
      </c>
      <c r="Q5" s="15" t="s">
        <v>739</v>
      </c>
    </row>
    <row r="6" customFormat="false" ht="15" hidden="false" customHeight="false" outlineLevel="1" collapsed="false">
      <c r="A6" s="3" t="s">
        <v>740</v>
      </c>
      <c r="B6" s="12" t="s">
        <v>91</v>
      </c>
      <c r="C6" s="56" t="n">
        <f aca="false">INDEX($C$22:$H$22,輸入與假設!$C$238)</f>
        <v>3.66266666666667</v>
      </c>
      <c r="D6" s="56" t="n">
        <f aca="false">INDEX($C$41:$H$41,輸入與假設!$C$238)</f>
        <v>3.541</v>
      </c>
      <c r="E6" s="57" t="n">
        <f aca="false">INDEX($C$51:$H$51,輸入與假設!$C$238)</f>
        <v>0.0343594088298973</v>
      </c>
      <c r="F6" s="56" t="n">
        <f aca="false">IF(ISNUMBER(INDEX($C$31:$H$31,輸入與假設!$C$238)),INDEX($C$31:$H$31,輸入與假設!$C$238),"不適用")</f>
        <v>3.45</v>
      </c>
      <c r="G6" s="56" t="n">
        <f aca="false">INDEX($C$32:$H$32,輸入與假設!$C$238)</f>
        <v>3.6</v>
      </c>
      <c r="H6" s="57" t="n">
        <f aca="false">INDEX($C$52:$H$52,輸入與假設!$C$238)</f>
        <v>0.0390543735224584</v>
      </c>
      <c r="I6" s="56" t="str">
        <f aca="false">IF(ISNUMBER(INDEX($C$45:$H$45,輸入與假設!$C$238)),INDEX($C$45:$H$45,輸入與假設!$C$238),"待公布")</f>
        <v>待公布</v>
      </c>
      <c r="J6" s="57" t="str">
        <f aca="false">INDEX($C$53:$H$53,輸入與假設!$C$238)</f>
        <v/>
      </c>
      <c r="K6" s="57" t="str">
        <f aca="false">INDEX($C$54:$H$54,輸入與假設!$C$238)</f>
        <v/>
      </c>
      <c r="L6" s="57" t="str">
        <f aca="false">INDEX($C$55:$H$55,輸入與假設!$C$238)</f>
        <v/>
      </c>
      <c r="M6" s="57"/>
      <c r="N6" s="57"/>
      <c r="O6" s="57"/>
      <c r="P6" s="57"/>
      <c r="Q6" s="57"/>
    </row>
    <row r="7" customFormat="false" ht="15" hidden="false" customHeight="false" outlineLevel="1" collapsed="false">
      <c r="A7" s="3" t="s">
        <v>741</v>
      </c>
      <c r="B7" s="12" t="s">
        <v>91</v>
      </c>
      <c r="C7" s="56" t="n">
        <f aca="false">INDEX($C$28:$H$28,輸入與假設!$C$238)</f>
        <v>2.15096125673708</v>
      </c>
      <c r="D7" s="56" t="n">
        <f aca="false">INDEX($C$42:$H$42,輸入與假設!$C$238)</f>
        <v>2.047</v>
      </c>
      <c r="E7" s="56" t="n">
        <f aca="false">INDEX($C$56:$H$56,輸入與假設!$C$238)</f>
        <v>0.103961256737079</v>
      </c>
      <c r="F7" s="58" t="s">
        <v>742</v>
      </c>
      <c r="G7" s="58" t="s">
        <v>742</v>
      </c>
      <c r="H7" s="56" t="str">
        <f aca="false">INDEX($C$57:$H$57,輸入與假設!$C$238)</f>
        <v>不適用</v>
      </c>
      <c r="I7" s="56" t="str">
        <f aca="false">IF(ISNUMBER(INDEX($C$46:$H$46,輸入與假設!$C$238)),INDEX($C$46:$H$46,輸入與假設!$C$238),"待公布")</f>
        <v>待公布</v>
      </c>
      <c r="J7" s="56" t="str">
        <f aca="false">INDEX($C$58:$H$58,輸入與假設!$C$238)</f>
        <v/>
      </c>
      <c r="K7" s="56" t="str">
        <f aca="false">INDEX($C$59:$H$59,輸入與假設!$C$238)</f>
        <v/>
      </c>
      <c r="L7" s="56" t="str">
        <f aca="false">INDEX($C$60:$H$60,輸入與假設!$C$238)</f>
        <v/>
      </c>
      <c r="M7" s="57" t="n">
        <f aca="false">INDEX($C$61:$H$61,輸入與假設!$C$238)</f>
        <v>0.00918116496057853</v>
      </c>
      <c r="N7" s="57" t="str">
        <f aca="false">INDEX($C$62:$H$62,輸入與假設!$C$238)</f>
        <v>不適用</v>
      </c>
      <c r="O7" s="57" t="str">
        <f aca="false">INDEX($C$63:$H$63,輸入與假設!$C$238)</f>
        <v/>
      </c>
      <c r="P7" s="57" t="str">
        <f aca="false">INDEX($C$64:$H$64,輸入與假設!$C$238)</f>
        <v/>
      </c>
      <c r="Q7" s="57" t="str">
        <f aca="false">INDEX($C$65:$H$65,輸入與假設!$C$238)</f>
        <v/>
      </c>
    </row>
    <row r="8" customFormat="false" ht="15" hidden="false" customHeight="false" outlineLevel="1" collapsed="false">
      <c r="A8" s="3" t="s">
        <v>743</v>
      </c>
      <c r="B8" s="12" t="s">
        <v>77</v>
      </c>
      <c r="C8" s="57" t="n">
        <f aca="false">INDEX($C$27:$H$27,輸入與假設!$C$238)</f>
        <v>0.58726645160277</v>
      </c>
      <c r="D8" s="57" t="n">
        <f aca="false">INDEX($C$43:$H$43,輸入與假設!$C$238)</f>
        <v>0.578085286642192</v>
      </c>
      <c r="E8" s="57" t="n">
        <f aca="false">INDEX($C$66:$H$66,輸入與假設!$C$238)</f>
        <v>0.00918116496057853</v>
      </c>
      <c r="F8" s="59" t="s">
        <v>742</v>
      </c>
      <c r="G8" s="59" t="s">
        <v>742</v>
      </c>
      <c r="H8" s="57" t="str">
        <f aca="false">INDEX($C$67:$H$67,輸入與假設!$C$238)</f>
        <v>不適用</v>
      </c>
      <c r="I8" s="57" t="str">
        <f aca="false">IF(ISNUMBER(INDEX($C$47:$H$47,輸入與假設!$C$238)),INDEX($C$47:$H$47,輸入與假設!$C$238),"待公布")</f>
        <v>待公布</v>
      </c>
      <c r="J8" s="57" t="str">
        <f aca="false">INDEX($C$68:$H$68,輸入與假設!$C$238)</f>
        <v/>
      </c>
      <c r="K8" s="57" t="str">
        <f aca="false">INDEX($C$69:$H$69,輸入與假設!$C$238)</f>
        <v/>
      </c>
      <c r="L8" s="57" t="str">
        <f aca="false">INDEX($C$70:$H$70,輸入與假設!$C$238)</f>
        <v/>
      </c>
      <c r="M8" s="57"/>
      <c r="N8" s="57"/>
      <c r="O8" s="57"/>
      <c r="P8" s="57"/>
      <c r="Q8" s="57"/>
    </row>
    <row r="9" customFormat="false" ht="15" hidden="false" customHeight="false" outlineLevel="1" collapsed="false">
      <c r="A9" s="3" t="s">
        <v>744</v>
      </c>
      <c r="B9" s="12" t="s">
        <v>91</v>
      </c>
      <c r="C9" s="56" t="n">
        <f aca="false">INDEX($C$30:$H$30,輸入與假設!$C$238)</f>
        <v>-0.0134137432629213</v>
      </c>
      <c r="D9" s="58" t="s">
        <v>742</v>
      </c>
      <c r="E9" s="56" t="str">
        <f aca="false">INDEX($C$71:$H$71,輸入與假設!$C$238)</f>
        <v>不適用</v>
      </c>
      <c r="F9" s="56" t="n">
        <f aca="false">IF(ISNUMBER(INDEX($C$33:$H$33,輸入與假設!$C$238)),INDEX($C$33:$H$33,輸入與假設!$C$238),IF(INDEX($C$35:$H$35,輸入與假設!$C$238)&lt;&gt;"",INDEX($C$35:$H$35,輸入與假設!$C$238),"不適用"))</f>
        <v>0.2</v>
      </c>
      <c r="G9" s="56" t="n">
        <f aca="false">INDEX($C$34:$H$34,輸入與假設!$C$238)</f>
        <v>0.26</v>
      </c>
      <c r="H9" s="56" t="n">
        <f aca="false">INDEX($C$72:$H$72,輸入與假設!$C$238)</f>
        <v>-0.243413743262921</v>
      </c>
      <c r="I9" s="56" t="str">
        <f aca="false">IF(ISNUMBER(INDEX($C$48:$H$48,輸入與假設!$C$238)),INDEX($C$48:$H$48,輸入與假設!$C$238),"待公布")</f>
        <v>待公布</v>
      </c>
      <c r="J9" s="56" t="str">
        <f aca="false">INDEX($C$73:$H$73,輸入與假設!$C$238)</f>
        <v/>
      </c>
      <c r="K9" s="56" t="str">
        <f aca="false">INDEX($C$74:$H$74,輸入與假設!$C$238)</f>
        <v/>
      </c>
      <c r="L9" s="56" t="str">
        <f aca="false">INDEX($C$75:$H$75,輸入與假設!$C$238)</f>
        <v/>
      </c>
      <c r="M9" s="57" t="str">
        <f aca="false">INDEX($C$76:$H$76,輸入與假設!$C$238)</f>
        <v>不適用</v>
      </c>
      <c r="N9" s="57" t="n">
        <f aca="false">INDEX($C$77:$H$77,輸入與假設!$C$238)</f>
        <v>-0.0689105157917055</v>
      </c>
      <c r="O9" s="57" t="str">
        <f aca="false">INDEX($C$78:$H$78,輸入與假設!$C$238)</f>
        <v/>
      </c>
      <c r="P9" s="57" t="str">
        <f aca="false">INDEX($C$79:$H$79,輸入與假設!$C$238)</f>
        <v/>
      </c>
      <c r="Q9" s="57" t="str">
        <f aca="false">INDEX($C$80:$H$80,輸入與假設!$C$238)</f>
        <v/>
      </c>
    </row>
    <row r="10" customFormat="false" ht="15" hidden="false" customHeight="false" outlineLevel="1" collapsed="false">
      <c r="A10" s="3" t="s">
        <v>745</v>
      </c>
      <c r="B10" s="12" t="s">
        <v>91</v>
      </c>
      <c r="C10" s="56" t="n">
        <f aca="false">INDEX($C$40:$H$40,輸入與假設!$C$238)</f>
        <v>12.5</v>
      </c>
      <c r="D10" s="58" t="s">
        <v>742</v>
      </c>
      <c r="E10" s="57" t="str">
        <f aca="false">INDEX($C$81:$H$81,輸入與假設!$C$238)</f>
        <v>不適用</v>
      </c>
      <c r="F10" s="56" t="n">
        <f aca="false">IF(ISNUMBER(INDEX($C$36:$H$36,輸入與假設!$C$238)),INDEX($C$36:$H$36,輸入與假設!$C$238),"不適用")</f>
        <v>11.5</v>
      </c>
      <c r="G10" s="56" t="n">
        <f aca="false">INDEX($C$37:$H$37,輸入與假設!$C$238)</f>
        <v>13.5</v>
      </c>
      <c r="H10" s="57" t="n">
        <f aca="false">INDEX($C$82:$H$82,輸入與假設!$C$238)</f>
        <v>0</v>
      </c>
      <c r="I10" s="56" t="str">
        <f aca="false">IF(ISNUMBER(INDEX($C$49:$H$49,輸入與假設!$C$238)),INDEX($C$49:$H$49,輸入與假設!$C$238),"待公布")</f>
        <v>待公布</v>
      </c>
      <c r="J10" s="57" t="str">
        <f aca="false">INDEX($C$83:$H$83,輸入與假設!$C$238)</f>
        <v/>
      </c>
      <c r="K10" s="57" t="str">
        <f aca="false">INDEX($C$84:$H$84,輸入與假設!$C$238)</f>
        <v/>
      </c>
      <c r="L10" s="57" t="str">
        <f aca="false">INDEX($C$85:$H$85,輸入與假設!$C$238)</f>
        <v/>
      </c>
      <c r="M10" s="57"/>
      <c r="N10" s="57"/>
      <c r="O10" s="57"/>
      <c r="P10" s="57"/>
      <c r="Q10" s="57"/>
    </row>
    <row r="11" customFormat="false" ht="15" hidden="false" customHeight="false" outlineLevel="1" collapsed="false">
      <c r="A11" s="3" t="s">
        <v>746</v>
      </c>
      <c r="B11" s="12" t="s">
        <v>173</v>
      </c>
      <c r="C11" s="60" t="n">
        <f aca="false">INDEX($C$19:$H$19,輸入與假設!$C$238)</f>
        <v>1675</v>
      </c>
      <c r="D11" s="61" t="s">
        <v>742</v>
      </c>
      <c r="E11" s="60" t="str">
        <f aca="false">INDEX($C$86:$H$86,輸入與假設!$C$238)</f>
        <v>不適用</v>
      </c>
      <c r="F11" s="61" t="s">
        <v>742</v>
      </c>
      <c r="G11" s="61" t="s">
        <v>742</v>
      </c>
      <c r="H11" s="60" t="str">
        <f aca="false">INDEX($C$87:$H$87,輸入與假設!$C$238)</f>
        <v>不適用</v>
      </c>
      <c r="I11" s="60" t="str">
        <f aca="false">IF(ISNUMBER(INDEX($C$50:$H$50,輸入與假設!$C$238)),INDEX($C$50:$H$50,輸入與假設!$C$238),"待公布")</f>
        <v>待公布</v>
      </c>
      <c r="J11" s="60" t="str">
        <f aca="false">INDEX($C$88:$H$88,輸入與假設!$C$238)</f>
        <v/>
      </c>
      <c r="K11" s="60" t="str">
        <f aca="false">INDEX($C$89:$H$89,輸入與假設!$C$238)</f>
        <v/>
      </c>
      <c r="L11" s="60" t="str">
        <f aca="false">INDEX($C$90:$H$90,輸入與假設!$C$238)</f>
        <v/>
      </c>
      <c r="M11" s="57"/>
      <c r="N11" s="57"/>
      <c r="O11" s="57"/>
      <c r="P11" s="57"/>
      <c r="Q11" s="57"/>
    </row>
    <row r="12" customFormat="false" ht="15" hidden="false" customHeight="false" outlineLevel="1" collapsed="false">
      <c r="A12" s="2" t="s">
        <v>747</v>
      </c>
      <c r="C12" s="2" t="str">
        <f aca="false">INDEX($C$16:$H$16,輸入與假設!$C$238)</f>
        <v>Q3'26</v>
      </c>
    </row>
    <row r="13" customFormat="false" ht="15" hidden="false" customHeight="false" outlineLevel="1" collapsed="false">
      <c r="A13" s="2" t="s">
        <v>748</v>
      </c>
      <c r="C13" s="0" t="str">
        <f aca="false">IF(INDEX($C$133:$H$133,輸入與假設!$C$238)="","無（差距皆在 "&amp;IF(ROUND(ABS(輸入與假設!$C$232)*100,4)=INT(ROUND(ABS(輸入與假設!$C$232)*100,4)),TEXT(ROUND(ABS(輸入與假設!$C$232)*100,4),"0"),TEXT(ROUND(ABS(輸入與假設!$C$232)*100,4),"0.0"))&amp;"%"&amp;" 以內）",INDEX($C$133:$H$133,輸入與假設!$C$238))</f>
        <v>營收 vs 指引中點 +3.9%：觀點（水準 +$0.115bn（2H26 模型 $8.413bn，指引隱含 $8.147bn）；分配 +$0.023bn）；調整後營業利益 vs 指引中點 −$0.24bn／−6.9pt：已知限制（對照指引隱含折舊 1.82（＝共識 EBITDA 2.05 − 指引中點 0.23，Derived），模型折舊 2.16；缺口 −0.24 ≈ 折舊 −0.35 ＋ EBITDA +0.10；待辦 6 修正折舊）</v>
      </c>
    </row>
    <row r="15" customFormat="false" ht="15" hidden="false" customHeight="false" outlineLevel="0" collapsed="true">
      <c r="A15" s="8" t="s">
        <v>749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customFormat="false" ht="15" hidden="true" customHeight="false" outlineLevel="1" collapsed="false">
      <c r="A16" s="15" t="s">
        <v>85</v>
      </c>
      <c r="B16" s="15" t="s">
        <v>86</v>
      </c>
      <c r="C16" s="16" t="s">
        <v>563</v>
      </c>
      <c r="D16" s="16" t="s">
        <v>564</v>
      </c>
      <c r="E16" s="16" t="s">
        <v>565</v>
      </c>
      <c r="F16" s="16" t="s">
        <v>566</v>
      </c>
      <c r="G16" s="16" t="s">
        <v>567</v>
      </c>
      <c r="H16" s="16" t="s">
        <v>568</v>
      </c>
    </row>
    <row r="17" customFormat="false" ht="15" hidden="true" customHeight="false" outlineLevel="1" collapsed="false">
      <c r="A17" s="3" t="s">
        <v>750</v>
      </c>
      <c r="C17" s="62" t="n">
        <f aca="false">輸入與假設!C$237</f>
        <v>1</v>
      </c>
      <c r="D17" s="62" t="n">
        <f aca="false">輸入與假設!D$237</f>
        <v>1</v>
      </c>
      <c r="E17" s="62" t="n">
        <f aca="false">輸入與假設!E$237</f>
        <v>2</v>
      </c>
      <c r="F17" s="62" t="n">
        <f aca="false">輸入與假設!F$237</f>
        <v>2</v>
      </c>
      <c r="G17" s="62" t="n">
        <f aca="false">輸入與假設!G$237</f>
        <v>2</v>
      </c>
      <c r="H17" s="62" t="n">
        <f aca="false">輸入與假設!H$237</f>
        <v>2</v>
      </c>
      <c r="J17" s="12" t="s">
        <v>751</v>
      </c>
    </row>
    <row r="18" customFormat="false" ht="15" hidden="true" customHeight="false" outlineLevel="1" collapsed="false">
      <c r="A18" s="3" t="s">
        <v>752</v>
      </c>
      <c r="C18" s="29" t="n">
        <v>1</v>
      </c>
      <c r="D18" s="29" t="n">
        <v>2</v>
      </c>
      <c r="E18" s="29" t="n">
        <v>3</v>
      </c>
      <c r="F18" s="29" t="n">
        <v>4</v>
      </c>
      <c r="G18" s="29" t="n">
        <v>5</v>
      </c>
      <c r="H18" s="29" t="n">
        <v>6</v>
      </c>
      <c r="J18" s="12" t="s">
        <v>753</v>
      </c>
    </row>
    <row r="19" customFormat="false" ht="15" hidden="true" customHeight="false" outlineLevel="1" collapsed="false">
      <c r="A19" s="3" t="s">
        <v>754</v>
      </c>
      <c r="B19" s="12" t="s">
        <v>173</v>
      </c>
      <c r="C19" s="29" t="n">
        <f aca="false">輸入與假設!$C$240+(輸入與假設!C$26-輸入與假設!$C$240)*1/2</f>
        <v>1675</v>
      </c>
      <c r="D19" s="29" t="n">
        <f aca="false">輸入與假設!$C$240+(輸入與假設!C$26-輸入與假設!$C$240)*2/2</f>
        <v>1850</v>
      </c>
      <c r="E19" s="29" t="n">
        <f aca="false">輸入與假設!C$26+(輸入與假設!D$26-輸入與假設!C$26)*1/4</f>
        <v>2162.5</v>
      </c>
      <c r="F19" s="29" t="n">
        <f aca="false">輸入與假設!C$26+(輸入與假設!D$26-輸入與假設!C$26)*2/4</f>
        <v>2475</v>
      </c>
      <c r="G19" s="29" t="n">
        <f aca="false">輸入與假設!C$26+(輸入與假設!D$26-輸入與假設!C$26)*3/4</f>
        <v>2787.5</v>
      </c>
      <c r="H19" s="29" t="n">
        <f aca="false">輸入與假設!C$26+(輸入與假設!D$26-輸入與假設!C$26)*4/4</f>
        <v>3100</v>
      </c>
      <c r="J19" s="7" t="s">
        <v>755</v>
      </c>
    </row>
    <row r="20" customFormat="false" ht="15" hidden="true" customHeight="false" outlineLevel="1" collapsed="false">
      <c r="A20" s="3" t="s">
        <v>756</v>
      </c>
      <c r="B20" s="12" t="s">
        <v>173</v>
      </c>
      <c r="C20" s="29" t="n">
        <f aca="false">輸入與假設!$C$20+(輸入與假設!C$27-輸入與假設!$C$20)*1/4</f>
        <v>1437.5</v>
      </c>
      <c r="D20" s="29" t="n">
        <f aca="false">輸入與假設!$C$20+(輸入與假設!C$27-輸入與假設!$C$20)*3/4</f>
        <v>1612.5</v>
      </c>
      <c r="E20" s="29" t="n">
        <f aca="false">輸入與假設!C$27+(輸入與假設!D$27-輸入與假設!C$27)*1/8</f>
        <v>1850</v>
      </c>
      <c r="F20" s="29" t="n">
        <f aca="false">輸入與假設!C$27+(輸入與假設!D$27-輸入與假設!C$27)*3/8</f>
        <v>2150</v>
      </c>
      <c r="G20" s="29" t="n">
        <f aca="false">輸入與假設!C$27+(輸入與假設!D$27-輸入與假設!C$27)*5/8</f>
        <v>2450</v>
      </c>
      <c r="H20" s="29" t="n">
        <f aca="false">輸入與假設!C$27+(輸入與假設!D$27-輸入與假設!C$27)*7/8</f>
        <v>2750</v>
      </c>
      <c r="J20" s="7" t="s">
        <v>757</v>
      </c>
    </row>
    <row r="21" customFormat="false" ht="15" hidden="true" customHeight="false" outlineLevel="1" collapsed="false">
      <c r="A21" s="3" t="s">
        <v>758</v>
      </c>
      <c r="B21" s="12" t="s">
        <v>173</v>
      </c>
      <c r="C21" s="29" t="n">
        <f aca="false">C19-輸入與假設!$C$240</f>
        <v>175</v>
      </c>
      <c r="D21" s="29" t="n">
        <f aca="false">D19-C19</f>
        <v>175</v>
      </c>
      <c r="E21" s="29" t="n">
        <f aca="false">E19-輸入與假設!C$26</f>
        <v>312.5</v>
      </c>
      <c r="F21" s="29" t="n">
        <f aca="false">F19-E19</f>
        <v>312.5</v>
      </c>
      <c r="G21" s="29" t="n">
        <f aca="false">G19-F19</f>
        <v>312.5</v>
      </c>
      <c r="H21" s="29" t="n">
        <f aca="false">H19-G19</f>
        <v>312.5</v>
      </c>
      <c r="J21" s="12" t="s">
        <v>759</v>
      </c>
    </row>
    <row r="22" customFormat="false" ht="15" hidden="true" customHeight="false" outlineLevel="1" collapsed="false">
      <c r="A22" s="3" t="s">
        <v>760</v>
      </c>
      <c r="B22" s="12" t="s">
        <v>91</v>
      </c>
      <c r="C22" s="32" t="n">
        <f aca="false">輸入與假設!$C$239+1*(損益!C8-2*輸入與假設!$C$239)/3</f>
        <v>3.66266666666667</v>
      </c>
      <c r="D22" s="32" t="n">
        <f aca="false">輸入與假設!$C$239+2*(損益!C8-2*輸入與假設!$C$239)/3</f>
        <v>4.75033333333333</v>
      </c>
      <c r="E22" s="32" t="n">
        <f aca="false">損益!D8*E20/(E20+F20+G20+H20)</f>
        <v>5.25389945652174</v>
      </c>
      <c r="F22" s="32" t="n">
        <f aca="false">損益!D8*F20/(E20+F20+G20+H20)</f>
        <v>6.10588315217391</v>
      </c>
      <c r="G22" s="32" t="n">
        <f aca="false">損益!D8*G20/(E20+F20+G20+H20)</f>
        <v>6.95786684782609</v>
      </c>
      <c r="H22" s="32" t="n">
        <f aca="false">損益!D8*H20/(E20+F20+G20+H20)</f>
        <v>7.80985054347826</v>
      </c>
      <c r="J22" s="7" t="s">
        <v>761</v>
      </c>
    </row>
    <row r="23" customFormat="false" ht="15" hidden="true" customHeight="false" outlineLevel="1" collapsed="false">
      <c r="A23" s="4" t="s">
        <v>762</v>
      </c>
      <c r="C23" s="56" t="n">
        <f aca="false">C22+D22</f>
        <v>8.413</v>
      </c>
      <c r="D23" s="56" t="n">
        <f aca="false">E22+F22+G22+H22</f>
        <v>26.1275</v>
      </c>
      <c r="J23" s="7" t="s">
        <v>763</v>
      </c>
    </row>
    <row r="24" customFormat="false" ht="15" hidden="true" customHeight="false" outlineLevel="1" collapsed="false">
      <c r="A24" s="4" t="s">
        <v>764</v>
      </c>
      <c r="C24" s="56" t="n">
        <f aca="false">C22*C18+D22*D18</f>
        <v>13.1633333333333</v>
      </c>
      <c r="D24" s="56" t="n">
        <f aca="false">E22*E18+F22*F18+G22*G18+H22*H18</f>
        <v>121.833668478261</v>
      </c>
      <c r="J24" s="7" t="s">
        <v>763</v>
      </c>
    </row>
    <row r="25" customFormat="false" ht="15" hidden="true" customHeight="false" outlineLevel="1" collapsed="false">
      <c r="A25" s="4" t="s">
        <v>765</v>
      </c>
      <c r="C25" s="56" t="n">
        <f aca="false">損益!C19</f>
        <v>4.96367</v>
      </c>
      <c r="D25" s="56" t="n">
        <f aca="false">損益!D19</f>
        <v>15.8071375</v>
      </c>
      <c r="J25" s="7" t="s">
        <v>763</v>
      </c>
    </row>
    <row r="26" customFormat="false" ht="15" hidden="true" customHeight="false" outlineLevel="1" collapsed="false">
      <c r="A26" s="4" t="s">
        <v>766</v>
      </c>
      <c r="C26" s="63" t="n">
        <f aca="false">(C25*D24-C24*D25)/(C23*D24-C24*D23)</f>
        <v>0.582425245512132</v>
      </c>
      <c r="D26" s="63" t="n">
        <f aca="false">(C23*D25-D23*C25)/(C23*D24-C24*D23)</f>
        <v>0.0048412060906385</v>
      </c>
      <c r="J26" s="7" t="s">
        <v>767</v>
      </c>
    </row>
    <row r="27" customFormat="false" ht="15" hidden="true" customHeight="false" outlineLevel="1" collapsed="false">
      <c r="A27" s="4" t="s">
        <v>768</v>
      </c>
      <c r="B27" s="12" t="s">
        <v>77</v>
      </c>
      <c r="C27" s="31" t="n">
        <f aca="false">$C$26+$D$26*C18</f>
        <v>0.58726645160277</v>
      </c>
      <c r="D27" s="31" t="n">
        <f aca="false">$C$26+$D$26*D18</f>
        <v>0.592107657693409</v>
      </c>
      <c r="E27" s="31" t="n">
        <f aca="false">$C$26+$D$26*E18</f>
        <v>0.596948863784047</v>
      </c>
      <c r="F27" s="31" t="n">
        <f aca="false">$C$26+$D$26*F18</f>
        <v>0.601790069874686</v>
      </c>
      <c r="G27" s="31" t="n">
        <f aca="false">$C$26+$D$26*G18</f>
        <v>0.606631275965324</v>
      </c>
      <c r="H27" s="31" t="n">
        <f aca="false">$C$26+$D$26*H18</f>
        <v>0.611472482055963</v>
      </c>
      <c r="J27" s="7" t="s">
        <v>769</v>
      </c>
    </row>
    <row r="28" customFormat="false" ht="15" hidden="true" customHeight="false" outlineLevel="1" collapsed="false">
      <c r="A28" s="3" t="s">
        <v>770</v>
      </c>
      <c r="B28" s="12" t="s">
        <v>91</v>
      </c>
      <c r="C28" s="32" t="n">
        <f aca="false">C22*C27</f>
        <v>2.15096125673708</v>
      </c>
      <c r="D28" s="32" t="n">
        <f aca="false">D22*D27</f>
        <v>2.81270874326292</v>
      </c>
      <c r="E28" s="32" t="n">
        <f aca="false">E22*E27</f>
        <v>3.13630931100627</v>
      </c>
      <c r="F28" s="32" t="n">
        <f aca="false">F22*F27</f>
        <v>3.6744598487934</v>
      </c>
      <c r="G28" s="32" t="n">
        <f aca="false">G22*G27</f>
        <v>4.22085964389357</v>
      </c>
      <c r="H28" s="32" t="n">
        <f aca="false">H22*H27</f>
        <v>4.77550869630676</v>
      </c>
    </row>
    <row r="29" customFormat="false" ht="15" hidden="true" customHeight="false" outlineLevel="1" collapsed="false">
      <c r="A29" s="3" t="s">
        <v>771</v>
      </c>
      <c r="B29" s="12" t="s">
        <v>91</v>
      </c>
      <c r="C29" s="32" t="n">
        <f aca="false">(輸入與假設!C$71+輸入與假設!C$69*1/4)/輸入與假設!$C$51*輸入與假設!C$24/2</f>
        <v>2.164375</v>
      </c>
      <c r="D29" s="32" t="n">
        <f aca="false">(輸入與假設!C$71+輸入與假設!C$69*3/4)/輸入與假設!$C$51*輸入與假設!C$24/2</f>
        <v>2.59845833333333</v>
      </c>
      <c r="E29" s="32" t="n">
        <f aca="false">(輸入與假設!D$71+輸入與假設!D$69*1/8)/輸入與假設!$C$51*輸入與假設!D$24/4</f>
        <v>3.01516145833333</v>
      </c>
      <c r="F29" s="32" t="n">
        <f aca="false">(輸入與假設!D$71+輸入與假設!D$69*3/8)/輸入與假設!$C$51*輸入與假設!D$24/4</f>
        <v>3.414484375</v>
      </c>
      <c r="G29" s="32" t="n">
        <f aca="false">(輸入與假設!D$71+輸入與假設!D$69*5/8)/輸入與假設!$C$51*輸入與假設!D$24/4</f>
        <v>3.81380729166667</v>
      </c>
      <c r="H29" s="32" t="n">
        <f aca="false">(輸入與假設!D$71+輸入與假設!D$69*7/8)/輸入與假設!$C$51*輸入與假設!D$24/4</f>
        <v>4.21313020833333</v>
      </c>
      <c r="J29" s="7" t="s">
        <v>772</v>
      </c>
    </row>
    <row r="30" customFormat="false" ht="15" hidden="true" customHeight="false" outlineLevel="1" collapsed="false">
      <c r="A30" s="3" t="s">
        <v>773</v>
      </c>
      <c r="B30" s="12" t="s">
        <v>91</v>
      </c>
      <c r="C30" s="32" t="n">
        <f aca="false">C28-C29</f>
        <v>-0.0134137432629213</v>
      </c>
      <c r="D30" s="32" t="n">
        <f aca="false">D28-D29</f>
        <v>0.214250409929588</v>
      </c>
      <c r="E30" s="32" t="n">
        <f aca="false">E28-E29</f>
        <v>0.12114785267294</v>
      </c>
      <c r="F30" s="32" t="n">
        <f aca="false">F28-F29</f>
        <v>0.259975473793403</v>
      </c>
      <c r="G30" s="32" t="n">
        <f aca="false">G28-G29</f>
        <v>0.407052352226899</v>
      </c>
      <c r="H30" s="32" t="n">
        <f aca="false">H28-H29</f>
        <v>0.562378487973426</v>
      </c>
      <c r="J30" s="7" t="s">
        <v>774</v>
      </c>
    </row>
    <row r="31" customFormat="false" ht="15" hidden="true" customHeight="false" outlineLevel="1" collapsed="false">
      <c r="A31" s="3" t="s">
        <v>775</v>
      </c>
      <c r="B31" s="12" t="s">
        <v>91</v>
      </c>
      <c r="C31" s="32" t="n">
        <f aca="false">IF(ISNUMBER(輸入與假設!C$249),輸入與假設!C$249,"不適用")</f>
        <v>3.45</v>
      </c>
      <c r="D31" s="32" t="str">
        <f aca="false">IF(ISNUMBER(輸入與假設!D$249),輸入與假設!D$249,"不適用")</f>
        <v>不適用</v>
      </c>
      <c r="E31" s="32" t="str">
        <f aca="false">IF(ISNUMBER(輸入與假設!E$249),輸入與假設!E$249,"不適用")</f>
        <v>不適用</v>
      </c>
      <c r="F31" s="32" t="str">
        <f aca="false">IF(ISNUMBER(輸入與假設!F$249),輸入與假設!F$249,"不適用")</f>
        <v>不適用</v>
      </c>
      <c r="G31" s="32" t="str">
        <f aca="false">IF(ISNUMBER(輸入與假設!G$249),輸入與假設!G$249,"不適用")</f>
        <v>不適用</v>
      </c>
      <c r="H31" s="32" t="str">
        <f aca="false">IF(ISNUMBER(輸入與假設!H$249),輸入與假設!H$249,"不適用")</f>
        <v>不適用</v>
      </c>
    </row>
    <row r="32" customFormat="false" ht="15" hidden="true" customHeight="false" outlineLevel="1" collapsed="false">
      <c r="A32" s="3" t="s">
        <v>776</v>
      </c>
      <c r="B32" s="12" t="s">
        <v>91</v>
      </c>
      <c r="C32" s="32" t="n">
        <f aca="false">IF(ISNUMBER(輸入與假設!C$250),輸入與假設!C$250,"不適用")</f>
        <v>3.6</v>
      </c>
      <c r="D32" s="32" t="str">
        <f aca="false">IF(ISNUMBER(輸入與假設!D$250),輸入與假設!D$250,"不適用")</f>
        <v>不適用</v>
      </c>
      <c r="E32" s="32" t="str">
        <f aca="false">IF(ISNUMBER(輸入與假設!E$250),輸入與假設!E$250,"不適用")</f>
        <v>不適用</v>
      </c>
      <c r="F32" s="32" t="str">
        <f aca="false">IF(ISNUMBER(輸入與假設!F$250),輸入與假設!F$250,"不適用")</f>
        <v>不適用</v>
      </c>
      <c r="G32" s="32" t="str">
        <f aca="false">IF(ISNUMBER(輸入與假設!G$250),輸入與假設!G$250,"不適用")</f>
        <v>不適用</v>
      </c>
      <c r="H32" s="32" t="str">
        <f aca="false">IF(ISNUMBER(輸入與假設!H$250),輸入與假設!H$250,"不適用")</f>
        <v>不適用</v>
      </c>
    </row>
    <row r="33" customFormat="false" ht="15" hidden="true" customHeight="false" outlineLevel="1" collapsed="false">
      <c r="A33" s="3" t="s">
        <v>777</v>
      </c>
      <c r="B33" s="12" t="s">
        <v>91</v>
      </c>
      <c r="C33" s="32" t="n">
        <f aca="false">IF(ISNUMBER(輸入與假設!C$251),輸入與假設!C$251,"不適用")</f>
        <v>0.2</v>
      </c>
      <c r="D33" s="32" t="str">
        <f aca="false">IF(ISNUMBER(輸入與假設!D$251),輸入與假設!D$251,"不適用")</f>
        <v>不適用</v>
      </c>
      <c r="E33" s="32" t="str">
        <f aca="false">IF(ISNUMBER(輸入與假設!E$251),輸入與假設!E$251,"不適用")</f>
        <v>不適用</v>
      </c>
      <c r="F33" s="32" t="str">
        <f aca="false">IF(ISNUMBER(輸入與假設!F$251),輸入與假設!F$251,"不適用")</f>
        <v>不適用</v>
      </c>
      <c r="G33" s="32" t="str">
        <f aca="false">IF(ISNUMBER(輸入與假設!G$251),輸入與假設!G$251,"不適用")</f>
        <v>不適用</v>
      </c>
      <c r="H33" s="32" t="str">
        <f aca="false">IF(ISNUMBER(輸入與假設!H$251),輸入與假設!H$251,"不適用")</f>
        <v>不適用</v>
      </c>
    </row>
    <row r="34" customFormat="false" ht="15" hidden="true" customHeight="false" outlineLevel="1" collapsed="false">
      <c r="A34" s="3" t="s">
        <v>778</v>
      </c>
      <c r="B34" s="12" t="s">
        <v>91</v>
      </c>
      <c r="C34" s="32" t="n">
        <f aca="false">IF(ISNUMBER(輸入與假設!C$252),輸入與假設!C$252,"不適用")</f>
        <v>0.26</v>
      </c>
      <c r="D34" s="32" t="str">
        <f aca="false">IF(ISNUMBER(輸入與假設!D$252),輸入與假設!D$252,"不適用")</f>
        <v>不適用</v>
      </c>
      <c r="E34" s="32" t="str">
        <f aca="false">IF(ISNUMBER(輸入與假設!E$252),輸入與假設!E$252,"不適用")</f>
        <v>不適用</v>
      </c>
      <c r="F34" s="32" t="str">
        <f aca="false">IF(ISNUMBER(輸入與假設!F$252),輸入與假設!F$252,"不適用")</f>
        <v>不適用</v>
      </c>
      <c r="G34" s="32" t="str">
        <f aca="false">IF(ISNUMBER(輸入與假設!G$252),輸入與假設!G$252,"不適用")</f>
        <v>不適用</v>
      </c>
      <c r="H34" s="32" t="str">
        <f aca="false">IF(ISNUMBER(輸入與假設!H$252),輸入與假設!H$252,"不適用")</f>
        <v>不適用</v>
      </c>
    </row>
    <row r="35" customFormat="false" ht="15" hidden="true" customHeight="false" outlineLevel="1" collapsed="false">
      <c r="A35" s="3" t="s">
        <v>779</v>
      </c>
      <c r="C35" s="42" t="str">
        <f aca="false">IF(ISTEXT(輸入與假設!C$255),輸入與假設!C$255,"")</f>
        <v/>
      </c>
      <c r="D35" s="42" t="str">
        <f aca="false">IF(ISTEXT(輸入與假設!D$255),輸入與假設!D$255,"")</f>
        <v>調整後營業利益率 low teens</v>
      </c>
      <c r="E35" s="42" t="str">
        <f aca="false">IF(ISTEXT(輸入與假設!E$255),輸入與假設!E$255,"")</f>
        <v/>
      </c>
      <c r="F35" s="42" t="str">
        <f aca="false">IF(ISTEXT(輸入與假設!F$255),輸入與假設!F$255,"")</f>
        <v/>
      </c>
      <c r="G35" s="42" t="str">
        <f aca="false">IF(ISTEXT(輸入與假設!G$255),輸入與假設!G$255,"")</f>
        <v/>
      </c>
      <c r="H35" s="42" t="str">
        <f aca="false">IF(ISTEXT(輸入與假設!H$255),輸入與假設!H$255,"")</f>
        <v/>
      </c>
      <c r="J35" s="7" t="s">
        <v>780</v>
      </c>
    </row>
    <row r="36" customFormat="false" ht="15" hidden="true" customHeight="false" outlineLevel="1" collapsed="false">
      <c r="A36" s="3" t="s">
        <v>781</v>
      </c>
      <c r="B36" s="12" t="s">
        <v>91</v>
      </c>
      <c r="C36" s="32" t="n">
        <f aca="false">IF(ISNUMBER(輸入與假設!C$253),輸入與假設!C$253,"不適用")</f>
        <v>11.5</v>
      </c>
      <c r="D36" s="32" t="str">
        <f aca="false">IF(ISNUMBER(輸入與假設!D$253),輸入與假設!D$253,"不適用")</f>
        <v>不適用</v>
      </c>
      <c r="E36" s="32" t="str">
        <f aca="false">IF(ISNUMBER(輸入與假設!E$253),輸入與假設!E$253,"不適用")</f>
        <v>不適用</v>
      </c>
      <c r="F36" s="32" t="str">
        <f aca="false">IF(ISNUMBER(輸入與假設!F$253),輸入與假設!F$253,"不適用")</f>
        <v>不適用</v>
      </c>
      <c r="G36" s="32" t="str">
        <f aca="false">IF(ISNUMBER(輸入與假設!G$253),輸入與假設!G$253,"不適用")</f>
        <v>不適用</v>
      </c>
      <c r="H36" s="32" t="str">
        <f aca="false">IF(ISNUMBER(輸入與假設!H$253),輸入與假設!H$253,"不適用")</f>
        <v>不適用</v>
      </c>
    </row>
    <row r="37" customFormat="false" ht="15" hidden="true" customHeight="false" outlineLevel="1" collapsed="false">
      <c r="A37" s="3" t="s">
        <v>782</v>
      </c>
      <c r="B37" s="12" t="s">
        <v>91</v>
      </c>
      <c r="C37" s="32" t="n">
        <f aca="false">IF(ISNUMBER(輸入與假設!C$254),輸入與假設!C$254,"不適用")</f>
        <v>13.5</v>
      </c>
      <c r="D37" s="32" t="str">
        <f aca="false">IF(ISNUMBER(輸入與假設!D$254),輸入與假設!D$254,"不適用")</f>
        <v>不適用</v>
      </c>
      <c r="E37" s="32" t="str">
        <f aca="false">IF(ISNUMBER(輸入與假設!E$254),輸入與假設!E$254,"不適用")</f>
        <v>不適用</v>
      </c>
      <c r="F37" s="32" t="str">
        <f aca="false">IF(ISNUMBER(輸入與假設!F$254),輸入與假設!F$254,"不適用")</f>
        <v>不適用</v>
      </c>
      <c r="G37" s="32" t="str">
        <f aca="false">IF(ISNUMBER(輸入與假設!G$254),輸入與假設!G$254,"不適用")</f>
        <v>不適用</v>
      </c>
      <c r="H37" s="32" t="str">
        <f aca="false">IF(ISNUMBER(輸入與假設!H$254),輸入與假設!H$254,"不適用")</f>
        <v>不適用</v>
      </c>
    </row>
    <row r="38" customFormat="false" ht="15" hidden="true" customHeight="false" outlineLevel="1" collapsed="false">
      <c r="A38" s="4" t="s">
        <v>783</v>
      </c>
      <c r="B38" s="12" t="s">
        <v>91</v>
      </c>
      <c r="C38" s="32" t="n">
        <f aca="false">IF(AND(ISNUMBER(C36),ISNUMBER(C37)),((C36+C37)/2),"")</f>
        <v>12.5</v>
      </c>
      <c r="D38" s="32" t="str">
        <f aca="false">IF(AND(ISNUMBER(D36),ISNUMBER(D37)),((D36+D37)/2),"")</f>
        <v/>
      </c>
      <c r="E38" s="32" t="str">
        <f aca="false">IF(AND(ISNUMBER(E36),ISNUMBER(E37)),((E36+E37)/2),"")</f>
        <v/>
      </c>
      <c r="F38" s="32" t="str">
        <f aca="false">IF(AND(ISNUMBER(F36),ISNUMBER(F37)),((F36+F37)/2),"")</f>
        <v/>
      </c>
      <c r="G38" s="32" t="str">
        <f aca="false">IF(AND(ISNUMBER(G36),ISNUMBER(G37)),((G36+G37)/2),"")</f>
        <v/>
      </c>
      <c r="H38" s="32" t="str">
        <f aca="false">IF(AND(ISNUMBER(H36),ISNUMBER(H37)),((H36+H37)/2),"")</f>
        <v/>
      </c>
      <c r="J38" s="7" t="s">
        <v>784</v>
      </c>
    </row>
    <row r="39" customFormat="false" ht="15" hidden="true" customHeight="false" outlineLevel="1" collapsed="false">
      <c r="A39" s="4" t="s">
        <v>785</v>
      </c>
      <c r="B39" s="12" t="s">
        <v>173</v>
      </c>
      <c r="C39" s="29" t="n">
        <f aca="false">IF(ISNUMBER(C38),0,C21)</f>
        <v>0</v>
      </c>
      <c r="D39" s="29" t="n">
        <f aca="false">IF(ISNUMBER(D38),0,D21)</f>
        <v>175</v>
      </c>
      <c r="E39" s="29" t="n">
        <f aca="false">IF(ISNUMBER(E38),0,E21)</f>
        <v>312.5</v>
      </c>
      <c r="F39" s="29" t="n">
        <f aca="false">IF(ISNUMBER(F38),0,F21)</f>
        <v>312.5</v>
      </c>
      <c r="G39" s="29" t="n">
        <f aca="false">IF(ISNUMBER(G38),0,G21)</f>
        <v>312.5</v>
      </c>
      <c r="H39" s="29" t="n">
        <f aca="false">IF(ISNUMBER(H38),0,H21)</f>
        <v>312.5</v>
      </c>
      <c r="J39" s="7" t="s">
        <v>786</v>
      </c>
    </row>
    <row r="40" customFormat="false" ht="15" hidden="true" customHeight="false" outlineLevel="1" collapsed="false">
      <c r="A40" s="4" t="s">
        <v>787</v>
      </c>
      <c r="B40" s="12" t="s">
        <v>91</v>
      </c>
      <c r="C40" s="32" t="n">
        <f aca="false">IF(ISNUMBER(C38),C38,IF((C39+D39)&gt;0,(輸入與假設!C$73-SUM(C38,D38))*C39/(C39+D39),(輸入與假設!C$73-SUM(C38,D38))/(2-COUNT(C38,D38))))</f>
        <v>12.5</v>
      </c>
      <c r="D40" s="32" t="n">
        <f aca="false">IF(ISNUMBER(D38),D38,IF((C39+D39)&gt;0,(輸入與假設!C$73-SUM(C38,D38))*D39/(C39+D39),(輸入與假設!C$73-SUM(C38,D38))/(2-COUNT(C38,D38))))</f>
        <v>8.336</v>
      </c>
      <c r="E40" s="32" t="n">
        <f aca="false">IF(ISNUMBER(E38),E38,IF((E39+F39+G39+H39)&gt;0,(輸入與假設!D$73-SUM(E38,F38,G38,H38))*E39/(E39+F39+G39+H39),(輸入與假設!D$73-SUM(E38,F38,G38,H38))/(4-COUNT(E38,F38,G38,H38))))</f>
        <v>9.58375</v>
      </c>
      <c r="F40" s="32" t="n">
        <f aca="false">IF(ISNUMBER(F38),F38,IF((E39+F39+G39+H39)&gt;0,(輸入與假設!D$73-SUM(E38,F38,G38,H38))*F39/(E39+F39+G39+H39),(輸入與假設!D$73-SUM(E38,F38,G38,H38))/(4-COUNT(E38,F38,G38,H38))))</f>
        <v>9.58375</v>
      </c>
      <c r="G40" s="32" t="n">
        <f aca="false">IF(ISNUMBER(G38),G38,IF((E39+F39+G39+H39)&gt;0,(輸入與假設!D$73-SUM(E38,F38,G38,H38))*G39/(E39+F39+G39+H39),(輸入與假設!D$73-SUM(E38,F38,G38,H38))/(4-COUNT(E38,F38,G38,H38))))</f>
        <v>9.58375</v>
      </c>
      <c r="H40" s="32" t="n">
        <f aca="false">IF(ISNUMBER(H38),H38,IF((E39+F39+G39+H39)&gt;0,(輸入與假設!D$73-SUM(E38,F38,G38,H38))*H39/(E39+F39+G39+H39),(輸入與假設!D$73-SUM(E38,F38,G38,H38))/(4-COUNT(E38,F38,G38,H38))))</f>
        <v>9.58375</v>
      </c>
      <c r="J40" s="7" t="s">
        <v>788</v>
      </c>
    </row>
    <row r="41" customFormat="false" ht="15" hidden="true" customHeight="false" outlineLevel="1" collapsed="false">
      <c r="A41" s="3" t="s">
        <v>789</v>
      </c>
      <c r="B41" s="12" t="s">
        <v>91</v>
      </c>
      <c r="C41" s="32" t="n">
        <f aca="false">IF(ISNUMBER(輸入與假設!$C$208),輸入與假設!$C$208,"不適用")</f>
        <v>3.541</v>
      </c>
      <c r="D41" s="32" t="n">
        <f aca="false">IF(ISNUMBER(輸入與假設!$D$208),輸入與假設!$D$208,"不適用")</f>
        <v>4.706</v>
      </c>
      <c r="E41" s="64" t="s">
        <v>742</v>
      </c>
      <c r="F41" s="64" t="s">
        <v>742</v>
      </c>
      <c r="G41" s="64" t="s">
        <v>742</v>
      </c>
      <c r="H41" s="64" t="s">
        <v>742</v>
      </c>
      <c r="J41" s="12" t="s">
        <v>790</v>
      </c>
    </row>
    <row r="42" customFormat="false" ht="15" hidden="true" customHeight="false" outlineLevel="1" collapsed="false">
      <c r="A42" s="3" t="s">
        <v>791</v>
      </c>
      <c r="B42" s="12" t="s">
        <v>91</v>
      </c>
      <c r="C42" s="64" t="n">
        <f aca="false">IF(ISNUMBER(輸入與假設!$C$209),輸入與假設!$C$209,"不適用")</f>
        <v>2.047</v>
      </c>
      <c r="D42" s="64" t="n">
        <f aca="false">IF(ISNUMBER(輸入與假設!$D$209),輸入與假設!$D$209,"不適用")</f>
        <v>2.897</v>
      </c>
      <c r="E42" s="64" t="s">
        <v>742</v>
      </c>
      <c r="F42" s="64" t="s">
        <v>742</v>
      </c>
      <c r="G42" s="64" t="s">
        <v>742</v>
      </c>
      <c r="H42" s="64" t="s">
        <v>742</v>
      </c>
      <c r="J42" s="12" t="s">
        <v>790</v>
      </c>
    </row>
    <row r="43" customFormat="false" ht="15" hidden="true" customHeight="false" outlineLevel="1" collapsed="false">
      <c r="A43" s="3" t="s">
        <v>792</v>
      </c>
      <c r="B43" s="12" t="s">
        <v>77</v>
      </c>
      <c r="C43" s="31" t="n">
        <f aca="false">IF(AND(ISNUMBER(輸入與假設!$C$209),ISNUMBER(輸入與假設!$C$208)),輸入與假設!$C$209/輸入與假設!$C$208,"不適用")</f>
        <v>0.578085286642192</v>
      </c>
      <c r="D43" s="31" t="n">
        <f aca="false">IF(AND(ISNUMBER(輸入與假設!$D$209),ISNUMBER(輸入與假設!$D$208)),輸入與假設!$D$209/輸入與假設!$D$208,"不適用")</f>
        <v>0.615597110072248</v>
      </c>
      <c r="E43" s="65" t="s">
        <v>742</v>
      </c>
      <c r="F43" s="65" t="s">
        <v>742</v>
      </c>
      <c r="G43" s="65" t="s">
        <v>742</v>
      </c>
      <c r="H43" s="65" t="s">
        <v>742</v>
      </c>
      <c r="J43" s="7" t="s">
        <v>793</v>
      </c>
    </row>
    <row r="44" customFormat="false" ht="15" hidden="true" customHeight="false" outlineLevel="1" collapsed="false">
      <c r="A44" s="3" t="s">
        <v>794</v>
      </c>
      <c r="B44" s="12" t="s">
        <v>91</v>
      </c>
      <c r="C44" s="64" t="n">
        <f aca="false">IF(ISNUMBER(輸入與假設!$C$210),輸入與假設!$C$210,"不適用")</f>
        <v>0.2408</v>
      </c>
      <c r="D44" s="64" t="n">
        <f aca="false">IF(ISNUMBER(輸入與假設!$D$210),輸入與假設!$D$210,"不適用")</f>
        <v>0.6805</v>
      </c>
      <c r="E44" s="64" t="s">
        <v>742</v>
      </c>
      <c r="F44" s="64" t="s">
        <v>742</v>
      </c>
      <c r="G44" s="64" t="s">
        <v>742</v>
      </c>
      <c r="H44" s="64" t="s">
        <v>742</v>
      </c>
      <c r="J44" s="7" t="s">
        <v>795</v>
      </c>
    </row>
    <row r="45" customFormat="false" ht="15" hidden="true" customHeight="false" outlineLevel="1" collapsed="false">
      <c r="A45" s="3" t="s">
        <v>796</v>
      </c>
      <c r="B45" s="12" t="s">
        <v>91</v>
      </c>
      <c r="C45" s="39" t="str">
        <f aca="false">IF(ISNUMBER(輸入與假設!C$241),輸入與假設!C$241,"")</f>
        <v/>
      </c>
      <c r="D45" s="39" t="str">
        <f aca="false">IF(ISNUMBER(輸入與假設!D$241),輸入與假設!D$241,"")</f>
        <v/>
      </c>
      <c r="E45" s="39" t="str">
        <f aca="false">IF(ISNUMBER(輸入與假設!E$241),輸入與假設!E$241,"")</f>
        <v/>
      </c>
      <c r="F45" s="39" t="str">
        <f aca="false">IF(ISNUMBER(輸入與假設!F$241),輸入與假設!F$241,"")</f>
        <v/>
      </c>
      <c r="G45" s="39" t="str">
        <f aca="false">IF(ISNUMBER(輸入與假設!G$241),輸入與假設!G$241,"")</f>
        <v/>
      </c>
      <c r="H45" s="39" t="str">
        <f aca="false">IF(ISNUMBER(輸入與假設!H$241),輸入與假設!H$241,"")</f>
        <v/>
      </c>
    </row>
    <row r="46" customFormat="false" ht="15" hidden="true" customHeight="false" outlineLevel="1" collapsed="false">
      <c r="A46" s="3" t="s">
        <v>797</v>
      </c>
      <c r="B46" s="12" t="s">
        <v>91</v>
      </c>
      <c r="C46" s="39" t="str">
        <f aca="false">IF(ISNUMBER(輸入與假設!C$242),輸入與假設!C$242,"")</f>
        <v/>
      </c>
      <c r="D46" s="39" t="str">
        <f aca="false">IF(ISNUMBER(輸入與假設!D$242),輸入與假設!D$242,"")</f>
        <v/>
      </c>
      <c r="E46" s="39" t="str">
        <f aca="false">IF(ISNUMBER(輸入與假設!E$242),輸入與假設!E$242,"")</f>
        <v/>
      </c>
      <c r="F46" s="39" t="str">
        <f aca="false">IF(ISNUMBER(輸入與假設!F$242),輸入與假設!F$242,"")</f>
        <v/>
      </c>
      <c r="G46" s="39" t="str">
        <f aca="false">IF(ISNUMBER(輸入與假設!G$242),輸入與假設!G$242,"")</f>
        <v/>
      </c>
      <c r="H46" s="39" t="str">
        <f aca="false">IF(ISNUMBER(輸入與假設!H$242),輸入與假設!H$242,"")</f>
        <v/>
      </c>
    </row>
    <row r="47" customFormat="false" ht="15" hidden="true" customHeight="false" outlineLevel="1" collapsed="false">
      <c r="A47" s="3" t="s">
        <v>798</v>
      </c>
      <c r="B47" s="12" t="s">
        <v>77</v>
      </c>
      <c r="C47" s="65" t="str">
        <f aca="false">IF(AND(ISNUMBER(輸入與假設!C$242),ISNUMBER(輸入與假設!C$241)),輸入與假設!C$242/輸入與假設!C$241,"")</f>
        <v/>
      </c>
      <c r="D47" s="65" t="str">
        <f aca="false">IF(AND(ISNUMBER(輸入與假設!D$242),ISNUMBER(輸入與假設!D$241)),輸入與假設!D$242/輸入與假設!D$241,"")</f>
        <v/>
      </c>
      <c r="E47" s="65" t="str">
        <f aca="false">IF(AND(ISNUMBER(輸入與假設!E$242),ISNUMBER(輸入與假設!E$241)),輸入與假設!E$242/輸入與假設!E$241,"")</f>
        <v/>
      </c>
      <c r="F47" s="65" t="str">
        <f aca="false">IF(AND(ISNUMBER(輸入與假設!F$242),ISNUMBER(輸入與假設!F$241)),輸入與假設!F$242/輸入與假設!F$241,"")</f>
        <v/>
      </c>
      <c r="G47" s="65" t="str">
        <f aca="false">IF(AND(ISNUMBER(輸入與假設!G$242),ISNUMBER(輸入與假設!G$241)),輸入與假設!G$242/輸入與假設!G$241,"")</f>
        <v/>
      </c>
      <c r="H47" s="65" t="str">
        <f aca="false">IF(AND(ISNUMBER(輸入與假設!H$242),ISNUMBER(輸入與假設!H$241)),輸入與假設!H$242/輸入與假設!H$241,"")</f>
        <v/>
      </c>
      <c r="J47" s="7" t="s">
        <v>799</v>
      </c>
    </row>
    <row r="48" customFormat="false" ht="15" hidden="true" customHeight="false" outlineLevel="1" collapsed="false">
      <c r="A48" s="3" t="s">
        <v>800</v>
      </c>
      <c r="B48" s="12" t="s">
        <v>91</v>
      </c>
      <c r="C48" s="39" t="str">
        <f aca="false">IF(ISNUMBER(輸入與假設!C$243),輸入與假設!C$243,"")</f>
        <v/>
      </c>
      <c r="D48" s="39" t="str">
        <f aca="false">IF(ISNUMBER(輸入與假設!D$243),輸入與假設!D$243,"")</f>
        <v/>
      </c>
      <c r="E48" s="39" t="str">
        <f aca="false">IF(ISNUMBER(輸入與假設!E$243),輸入與假設!E$243,"")</f>
        <v/>
      </c>
      <c r="F48" s="39" t="str">
        <f aca="false">IF(ISNUMBER(輸入與假設!F$243),輸入與假設!F$243,"")</f>
        <v/>
      </c>
      <c r="G48" s="39" t="str">
        <f aca="false">IF(ISNUMBER(輸入與假設!G$243),輸入與假設!G$243,"")</f>
        <v/>
      </c>
      <c r="H48" s="39" t="str">
        <f aca="false">IF(ISNUMBER(輸入與假設!H$243),輸入與假設!H$243,"")</f>
        <v/>
      </c>
    </row>
    <row r="49" customFormat="false" ht="15" hidden="true" customHeight="false" outlineLevel="1" collapsed="false">
      <c r="A49" s="3" t="s">
        <v>801</v>
      </c>
      <c r="B49" s="12" t="s">
        <v>91</v>
      </c>
      <c r="C49" s="39" t="str">
        <f aca="false">IF(ISNUMBER(輸入與假設!C$244),輸入與假設!C$244,"")</f>
        <v/>
      </c>
      <c r="D49" s="39" t="str">
        <f aca="false">IF(ISNUMBER(輸入與假設!D$244),輸入與假設!D$244,"")</f>
        <v/>
      </c>
      <c r="E49" s="39" t="str">
        <f aca="false">IF(ISNUMBER(輸入與假設!E$244),輸入與假設!E$244,"")</f>
        <v/>
      </c>
      <c r="F49" s="39" t="str">
        <f aca="false">IF(ISNUMBER(輸入與假設!F$244),輸入與假設!F$244,"")</f>
        <v/>
      </c>
      <c r="G49" s="39" t="str">
        <f aca="false">IF(ISNUMBER(輸入與假設!G$244),輸入與假設!G$244,"")</f>
        <v/>
      </c>
      <c r="H49" s="39" t="str">
        <f aca="false">IF(ISNUMBER(輸入與假設!H$244),輸入與假設!H$244,"")</f>
        <v/>
      </c>
    </row>
    <row r="50" customFormat="false" ht="15" hidden="true" customHeight="false" outlineLevel="1" collapsed="false">
      <c r="A50" s="3" t="s">
        <v>802</v>
      </c>
      <c r="B50" s="12" t="s">
        <v>173</v>
      </c>
      <c r="C50" s="39" t="str">
        <f aca="false">IF(ISNUMBER(輸入與假設!C$245),輸入與假設!C$245,"")</f>
        <v/>
      </c>
      <c r="D50" s="39" t="str">
        <f aca="false">IF(ISNUMBER(輸入與假設!D$245),輸入與假設!D$245,"")</f>
        <v/>
      </c>
      <c r="E50" s="39" t="str">
        <f aca="false">IF(ISNUMBER(輸入與假設!E$245),輸入與假設!E$245,"")</f>
        <v/>
      </c>
      <c r="F50" s="39" t="str">
        <f aca="false">IF(ISNUMBER(輸入與假設!F$245),輸入與假設!F$245,"")</f>
        <v/>
      </c>
      <c r="G50" s="39" t="str">
        <f aca="false">IF(ISNUMBER(輸入與假設!G$245),輸入與假設!G$245,"")</f>
        <v/>
      </c>
      <c r="H50" s="39" t="str">
        <f aca="false">IF(ISNUMBER(輸入與假設!H$245),輸入與假設!H$245,"")</f>
        <v/>
      </c>
    </row>
    <row r="51" customFormat="false" ht="15" hidden="true" customHeight="false" outlineLevel="1" collapsed="false">
      <c r="A51" s="3" t="s">
        <v>803</v>
      </c>
      <c r="B51" s="12" t="s">
        <v>77</v>
      </c>
      <c r="C51" s="65" t="n">
        <f aca="false">IF(AND(ISNUMBER(C22),ISNUMBER(C41),C41&lt;&gt;0),C22/(C41)-1,"不適用")</f>
        <v>0.0343594088298973</v>
      </c>
      <c r="D51" s="65" t="n">
        <f aca="false">IF(AND(ISNUMBER(D22),ISNUMBER(D41),D41&lt;&gt;0),D22/(D41)-1,"不適用")</f>
        <v>0.00942059781838789</v>
      </c>
      <c r="E51" s="65" t="str">
        <f aca="false">IF(AND(ISNUMBER(E22),ISNUMBER(E41),E41&lt;&gt;0),E22/(E41)-1,"不適用")</f>
        <v>不適用</v>
      </c>
      <c r="F51" s="65" t="str">
        <f aca="false">IF(AND(ISNUMBER(F22),ISNUMBER(F41),F41&lt;&gt;0),F22/(F41)-1,"不適用")</f>
        <v>不適用</v>
      </c>
      <c r="G51" s="65" t="str">
        <f aca="false">IF(AND(ISNUMBER(G22),ISNUMBER(G41),G41&lt;&gt;0),G22/(G41)-1,"不適用")</f>
        <v>不適用</v>
      </c>
      <c r="H51" s="65" t="str">
        <f aca="false">IF(AND(ISNUMBER(H22),ISNUMBER(H41),H41&lt;&gt;0),H22/(H41)-1,"不適用")</f>
        <v>不適用</v>
      </c>
    </row>
    <row r="52" customFormat="false" ht="15" hidden="true" customHeight="false" outlineLevel="1" collapsed="false">
      <c r="A52" s="3" t="s">
        <v>804</v>
      </c>
      <c r="B52" s="12" t="s">
        <v>77</v>
      </c>
      <c r="C52" s="65" t="n">
        <f aca="false">IF(AND(ISNUMBER(C22),ISNUMBER(C31),ISNUMBER(C32)),C22/(((C31+C32)/2))-1,"不適用")</f>
        <v>0.0390543735224584</v>
      </c>
      <c r="D52" s="65" t="str">
        <f aca="false">IF(AND(ISNUMBER(D22),ISNUMBER(D31),ISNUMBER(D32)),D22/(((D31+D32)/2))-1,"不適用")</f>
        <v>不適用</v>
      </c>
      <c r="E52" s="65" t="str">
        <f aca="false">IF(AND(ISNUMBER(E22),ISNUMBER(E31),ISNUMBER(E32)),E22/(((E31+E32)/2))-1,"不適用")</f>
        <v>不適用</v>
      </c>
      <c r="F52" s="65" t="str">
        <f aca="false">IF(AND(ISNUMBER(F22),ISNUMBER(F31),ISNUMBER(F32)),F22/(((F31+F32)/2))-1,"不適用")</f>
        <v>不適用</v>
      </c>
      <c r="G52" s="65" t="str">
        <f aca="false">IF(AND(ISNUMBER(G22),ISNUMBER(G31),ISNUMBER(G32)),G22/(((G31+G32)/2))-1,"不適用")</f>
        <v>不適用</v>
      </c>
      <c r="H52" s="65" t="str">
        <f aca="false">IF(AND(ISNUMBER(H22),ISNUMBER(H31),ISNUMBER(H32)),H22/(((H31+H32)/2))-1,"不適用")</f>
        <v>不適用</v>
      </c>
    </row>
    <row r="53" customFormat="false" ht="15" hidden="true" customHeight="false" outlineLevel="1" collapsed="false">
      <c r="A53" s="3" t="s">
        <v>805</v>
      </c>
      <c r="B53" s="12" t="s">
        <v>77</v>
      </c>
      <c r="C53" s="65" t="str">
        <f aca="false">IF(ISNUMBER(C45),IF(AND(ISNUMBER(C22),C22&lt;&gt;0),C45/(C22)-1,"不適用"),"")</f>
        <v/>
      </c>
      <c r="D53" s="65" t="str">
        <f aca="false">IF(ISNUMBER(D45),IF(AND(ISNUMBER(D22),D22&lt;&gt;0),D45/(D22)-1,"不適用"),"")</f>
        <v/>
      </c>
      <c r="E53" s="65" t="str">
        <f aca="false">IF(ISNUMBER(E45),IF(AND(ISNUMBER(E22),E22&lt;&gt;0),E45/(E22)-1,"不適用"),"")</f>
        <v/>
      </c>
      <c r="F53" s="65" t="str">
        <f aca="false">IF(ISNUMBER(F45),IF(AND(ISNUMBER(F22),F22&lt;&gt;0),F45/(F22)-1,"不適用"),"")</f>
        <v/>
      </c>
      <c r="G53" s="65" t="str">
        <f aca="false">IF(ISNUMBER(G45),IF(AND(ISNUMBER(G22),G22&lt;&gt;0),G45/(G22)-1,"不適用"),"")</f>
        <v/>
      </c>
      <c r="H53" s="65" t="str">
        <f aca="false">IF(ISNUMBER(H45),IF(AND(ISNUMBER(H22),H22&lt;&gt;0),H45/(H22)-1,"不適用"),"")</f>
        <v/>
      </c>
    </row>
    <row r="54" customFormat="false" ht="15" hidden="true" customHeight="false" outlineLevel="1" collapsed="false">
      <c r="A54" s="3" t="s">
        <v>806</v>
      </c>
      <c r="B54" s="12" t="s">
        <v>77</v>
      </c>
      <c r="C54" s="65" t="str">
        <f aca="false">IF(ISNUMBER(C45),IF(AND(ISNUMBER(C41),C41&lt;&gt;0),C45/(C41)-1,"不適用"),"")</f>
        <v/>
      </c>
      <c r="D54" s="65" t="str">
        <f aca="false">IF(ISNUMBER(D45),IF(AND(ISNUMBER(D41),D41&lt;&gt;0),D45/(D41)-1,"不適用"),"")</f>
        <v/>
      </c>
      <c r="E54" s="65" t="str">
        <f aca="false">IF(ISNUMBER(E45),IF(AND(ISNUMBER(E41),E41&lt;&gt;0),E45/(E41)-1,"不適用"),"")</f>
        <v/>
      </c>
      <c r="F54" s="65" t="str">
        <f aca="false">IF(ISNUMBER(F45),IF(AND(ISNUMBER(F41),F41&lt;&gt;0),F45/(F41)-1,"不適用"),"")</f>
        <v/>
      </c>
      <c r="G54" s="65" t="str">
        <f aca="false">IF(ISNUMBER(G45),IF(AND(ISNUMBER(G41),G41&lt;&gt;0),G45/(G41)-1,"不適用"),"")</f>
        <v/>
      </c>
      <c r="H54" s="65" t="str">
        <f aca="false">IF(ISNUMBER(H45),IF(AND(ISNUMBER(H41),H41&lt;&gt;0),H45/(H41)-1,"不適用"),"")</f>
        <v/>
      </c>
    </row>
    <row r="55" customFormat="false" ht="15" hidden="true" customHeight="false" outlineLevel="1" collapsed="false">
      <c r="A55" s="3" t="s">
        <v>807</v>
      </c>
      <c r="B55" s="12" t="s">
        <v>77</v>
      </c>
      <c r="C55" s="65" t="str">
        <f aca="false">IF(ISNUMBER(C45),IF(AND(ISNUMBER(C31),ISNUMBER(C32)),C45/(((C31+C32)/2))-1,"不適用"),"")</f>
        <v/>
      </c>
      <c r="D55" s="65" t="str">
        <f aca="false">IF(ISNUMBER(D45),IF(AND(ISNUMBER(D31),ISNUMBER(D32)),D45/(((D31+D32)/2))-1,"不適用"),"")</f>
        <v/>
      </c>
      <c r="E55" s="65" t="str">
        <f aca="false">IF(ISNUMBER(E45),IF(AND(ISNUMBER(E31),ISNUMBER(E32)),E45/(((E31+E32)/2))-1,"不適用"),"")</f>
        <v/>
      </c>
      <c r="F55" s="65" t="str">
        <f aca="false">IF(ISNUMBER(F45),IF(AND(ISNUMBER(F31),ISNUMBER(F32)),F45/(((F31+F32)/2))-1,"不適用"),"")</f>
        <v/>
      </c>
      <c r="G55" s="65" t="str">
        <f aca="false">IF(ISNUMBER(G45),IF(AND(ISNUMBER(G31),ISNUMBER(G32)),G45/(((G31+G32)/2))-1,"不適用"),"")</f>
        <v/>
      </c>
      <c r="H55" s="65" t="str">
        <f aca="false">IF(ISNUMBER(H45),IF(AND(ISNUMBER(H31),ISNUMBER(H32)),H45/(((H31+H32)/2))-1,"不適用"),"")</f>
        <v/>
      </c>
    </row>
    <row r="56" customFormat="false" ht="15" hidden="true" customHeight="false" outlineLevel="1" collapsed="false">
      <c r="A56" s="3" t="s">
        <v>808</v>
      </c>
      <c r="B56" s="12" t="s">
        <v>91</v>
      </c>
      <c r="C56" s="64" t="n">
        <f aca="false">IF(AND(ISNUMBER(C28),ISNUMBER(C42)),C28-(C42),"不適用")</f>
        <v>0.103961256737079</v>
      </c>
      <c r="D56" s="64" t="n">
        <f aca="false">IF(AND(ISNUMBER(D28),ISNUMBER(D42)),D28-(D42),"不適用")</f>
        <v>-0.0842912567370782</v>
      </c>
      <c r="E56" s="64" t="str">
        <f aca="false">IF(AND(ISNUMBER(E28),ISNUMBER(E42)),E28-(E42),"不適用")</f>
        <v>不適用</v>
      </c>
      <c r="F56" s="64" t="str">
        <f aca="false">IF(AND(ISNUMBER(F28),ISNUMBER(F42)),F28-(F42),"不適用")</f>
        <v>不適用</v>
      </c>
      <c r="G56" s="64" t="str">
        <f aca="false">IF(AND(ISNUMBER(G28),ISNUMBER(G42)),G28-(G42),"不適用")</f>
        <v>不適用</v>
      </c>
      <c r="H56" s="64" t="str">
        <f aca="false">IF(AND(ISNUMBER(H28),ISNUMBER(H42)),H28-(H42),"不適用")</f>
        <v>不適用</v>
      </c>
    </row>
    <row r="57" customFormat="false" ht="15" hidden="true" customHeight="false" outlineLevel="1" collapsed="false">
      <c r="A57" s="3" t="s">
        <v>809</v>
      </c>
      <c r="B57" s="12" t="s">
        <v>91</v>
      </c>
      <c r="C57" s="64" t="s">
        <v>742</v>
      </c>
      <c r="D57" s="64" t="s">
        <v>742</v>
      </c>
      <c r="E57" s="64" t="s">
        <v>742</v>
      </c>
      <c r="F57" s="64" t="s">
        <v>742</v>
      </c>
      <c r="G57" s="64" t="s">
        <v>742</v>
      </c>
      <c r="H57" s="64" t="s">
        <v>742</v>
      </c>
    </row>
    <row r="58" customFormat="false" ht="15" hidden="true" customHeight="false" outlineLevel="1" collapsed="false">
      <c r="A58" s="3" t="s">
        <v>810</v>
      </c>
      <c r="B58" s="12" t="s">
        <v>91</v>
      </c>
      <c r="C58" s="64" t="str">
        <f aca="false">IF(ISNUMBER(C46),IF(AND(ISNUMBER(C28)),C46-(C28),"不適用"),"")</f>
        <v/>
      </c>
      <c r="D58" s="64" t="str">
        <f aca="false">IF(ISNUMBER(D46),IF(AND(ISNUMBER(D28)),D46-(D28),"不適用"),"")</f>
        <v/>
      </c>
      <c r="E58" s="64" t="str">
        <f aca="false">IF(ISNUMBER(E46),IF(AND(ISNUMBER(E28)),E46-(E28),"不適用"),"")</f>
        <v/>
      </c>
      <c r="F58" s="64" t="str">
        <f aca="false">IF(ISNUMBER(F46),IF(AND(ISNUMBER(F28)),F46-(F28),"不適用"),"")</f>
        <v/>
      </c>
      <c r="G58" s="64" t="str">
        <f aca="false">IF(ISNUMBER(G46),IF(AND(ISNUMBER(G28)),G46-(G28),"不適用"),"")</f>
        <v/>
      </c>
      <c r="H58" s="64" t="str">
        <f aca="false">IF(ISNUMBER(H46),IF(AND(ISNUMBER(H28)),H46-(H28),"不適用"),"")</f>
        <v/>
      </c>
    </row>
    <row r="59" customFormat="false" ht="15" hidden="true" customHeight="false" outlineLevel="1" collapsed="false">
      <c r="A59" s="3" t="s">
        <v>811</v>
      </c>
      <c r="B59" s="12" t="s">
        <v>91</v>
      </c>
      <c r="C59" s="64" t="str">
        <f aca="false">IF(ISNUMBER(C46),IF(AND(ISNUMBER(C42)),C46-(C42),"不適用"),"")</f>
        <v/>
      </c>
      <c r="D59" s="64" t="str">
        <f aca="false">IF(ISNUMBER(D46),IF(AND(ISNUMBER(D42)),D46-(D42),"不適用"),"")</f>
        <v/>
      </c>
      <c r="E59" s="64" t="str">
        <f aca="false">IF(ISNUMBER(E46),IF(AND(ISNUMBER(E42)),E46-(E42),"不適用"),"")</f>
        <v/>
      </c>
      <c r="F59" s="64" t="str">
        <f aca="false">IF(ISNUMBER(F46),IF(AND(ISNUMBER(F42)),F46-(F42),"不適用"),"")</f>
        <v/>
      </c>
      <c r="G59" s="64" t="str">
        <f aca="false">IF(ISNUMBER(G46),IF(AND(ISNUMBER(G42)),G46-(G42),"不適用"),"")</f>
        <v/>
      </c>
      <c r="H59" s="64" t="str">
        <f aca="false">IF(ISNUMBER(H46),IF(AND(ISNUMBER(H42)),H46-(H42),"不適用"),"")</f>
        <v/>
      </c>
    </row>
    <row r="60" customFormat="false" ht="15" hidden="true" customHeight="false" outlineLevel="1" collapsed="false">
      <c r="A60" s="3" t="s">
        <v>812</v>
      </c>
      <c r="B60" s="12" t="s">
        <v>91</v>
      </c>
      <c r="C60" s="64" t="str">
        <f aca="false">IF(ISNUMBER(C46),"不適用","")</f>
        <v/>
      </c>
      <c r="D60" s="64" t="str">
        <f aca="false">IF(ISNUMBER(D46),"不適用","")</f>
        <v/>
      </c>
      <c r="E60" s="64" t="str">
        <f aca="false">IF(ISNUMBER(E46),"不適用","")</f>
        <v/>
      </c>
      <c r="F60" s="64" t="str">
        <f aca="false">IF(ISNUMBER(F46),"不適用","")</f>
        <v/>
      </c>
      <c r="G60" s="64" t="str">
        <f aca="false">IF(ISNUMBER(G46),"不適用","")</f>
        <v/>
      </c>
      <c r="H60" s="64" t="str">
        <f aca="false">IF(ISNUMBER(H46),"不適用","")</f>
        <v/>
      </c>
    </row>
    <row r="61" customFormat="false" ht="15" hidden="true" customHeight="false" outlineLevel="1" collapsed="false">
      <c r="A61" s="3" t="s">
        <v>813</v>
      </c>
      <c r="B61" s="12" t="s">
        <v>103</v>
      </c>
      <c r="C61" s="65" t="n">
        <f aca="false">IF(AND(ISNUMBER(C28),ISNUMBER(C22),C22&lt;&gt;0,ISNUMBER(C42),ISNUMBER(C41),C41&lt;&gt;0),C28/C22-C42/C41,"不適用")</f>
        <v>0.00918116496057853</v>
      </c>
      <c r="D61" s="65" t="n">
        <f aca="false">IF(AND(ISNUMBER(D28),ISNUMBER(D22),D22&lt;&gt;0,ISNUMBER(D42),ISNUMBER(D41),D41&lt;&gt;0),D28/D22-D42/D41,"不適用")</f>
        <v>-0.0234894523788396</v>
      </c>
      <c r="E61" s="65" t="str">
        <f aca="false">IF(AND(ISNUMBER(E28),ISNUMBER(E22),E22&lt;&gt;0,ISNUMBER(E42),ISNUMBER(E41),E41&lt;&gt;0),E28/E22-E42/E41,"不適用")</f>
        <v>不適用</v>
      </c>
      <c r="F61" s="65" t="str">
        <f aca="false">IF(AND(ISNUMBER(F28),ISNUMBER(F22),F22&lt;&gt;0,ISNUMBER(F42),ISNUMBER(F41),F41&lt;&gt;0),F28/F22-F42/F41,"不適用")</f>
        <v>不適用</v>
      </c>
      <c r="G61" s="65" t="str">
        <f aca="false">IF(AND(ISNUMBER(G28),ISNUMBER(G22),G22&lt;&gt;0,ISNUMBER(G42),ISNUMBER(G41),G41&lt;&gt;0),G28/G22-G42/G41,"不適用")</f>
        <v>不適用</v>
      </c>
      <c r="H61" s="65" t="str">
        <f aca="false">IF(AND(ISNUMBER(H28),ISNUMBER(H22),H22&lt;&gt;0,ISNUMBER(H42),ISNUMBER(H41),H41&lt;&gt;0),H28/H22-H42/H41,"不適用")</f>
        <v>不適用</v>
      </c>
    </row>
    <row r="62" customFormat="false" ht="15" hidden="true" customHeight="false" outlineLevel="1" collapsed="false">
      <c r="A62" s="3" t="s">
        <v>814</v>
      </c>
      <c r="B62" s="12" t="s">
        <v>103</v>
      </c>
      <c r="C62" s="65" t="s">
        <v>742</v>
      </c>
      <c r="D62" s="65" t="s">
        <v>742</v>
      </c>
      <c r="E62" s="65" t="s">
        <v>742</v>
      </c>
      <c r="F62" s="65" t="s">
        <v>742</v>
      </c>
      <c r="G62" s="65" t="s">
        <v>742</v>
      </c>
      <c r="H62" s="65" t="s">
        <v>742</v>
      </c>
    </row>
    <row r="63" customFormat="false" ht="15" hidden="true" customHeight="false" outlineLevel="1" collapsed="false">
      <c r="A63" s="3" t="s">
        <v>815</v>
      </c>
      <c r="B63" s="12" t="s">
        <v>103</v>
      </c>
      <c r="C63" s="65" t="str">
        <f aca="false">IF(ISNUMBER(C46),IF(AND(ISNUMBER(C46),ISNUMBER(C45),C45&lt;&gt;0,ISNUMBER(C28),ISNUMBER(C22),C22&lt;&gt;0),C46/C45-C28/C22,"不適用"),"")</f>
        <v/>
      </c>
      <c r="D63" s="65" t="str">
        <f aca="false">IF(ISNUMBER(D46),IF(AND(ISNUMBER(D46),ISNUMBER(D45),D45&lt;&gt;0,ISNUMBER(D28),ISNUMBER(D22),D22&lt;&gt;0),D46/D45-D28/D22,"不適用"),"")</f>
        <v/>
      </c>
      <c r="E63" s="65" t="str">
        <f aca="false">IF(ISNUMBER(E46),IF(AND(ISNUMBER(E46),ISNUMBER(E45),E45&lt;&gt;0,ISNUMBER(E28),ISNUMBER(E22),E22&lt;&gt;0),E46/E45-E28/E22,"不適用"),"")</f>
        <v/>
      </c>
      <c r="F63" s="65" t="str">
        <f aca="false">IF(ISNUMBER(F46),IF(AND(ISNUMBER(F46),ISNUMBER(F45),F45&lt;&gt;0,ISNUMBER(F28),ISNUMBER(F22),F22&lt;&gt;0),F46/F45-F28/F22,"不適用"),"")</f>
        <v/>
      </c>
      <c r="G63" s="65" t="str">
        <f aca="false">IF(ISNUMBER(G46),IF(AND(ISNUMBER(G46),ISNUMBER(G45),G45&lt;&gt;0,ISNUMBER(G28),ISNUMBER(G22),G22&lt;&gt;0),G46/G45-G28/G22,"不適用"),"")</f>
        <v/>
      </c>
      <c r="H63" s="65" t="str">
        <f aca="false">IF(ISNUMBER(H46),IF(AND(ISNUMBER(H46),ISNUMBER(H45),H45&lt;&gt;0,ISNUMBER(H28),ISNUMBER(H22),H22&lt;&gt;0),H46/H45-H28/H22,"不適用"),"")</f>
        <v/>
      </c>
    </row>
    <row r="64" customFormat="false" ht="15" hidden="true" customHeight="false" outlineLevel="1" collapsed="false">
      <c r="A64" s="3" t="s">
        <v>816</v>
      </c>
      <c r="B64" s="12" t="s">
        <v>103</v>
      </c>
      <c r="C64" s="65" t="str">
        <f aca="false">IF(ISNUMBER(C46),IF(AND(ISNUMBER(C46),ISNUMBER(C45),C45&lt;&gt;0,ISNUMBER(C42),ISNUMBER(C41),C41&lt;&gt;0),C46/C45-C42/C41,"不適用"),"")</f>
        <v/>
      </c>
      <c r="D64" s="65" t="str">
        <f aca="false">IF(ISNUMBER(D46),IF(AND(ISNUMBER(D46),ISNUMBER(D45),D45&lt;&gt;0,ISNUMBER(D42),ISNUMBER(D41),D41&lt;&gt;0),D46/D45-D42/D41,"不適用"),"")</f>
        <v/>
      </c>
      <c r="E64" s="65" t="str">
        <f aca="false">IF(ISNUMBER(E46),IF(AND(ISNUMBER(E46),ISNUMBER(E45),E45&lt;&gt;0,ISNUMBER(E42),ISNUMBER(E41),E41&lt;&gt;0),E46/E45-E42/E41,"不適用"),"")</f>
        <v/>
      </c>
      <c r="F64" s="65" t="str">
        <f aca="false">IF(ISNUMBER(F46),IF(AND(ISNUMBER(F46),ISNUMBER(F45),F45&lt;&gt;0,ISNUMBER(F42),ISNUMBER(F41),F41&lt;&gt;0),F46/F45-F42/F41,"不適用"),"")</f>
        <v/>
      </c>
      <c r="G64" s="65" t="str">
        <f aca="false">IF(ISNUMBER(G46),IF(AND(ISNUMBER(G46),ISNUMBER(G45),G45&lt;&gt;0,ISNUMBER(G42),ISNUMBER(G41),G41&lt;&gt;0),G46/G45-G42/G41,"不適用"),"")</f>
        <v/>
      </c>
      <c r="H64" s="65" t="str">
        <f aca="false">IF(ISNUMBER(H46),IF(AND(ISNUMBER(H46),ISNUMBER(H45),H45&lt;&gt;0,ISNUMBER(H42),ISNUMBER(H41),H41&lt;&gt;0),H46/H45-H42/H41,"不適用"),"")</f>
        <v/>
      </c>
    </row>
    <row r="65" customFormat="false" ht="15" hidden="true" customHeight="false" outlineLevel="1" collapsed="false">
      <c r="A65" s="3" t="s">
        <v>817</v>
      </c>
      <c r="B65" s="12" t="s">
        <v>103</v>
      </c>
      <c r="C65" s="65" t="str">
        <f aca="false">IF(ISNUMBER(C46),"不適用","")</f>
        <v/>
      </c>
      <c r="D65" s="65" t="str">
        <f aca="false">IF(ISNUMBER(D46),"不適用","")</f>
        <v/>
      </c>
      <c r="E65" s="65" t="str">
        <f aca="false">IF(ISNUMBER(E46),"不適用","")</f>
        <v/>
      </c>
      <c r="F65" s="65" t="str">
        <f aca="false">IF(ISNUMBER(F46),"不適用","")</f>
        <v/>
      </c>
      <c r="G65" s="65" t="str">
        <f aca="false">IF(ISNUMBER(G46),"不適用","")</f>
        <v/>
      </c>
      <c r="H65" s="65" t="str">
        <f aca="false">IF(ISNUMBER(H46),"不適用","")</f>
        <v/>
      </c>
    </row>
    <row r="66" customFormat="false" ht="15" hidden="true" customHeight="false" outlineLevel="1" collapsed="false">
      <c r="A66" s="3" t="s">
        <v>818</v>
      </c>
      <c r="B66" s="12" t="s">
        <v>103</v>
      </c>
      <c r="C66" s="65" t="n">
        <f aca="false">IF(AND(ISNUMBER(C27),ISNUMBER(C43)),C27-(C43),"不適用")</f>
        <v>0.00918116496057853</v>
      </c>
      <c r="D66" s="65" t="n">
        <f aca="false">IF(AND(ISNUMBER(D27),ISNUMBER(D43)),D27-(D43),"不適用")</f>
        <v>-0.0234894523788396</v>
      </c>
      <c r="E66" s="65" t="str">
        <f aca="false">IF(AND(ISNUMBER(E27),ISNUMBER(E43)),E27-(E43),"不適用")</f>
        <v>不適用</v>
      </c>
      <c r="F66" s="65" t="str">
        <f aca="false">IF(AND(ISNUMBER(F27),ISNUMBER(F43)),F27-(F43),"不適用")</f>
        <v>不適用</v>
      </c>
      <c r="G66" s="65" t="str">
        <f aca="false">IF(AND(ISNUMBER(G27),ISNUMBER(G43)),G27-(G43),"不適用")</f>
        <v>不適用</v>
      </c>
      <c r="H66" s="65" t="str">
        <f aca="false">IF(AND(ISNUMBER(H27),ISNUMBER(H43)),H27-(H43),"不適用")</f>
        <v>不適用</v>
      </c>
    </row>
    <row r="67" customFormat="false" ht="15" hidden="true" customHeight="false" outlineLevel="1" collapsed="false">
      <c r="A67" s="3" t="s">
        <v>819</v>
      </c>
      <c r="B67" s="12" t="s">
        <v>103</v>
      </c>
      <c r="C67" s="65" t="s">
        <v>742</v>
      </c>
      <c r="D67" s="65" t="s">
        <v>742</v>
      </c>
      <c r="E67" s="65" t="s">
        <v>742</v>
      </c>
      <c r="F67" s="65" t="s">
        <v>742</v>
      </c>
      <c r="G67" s="65" t="s">
        <v>742</v>
      </c>
      <c r="H67" s="65" t="s">
        <v>742</v>
      </c>
    </row>
    <row r="68" customFormat="false" ht="15" hidden="true" customHeight="false" outlineLevel="1" collapsed="false">
      <c r="A68" s="3" t="s">
        <v>820</v>
      </c>
      <c r="B68" s="12" t="s">
        <v>103</v>
      </c>
      <c r="C68" s="65" t="str">
        <f aca="false">IF(ISNUMBER(C47),IF(AND(ISNUMBER(C27)),C47-(C27),"不適用"),"")</f>
        <v/>
      </c>
      <c r="D68" s="65" t="str">
        <f aca="false">IF(ISNUMBER(D47),IF(AND(ISNUMBER(D27)),D47-(D27),"不適用"),"")</f>
        <v/>
      </c>
      <c r="E68" s="65" t="str">
        <f aca="false">IF(ISNUMBER(E47),IF(AND(ISNUMBER(E27)),E47-(E27),"不適用"),"")</f>
        <v/>
      </c>
      <c r="F68" s="65" t="str">
        <f aca="false">IF(ISNUMBER(F47),IF(AND(ISNUMBER(F27)),F47-(F27),"不適用"),"")</f>
        <v/>
      </c>
      <c r="G68" s="65" t="str">
        <f aca="false">IF(ISNUMBER(G47),IF(AND(ISNUMBER(G27)),G47-(G27),"不適用"),"")</f>
        <v/>
      </c>
      <c r="H68" s="65" t="str">
        <f aca="false">IF(ISNUMBER(H47),IF(AND(ISNUMBER(H27)),H47-(H27),"不適用"),"")</f>
        <v/>
      </c>
    </row>
    <row r="69" customFormat="false" ht="15" hidden="true" customHeight="false" outlineLevel="1" collapsed="false">
      <c r="A69" s="3" t="s">
        <v>821</v>
      </c>
      <c r="B69" s="12" t="s">
        <v>103</v>
      </c>
      <c r="C69" s="65" t="str">
        <f aca="false">IF(ISNUMBER(C47),IF(AND(ISNUMBER(C43)),C47-(C43),"不適用"),"")</f>
        <v/>
      </c>
      <c r="D69" s="65" t="str">
        <f aca="false">IF(ISNUMBER(D47),IF(AND(ISNUMBER(D43)),D47-(D43),"不適用"),"")</f>
        <v/>
      </c>
      <c r="E69" s="65" t="str">
        <f aca="false">IF(ISNUMBER(E47),IF(AND(ISNUMBER(E43)),E47-(E43),"不適用"),"")</f>
        <v/>
      </c>
      <c r="F69" s="65" t="str">
        <f aca="false">IF(ISNUMBER(F47),IF(AND(ISNUMBER(F43)),F47-(F43),"不適用"),"")</f>
        <v/>
      </c>
      <c r="G69" s="65" t="str">
        <f aca="false">IF(ISNUMBER(G47),IF(AND(ISNUMBER(G43)),G47-(G43),"不適用"),"")</f>
        <v/>
      </c>
      <c r="H69" s="65" t="str">
        <f aca="false">IF(ISNUMBER(H47),IF(AND(ISNUMBER(H43)),H47-(H43),"不適用"),"")</f>
        <v/>
      </c>
    </row>
    <row r="70" customFormat="false" ht="15" hidden="true" customHeight="false" outlineLevel="1" collapsed="false">
      <c r="A70" s="3" t="s">
        <v>822</v>
      </c>
      <c r="B70" s="12" t="s">
        <v>103</v>
      </c>
      <c r="C70" s="65" t="str">
        <f aca="false">IF(ISNUMBER(C47),"不適用","")</f>
        <v/>
      </c>
      <c r="D70" s="65" t="str">
        <f aca="false">IF(ISNUMBER(D47),"不適用","")</f>
        <v/>
      </c>
      <c r="E70" s="65" t="str">
        <f aca="false">IF(ISNUMBER(E47),"不適用","")</f>
        <v/>
      </c>
      <c r="F70" s="65" t="str">
        <f aca="false">IF(ISNUMBER(F47),"不適用","")</f>
        <v/>
      </c>
      <c r="G70" s="65" t="str">
        <f aca="false">IF(ISNUMBER(G47),"不適用","")</f>
        <v/>
      </c>
      <c r="H70" s="65" t="str">
        <f aca="false">IF(ISNUMBER(H47),"不適用","")</f>
        <v/>
      </c>
    </row>
    <row r="71" customFormat="false" ht="15" hidden="true" customHeight="false" outlineLevel="1" collapsed="false">
      <c r="A71" s="3" t="s">
        <v>823</v>
      </c>
      <c r="B71" s="12" t="s">
        <v>91</v>
      </c>
      <c r="C71" s="64" t="s">
        <v>742</v>
      </c>
      <c r="D71" s="64" t="s">
        <v>742</v>
      </c>
      <c r="E71" s="64" t="s">
        <v>742</v>
      </c>
      <c r="F71" s="64" t="s">
        <v>742</v>
      </c>
      <c r="G71" s="64" t="s">
        <v>742</v>
      </c>
      <c r="H71" s="64" t="s">
        <v>742</v>
      </c>
    </row>
    <row r="72" customFormat="false" ht="15" hidden="true" customHeight="false" outlineLevel="1" collapsed="false">
      <c r="A72" s="3" t="s">
        <v>824</v>
      </c>
      <c r="B72" s="12" t="s">
        <v>91</v>
      </c>
      <c r="C72" s="64" t="n">
        <f aca="false">IF(AND(ISNUMBER(C30),ISNUMBER(C33),ISNUMBER(C34)),C30-(((C33+C34)/2)),"不適用")</f>
        <v>-0.243413743262921</v>
      </c>
      <c r="D72" s="64" t="str">
        <f aca="false">IF(AND(ISNUMBER(D30),ISNUMBER(D33),ISNUMBER(D34)),D30-(((D33+D34)/2)),"不適用")</f>
        <v>不適用</v>
      </c>
      <c r="E72" s="64" t="str">
        <f aca="false">IF(AND(ISNUMBER(E30),ISNUMBER(E33),ISNUMBER(E34)),E30-(((E33+E34)/2)),"不適用")</f>
        <v>不適用</v>
      </c>
      <c r="F72" s="64" t="str">
        <f aca="false">IF(AND(ISNUMBER(F30),ISNUMBER(F33),ISNUMBER(F34)),F30-(((F33+F34)/2)),"不適用")</f>
        <v>不適用</v>
      </c>
      <c r="G72" s="64" t="str">
        <f aca="false">IF(AND(ISNUMBER(G30),ISNUMBER(G33),ISNUMBER(G34)),G30-(((G33+G34)/2)),"不適用")</f>
        <v>不適用</v>
      </c>
      <c r="H72" s="64" t="str">
        <f aca="false">IF(AND(ISNUMBER(H30),ISNUMBER(H33),ISNUMBER(H34)),H30-(((H33+H34)/2)),"不適用")</f>
        <v>不適用</v>
      </c>
    </row>
    <row r="73" customFormat="false" ht="15" hidden="true" customHeight="false" outlineLevel="1" collapsed="false">
      <c r="A73" s="3" t="s">
        <v>825</v>
      </c>
      <c r="B73" s="12" t="s">
        <v>91</v>
      </c>
      <c r="C73" s="64" t="str">
        <f aca="false">IF(ISNUMBER(C48),IF(AND(ISNUMBER(C30)),C48-(C30),"不適用"),"")</f>
        <v/>
      </c>
      <c r="D73" s="64" t="str">
        <f aca="false">IF(ISNUMBER(D48),IF(AND(ISNUMBER(D30)),D48-(D30),"不適用"),"")</f>
        <v/>
      </c>
      <c r="E73" s="64" t="str">
        <f aca="false">IF(ISNUMBER(E48),IF(AND(ISNUMBER(E30)),E48-(E30),"不適用"),"")</f>
        <v/>
      </c>
      <c r="F73" s="64" t="str">
        <f aca="false">IF(ISNUMBER(F48),IF(AND(ISNUMBER(F30)),F48-(F30),"不適用"),"")</f>
        <v/>
      </c>
      <c r="G73" s="64" t="str">
        <f aca="false">IF(ISNUMBER(G48),IF(AND(ISNUMBER(G30)),G48-(G30),"不適用"),"")</f>
        <v/>
      </c>
      <c r="H73" s="64" t="str">
        <f aca="false">IF(ISNUMBER(H48),IF(AND(ISNUMBER(H30)),H48-(H30),"不適用"),"")</f>
        <v/>
      </c>
    </row>
    <row r="74" customFormat="false" ht="15" hidden="true" customHeight="false" outlineLevel="1" collapsed="false">
      <c r="A74" s="3" t="s">
        <v>826</v>
      </c>
      <c r="B74" s="12" t="s">
        <v>91</v>
      </c>
      <c r="C74" s="64" t="str">
        <f aca="false">IF(ISNUMBER(C48),"不適用","")</f>
        <v/>
      </c>
      <c r="D74" s="64" t="str">
        <f aca="false">IF(ISNUMBER(D48),"不適用","")</f>
        <v/>
      </c>
      <c r="E74" s="64" t="str">
        <f aca="false">IF(ISNUMBER(E48),"不適用","")</f>
        <v/>
      </c>
      <c r="F74" s="64" t="str">
        <f aca="false">IF(ISNUMBER(F48),"不適用","")</f>
        <v/>
      </c>
      <c r="G74" s="64" t="str">
        <f aca="false">IF(ISNUMBER(G48),"不適用","")</f>
        <v/>
      </c>
      <c r="H74" s="64" t="str">
        <f aca="false">IF(ISNUMBER(H48),"不適用","")</f>
        <v/>
      </c>
    </row>
    <row r="75" customFormat="false" ht="15" hidden="true" customHeight="false" outlineLevel="1" collapsed="false">
      <c r="A75" s="3" t="s">
        <v>827</v>
      </c>
      <c r="B75" s="12" t="s">
        <v>91</v>
      </c>
      <c r="C75" s="64" t="str">
        <f aca="false">IF(ISNUMBER(C48),IF(AND(ISNUMBER(C33),ISNUMBER(C34)),C48-(((C33+C34)/2)),"不適用"),"")</f>
        <v/>
      </c>
      <c r="D75" s="64" t="str">
        <f aca="false">IF(ISNUMBER(D48),IF(AND(ISNUMBER(D33),ISNUMBER(D34)),D48-(((D33+D34)/2)),"不適用"),"")</f>
        <v/>
      </c>
      <c r="E75" s="64" t="str">
        <f aca="false">IF(ISNUMBER(E48),IF(AND(ISNUMBER(E33),ISNUMBER(E34)),E48-(((E33+E34)/2)),"不適用"),"")</f>
        <v/>
      </c>
      <c r="F75" s="64" t="str">
        <f aca="false">IF(ISNUMBER(F48),IF(AND(ISNUMBER(F33),ISNUMBER(F34)),F48-(((F33+F34)/2)),"不適用"),"")</f>
        <v/>
      </c>
      <c r="G75" s="64" t="str">
        <f aca="false">IF(ISNUMBER(G48),IF(AND(ISNUMBER(G33),ISNUMBER(G34)),G48-(((G33+G34)/2)),"不適用"),"")</f>
        <v/>
      </c>
      <c r="H75" s="64" t="str">
        <f aca="false">IF(ISNUMBER(H48),IF(AND(ISNUMBER(H33),ISNUMBER(H34)),H48-(((H33+H34)/2)),"不適用"),"")</f>
        <v/>
      </c>
    </row>
    <row r="76" customFormat="false" ht="15" hidden="true" customHeight="false" outlineLevel="1" collapsed="false">
      <c r="A76" s="3" t="s">
        <v>828</v>
      </c>
      <c r="B76" s="12" t="s">
        <v>103</v>
      </c>
      <c r="C76" s="65" t="s">
        <v>742</v>
      </c>
      <c r="D76" s="65" t="s">
        <v>742</v>
      </c>
      <c r="E76" s="65" t="s">
        <v>742</v>
      </c>
      <c r="F76" s="65" t="s">
        <v>742</v>
      </c>
      <c r="G76" s="65" t="s">
        <v>742</v>
      </c>
      <c r="H76" s="65" t="s">
        <v>742</v>
      </c>
    </row>
    <row r="77" customFormat="false" ht="15" hidden="true" customHeight="false" outlineLevel="1" collapsed="false">
      <c r="A77" s="3" t="s">
        <v>829</v>
      </c>
      <c r="B77" s="12" t="s">
        <v>103</v>
      </c>
      <c r="C77" s="65" t="n">
        <f aca="false">IF(AND(ISNUMBER(C30),ISNUMBER(C22),C22&lt;&gt;0,ISNUMBER(C33),ISNUMBER(C34),ISNUMBER(C31),ISNUMBER(C32)),C30/C22-((C33+C34)/2)/((C31+C32)/2),"不適用")</f>
        <v>-0.0689105157917055</v>
      </c>
      <c r="D77" s="65" t="str">
        <f aca="false">IF(AND(ISNUMBER(D30),ISNUMBER(D22),D22&lt;&gt;0,ISNUMBER(D33),ISNUMBER(D34),ISNUMBER(D31),ISNUMBER(D32)),D30/D22-((D33+D34)/2)/((D31+D32)/2),"不適用")</f>
        <v>不適用</v>
      </c>
      <c r="E77" s="65" t="str">
        <f aca="false">IF(AND(ISNUMBER(E30),ISNUMBER(E22),E22&lt;&gt;0,ISNUMBER(E33),ISNUMBER(E34),ISNUMBER(E31),ISNUMBER(E32)),E30/E22-((E33+E34)/2)/((E31+E32)/2),"不適用")</f>
        <v>不適用</v>
      </c>
      <c r="F77" s="65" t="str">
        <f aca="false">IF(AND(ISNUMBER(F30),ISNUMBER(F22),F22&lt;&gt;0,ISNUMBER(F33),ISNUMBER(F34),ISNUMBER(F31),ISNUMBER(F32)),F30/F22-((F33+F34)/2)/((F31+F32)/2),"不適用")</f>
        <v>不適用</v>
      </c>
      <c r="G77" s="65" t="str">
        <f aca="false">IF(AND(ISNUMBER(G30),ISNUMBER(G22),G22&lt;&gt;0,ISNUMBER(G33),ISNUMBER(G34),ISNUMBER(G31),ISNUMBER(G32)),G30/G22-((G33+G34)/2)/((G31+G32)/2),"不適用")</f>
        <v>不適用</v>
      </c>
      <c r="H77" s="65" t="str">
        <f aca="false">IF(AND(ISNUMBER(H30),ISNUMBER(H22),H22&lt;&gt;0,ISNUMBER(H33),ISNUMBER(H34),ISNUMBER(H31),ISNUMBER(H32)),H30/H22-((H33+H34)/2)/((H31+H32)/2),"不適用")</f>
        <v>不適用</v>
      </c>
    </row>
    <row r="78" customFormat="false" ht="15" hidden="true" customHeight="false" outlineLevel="1" collapsed="false">
      <c r="A78" s="3" t="s">
        <v>830</v>
      </c>
      <c r="B78" s="12" t="s">
        <v>103</v>
      </c>
      <c r="C78" s="65" t="str">
        <f aca="false">IF(ISNUMBER(C48),IF(AND(ISNUMBER(C48),ISNUMBER(C45),C45&lt;&gt;0,ISNUMBER(C30),ISNUMBER(C22),C22&lt;&gt;0),C48/C45-C30/C22,"不適用"),"")</f>
        <v/>
      </c>
      <c r="D78" s="65" t="str">
        <f aca="false">IF(ISNUMBER(D48),IF(AND(ISNUMBER(D48),ISNUMBER(D45),D45&lt;&gt;0,ISNUMBER(D30),ISNUMBER(D22),D22&lt;&gt;0),D48/D45-D30/D22,"不適用"),"")</f>
        <v/>
      </c>
      <c r="E78" s="65" t="str">
        <f aca="false">IF(ISNUMBER(E48),IF(AND(ISNUMBER(E48),ISNUMBER(E45),E45&lt;&gt;0,ISNUMBER(E30),ISNUMBER(E22),E22&lt;&gt;0),E48/E45-E30/E22,"不適用"),"")</f>
        <v/>
      </c>
      <c r="F78" s="65" t="str">
        <f aca="false">IF(ISNUMBER(F48),IF(AND(ISNUMBER(F48),ISNUMBER(F45),F45&lt;&gt;0,ISNUMBER(F30),ISNUMBER(F22),F22&lt;&gt;0),F48/F45-F30/F22,"不適用"),"")</f>
        <v/>
      </c>
      <c r="G78" s="65" t="str">
        <f aca="false">IF(ISNUMBER(G48),IF(AND(ISNUMBER(G48),ISNUMBER(G45),G45&lt;&gt;0,ISNUMBER(G30),ISNUMBER(G22),G22&lt;&gt;0),G48/G45-G30/G22,"不適用"),"")</f>
        <v/>
      </c>
      <c r="H78" s="65" t="str">
        <f aca="false">IF(ISNUMBER(H48),IF(AND(ISNUMBER(H48),ISNUMBER(H45),H45&lt;&gt;0,ISNUMBER(H30),ISNUMBER(H22),H22&lt;&gt;0),H48/H45-H30/H22,"不適用"),"")</f>
        <v/>
      </c>
    </row>
    <row r="79" customFormat="false" ht="15" hidden="true" customHeight="false" outlineLevel="1" collapsed="false">
      <c r="A79" s="3" t="s">
        <v>831</v>
      </c>
      <c r="B79" s="12" t="s">
        <v>103</v>
      </c>
      <c r="C79" s="65" t="str">
        <f aca="false">IF(ISNUMBER(C48),"不適用","")</f>
        <v/>
      </c>
      <c r="D79" s="65" t="str">
        <f aca="false">IF(ISNUMBER(D48),"不適用","")</f>
        <v/>
      </c>
      <c r="E79" s="65" t="str">
        <f aca="false">IF(ISNUMBER(E48),"不適用","")</f>
        <v/>
      </c>
      <c r="F79" s="65" t="str">
        <f aca="false">IF(ISNUMBER(F48),"不適用","")</f>
        <v/>
      </c>
      <c r="G79" s="65" t="str">
        <f aca="false">IF(ISNUMBER(G48),"不適用","")</f>
        <v/>
      </c>
      <c r="H79" s="65" t="str">
        <f aca="false">IF(ISNUMBER(H48),"不適用","")</f>
        <v/>
      </c>
    </row>
    <row r="80" customFormat="false" ht="15" hidden="true" customHeight="false" outlineLevel="1" collapsed="false">
      <c r="A80" s="3" t="s">
        <v>832</v>
      </c>
      <c r="B80" s="12" t="s">
        <v>103</v>
      </c>
      <c r="C80" s="65" t="str">
        <f aca="false">IF(ISNUMBER(C48),IF(AND(ISNUMBER(C48),ISNUMBER(C45),C45&lt;&gt;0,ISNUMBER(C33),ISNUMBER(C34),ISNUMBER(C31),ISNUMBER(C32)),C48/C45-((C33+C34)/2)/((C31+C32)/2),"不適用"),"")</f>
        <v/>
      </c>
      <c r="D80" s="65" t="str">
        <f aca="false">IF(ISNUMBER(D48),IF(AND(ISNUMBER(D48),ISNUMBER(D45),D45&lt;&gt;0,ISNUMBER(D33),ISNUMBER(D34),ISNUMBER(D31),ISNUMBER(D32)),D48/D45-((D33+D34)/2)/((D31+D32)/2),"不適用"),"")</f>
        <v/>
      </c>
      <c r="E80" s="65" t="str">
        <f aca="false">IF(ISNUMBER(E48),IF(AND(ISNUMBER(E48),ISNUMBER(E45),E45&lt;&gt;0,ISNUMBER(E33),ISNUMBER(E34),ISNUMBER(E31),ISNUMBER(E32)),E48/E45-((E33+E34)/2)/((E31+E32)/2),"不適用"),"")</f>
        <v/>
      </c>
      <c r="F80" s="65" t="str">
        <f aca="false">IF(ISNUMBER(F48),IF(AND(ISNUMBER(F48),ISNUMBER(F45),F45&lt;&gt;0,ISNUMBER(F33),ISNUMBER(F34),ISNUMBER(F31),ISNUMBER(F32)),F48/F45-((F33+F34)/2)/((F31+F32)/2),"不適用"),"")</f>
        <v/>
      </c>
      <c r="G80" s="65" t="str">
        <f aca="false">IF(ISNUMBER(G48),IF(AND(ISNUMBER(G48),ISNUMBER(G45),G45&lt;&gt;0,ISNUMBER(G33),ISNUMBER(G34),ISNUMBER(G31),ISNUMBER(G32)),G48/G45-((G33+G34)/2)/((G31+G32)/2),"不適用"),"")</f>
        <v/>
      </c>
      <c r="H80" s="65" t="str">
        <f aca="false">IF(ISNUMBER(H48),IF(AND(ISNUMBER(H48),ISNUMBER(H45),H45&lt;&gt;0,ISNUMBER(H33),ISNUMBER(H34),ISNUMBER(H31),ISNUMBER(H32)),H48/H45-((H33+H34)/2)/((H31+H32)/2),"不適用"),"")</f>
        <v/>
      </c>
    </row>
    <row r="81" customFormat="false" ht="15" hidden="true" customHeight="false" outlineLevel="1" collapsed="false">
      <c r="A81" s="3" t="s">
        <v>833</v>
      </c>
      <c r="B81" s="12" t="s">
        <v>77</v>
      </c>
      <c r="C81" s="65" t="s">
        <v>742</v>
      </c>
      <c r="D81" s="65" t="s">
        <v>742</v>
      </c>
      <c r="E81" s="65" t="s">
        <v>742</v>
      </c>
      <c r="F81" s="65" t="s">
        <v>742</v>
      </c>
      <c r="G81" s="65" t="s">
        <v>742</v>
      </c>
      <c r="H81" s="65" t="s">
        <v>742</v>
      </c>
    </row>
    <row r="82" customFormat="false" ht="15" hidden="true" customHeight="false" outlineLevel="1" collapsed="false">
      <c r="A82" s="3" t="s">
        <v>834</v>
      </c>
      <c r="B82" s="12" t="s">
        <v>77</v>
      </c>
      <c r="C82" s="65" t="n">
        <f aca="false">IF(AND(ISNUMBER(C40),ISNUMBER(C36),ISNUMBER(C37)),C40/(((C36+C37)/2))-1,"不適用")</f>
        <v>0</v>
      </c>
      <c r="D82" s="65" t="str">
        <f aca="false">IF(AND(ISNUMBER(D40),ISNUMBER(D36),ISNUMBER(D37)),D40/(((D36+D37)/2))-1,"不適用")</f>
        <v>不適用</v>
      </c>
      <c r="E82" s="65" t="str">
        <f aca="false">IF(AND(ISNUMBER(E40),ISNUMBER(E36),ISNUMBER(E37)),E40/(((E36+E37)/2))-1,"不適用")</f>
        <v>不適用</v>
      </c>
      <c r="F82" s="65" t="str">
        <f aca="false">IF(AND(ISNUMBER(F40),ISNUMBER(F36),ISNUMBER(F37)),F40/(((F36+F37)/2))-1,"不適用")</f>
        <v>不適用</v>
      </c>
      <c r="G82" s="65" t="str">
        <f aca="false">IF(AND(ISNUMBER(G40),ISNUMBER(G36),ISNUMBER(G37)),G40/(((G36+G37)/2))-1,"不適用")</f>
        <v>不適用</v>
      </c>
      <c r="H82" s="65" t="str">
        <f aca="false">IF(AND(ISNUMBER(H40),ISNUMBER(H36),ISNUMBER(H37)),H40/(((H36+H37)/2))-1,"不適用")</f>
        <v>不適用</v>
      </c>
    </row>
    <row r="83" customFormat="false" ht="15" hidden="true" customHeight="false" outlineLevel="1" collapsed="false">
      <c r="A83" s="3" t="s">
        <v>835</v>
      </c>
      <c r="B83" s="12" t="s">
        <v>77</v>
      </c>
      <c r="C83" s="65" t="str">
        <f aca="false">IF(ISNUMBER(C49),IF(AND(ISNUMBER(C40),C40&lt;&gt;0),C49/(C40)-1,"不適用"),"")</f>
        <v/>
      </c>
      <c r="D83" s="65" t="str">
        <f aca="false">IF(ISNUMBER(D49),IF(AND(ISNUMBER(D40),D40&lt;&gt;0),D49/(D40)-1,"不適用"),"")</f>
        <v/>
      </c>
      <c r="E83" s="65" t="str">
        <f aca="false">IF(ISNUMBER(E49),IF(AND(ISNUMBER(E40),E40&lt;&gt;0),E49/(E40)-1,"不適用"),"")</f>
        <v/>
      </c>
      <c r="F83" s="65" t="str">
        <f aca="false">IF(ISNUMBER(F49),IF(AND(ISNUMBER(F40),F40&lt;&gt;0),F49/(F40)-1,"不適用"),"")</f>
        <v/>
      </c>
      <c r="G83" s="65" t="str">
        <f aca="false">IF(ISNUMBER(G49),IF(AND(ISNUMBER(G40),G40&lt;&gt;0),G49/(G40)-1,"不適用"),"")</f>
        <v/>
      </c>
      <c r="H83" s="65" t="str">
        <f aca="false">IF(ISNUMBER(H49),IF(AND(ISNUMBER(H40),H40&lt;&gt;0),H49/(H40)-1,"不適用"),"")</f>
        <v/>
      </c>
    </row>
    <row r="84" customFormat="false" ht="15" hidden="true" customHeight="false" outlineLevel="1" collapsed="false">
      <c r="A84" s="3" t="s">
        <v>836</v>
      </c>
      <c r="B84" s="12" t="s">
        <v>77</v>
      </c>
      <c r="C84" s="65" t="str">
        <f aca="false">IF(ISNUMBER(C49),"不適用","")</f>
        <v/>
      </c>
      <c r="D84" s="65" t="str">
        <f aca="false">IF(ISNUMBER(D49),"不適用","")</f>
        <v/>
      </c>
      <c r="E84" s="65" t="str">
        <f aca="false">IF(ISNUMBER(E49),"不適用","")</f>
        <v/>
      </c>
      <c r="F84" s="65" t="str">
        <f aca="false">IF(ISNUMBER(F49),"不適用","")</f>
        <v/>
      </c>
      <c r="G84" s="65" t="str">
        <f aca="false">IF(ISNUMBER(G49),"不適用","")</f>
        <v/>
      </c>
      <c r="H84" s="65" t="str">
        <f aca="false">IF(ISNUMBER(H49),"不適用","")</f>
        <v/>
      </c>
    </row>
    <row r="85" customFormat="false" ht="15" hidden="true" customHeight="false" outlineLevel="1" collapsed="false">
      <c r="A85" s="3" t="s">
        <v>837</v>
      </c>
      <c r="B85" s="12" t="s">
        <v>77</v>
      </c>
      <c r="C85" s="65" t="str">
        <f aca="false">IF(ISNUMBER(C49),IF(AND(ISNUMBER(C36),ISNUMBER(C37)),C49/(((C36+C37)/2))-1,"不適用"),"")</f>
        <v/>
      </c>
      <c r="D85" s="65" t="str">
        <f aca="false">IF(ISNUMBER(D49),IF(AND(ISNUMBER(D36),ISNUMBER(D37)),D49/(((D36+D37)/2))-1,"不適用"),"")</f>
        <v/>
      </c>
      <c r="E85" s="65" t="str">
        <f aca="false">IF(ISNUMBER(E49),IF(AND(ISNUMBER(E36),ISNUMBER(E37)),E49/(((E36+E37)/2))-1,"不適用"),"")</f>
        <v/>
      </c>
      <c r="F85" s="65" t="str">
        <f aca="false">IF(ISNUMBER(F49),IF(AND(ISNUMBER(F36),ISNUMBER(F37)),F49/(((F36+F37)/2))-1,"不適用"),"")</f>
        <v/>
      </c>
      <c r="G85" s="65" t="str">
        <f aca="false">IF(ISNUMBER(G49),IF(AND(ISNUMBER(G36),ISNUMBER(G37)),G49/(((G36+G37)/2))-1,"不適用"),"")</f>
        <v/>
      </c>
      <c r="H85" s="65" t="str">
        <f aca="false">IF(ISNUMBER(H49),IF(AND(ISNUMBER(H36),ISNUMBER(H37)),H49/(((H36+H37)/2))-1,"不適用"),"")</f>
        <v/>
      </c>
    </row>
    <row r="86" customFormat="false" ht="15" hidden="true" customHeight="false" outlineLevel="1" collapsed="false">
      <c r="A86" s="3" t="s">
        <v>838</v>
      </c>
      <c r="B86" s="12" t="s">
        <v>173</v>
      </c>
      <c r="C86" s="66" t="s">
        <v>742</v>
      </c>
      <c r="D86" s="66" t="s">
        <v>742</v>
      </c>
      <c r="E86" s="66" t="s">
        <v>742</v>
      </c>
      <c r="F86" s="66" t="s">
        <v>742</v>
      </c>
      <c r="G86" s="66" t="s">
        <v>742</v>
      </c>
      <c r="H86" s="66" t="s">
        <v>742</v>
      </c>
    </row>
    <row r="87" customFormat="false" ht="15" hidden="true" customHeight="false" outlineLevel="1" collapsed="false">
      <c r="A87" s="3" t="s">
        <v>839</v>
      </c>
      <c r="B87" s="12" t="s">
        <v>173</v>
      </c>
      <c r="C87" s="66" t="s">
        <v>742</v>
      </c>
      <c r="D87" s="66" t="s">
        <v>742</v>
      </c>
      <c r="E87" s="66" t="s">
        <v>742</v>
      </c>
      <c r="F87" s="66" t="s">
        <v>742</v>
      </c>
      <c r="G87" s="66" t="s">
        <v>742</v>
      </c>
      <c r="H87" s="66" t="s">
        <v>742</v>
      </c>
    </row>
    <row r="88" customFormat="false" ht="15" hidden="true" customHeight="false" outlineLevel="1" collapsed="false">
      <c r="A88" s="3" t="s">
        <v>840</v>
      </c>
      <c r="B88" s="12" t="s">
        <v>173</v>
      </c>
      <c r="C88" s="66" t="str">
        <f aca="false">IF(ISNUMBER(C50),IF(AND(ISNUMBER(C19)),C50-(C19),"不適用"),"")</f>
        <v/>
      </c>
      <c r="D88" s="66" t="str">
        <f aca="false">IF(ISNUMBER(D50),IF(AND(ISNUMBER(D19)),D50-(D19),"不適用"),"")</f>
        <v/>
      </c>
      <c r="E88" s="66" t="str">
        <f aca="false">IF(ISNUMBER(E50),IF(AND(ISNUMBER(E19)),E50-(E19),"不適用"),"")</f>
        <v/>
      </c>
      <c r="F88" s="66" t="str">
        <f aca="false">IF(ISNUMBER(F50),IF(AND(ISNUMBER(F19)),F50-(F19),"不適用"),"")</f>
        <v/>
      </c>
      <c r="G88" s="66" t="str">
        <f aca="false">IF(ISNUMBER(G50),IF(AND(ISNUMBER(G19)),G50-(G19),"不適用"),"")</f>
        <v/>
      </c>
      <c r="H88" s="66" t="str">
        <f aca="false">IF(ISNUMBER(H50),IF(AND(ISNUMBER(H19)),H50-(H19),"不適用"),"")</f>
        <v/>
      </c>
    </row>
    <row r="89" customFormat="false" ht="15" hidden="true" customHeight="false" outlineLevel="1" collapsed="false">
      <c r="A89" s="3" t="s">
        <v>841</v>
      </c>
      <c r="B89" s="12" t="s">
        <v>173</v>
      </c>
      <c r="C89" s="66" t="str">
        <f aca="false">IF(ISNUMBER(C50),"不適用","")</f>
        <v/>
      </c>
      <c r="D89" s="66" t="str">
        <f aca="false">IF(ISNUMBER(D50),"不適用","")</f>
        <v/>
      </c>
      <c r="E89" s="66" t="str">
        <f aca="false">IF(ISNUMBER(E50),"不適用","")</f>
        <v/>
      </c>
      <c r="F89" s="66" t="str">
        <f aca="false">IF(ISNUMBER(F50),"不適用","")</f>
        <v/>
      </c>
      <c r="G89" s="66" t="str">
        <f aca="false">IF(ISNUMBER(G50),"不適用","")</f>
        <v/>
      </c>
      <c r="H89" s="66" t="str">
        <f aca="false">IF(ISNUMBER(H50),"不適用","")</f>
        <v/>
      </c>
    </row>
    <row r="90" customFormat="false" ht="15" hidden="true" customHeight="false" outlineLevel="1" collapsed="false">
      <c r="A90" s="3" t="s">
        <v>842</v>
      </c>
      <c r="B90" s="12" t="s">
        <v>173</v>
      </c>
      <c r="C90" s="66" t="str">
        <f aca="false">IF(ISNUMBER(C50),"不適用","")</f>
        <v/>
      </c>
      <c r="D90" s="66" t="str">
        <f aca="false">IF(ISNUMBER(D50),"不適用","")</f>
        <v/>
      </c>
      <c r="E90" s="66" t="str">
        <f aca="false">IF(ISNUMBER(E50),"不適用","")</f>
        <v/>
      </c>
      <c r="F90" s="66" t="str">
        <f aca="false">IF(ISNUMBER(F50),"不適用","")</f>
        <v/>
      </c>
      <c r="G90" s="66" t="str">
        <f aca="false">IF(ISNUMBER(G50),"不適用","")</f>
        <v/>
      </c>
      <c r="H90" s="66" t="str">
        <f aca="false">IF(ISNUMBER(H50),"不適用","")</f>
        <v/>
      </c>
    </row>
    <row r="91" customFormat="false" ht="15" hidden="true" customHeight="false" outlineLevel="1" collapsed="false">
      <c r="A91" s="3" t="s">
        <v>843</v>
      </c>
      <c r="B91" s="12" t="s">
        <v>91</v>
      </c>
      <c r="C91" s="64" t="n">
        <f aca="false">IF(COUNT(C41,D41)=2,C41+D41,"不適用")</f>
        <v>8.247</v>
      </c>
      <c r="D91" s="64" t="n">
        <f aca="false">IF(COUNT(C41,D41)=2,C41+D41,"不適用")</f>
        <v>8.247</v>
      </c>
      <c r="E91" s="64" t="str">
        <f aca="false">IF(COUNT(E41,F41,G41,H41)=4,E41+F41+G41+H41,"不適用")</f>
        <v>不適用</v>
      </c>
      <c r="F91" s="64" t="str">
        <f aca="false">IF(COUNT(E41,F41,G41,H41)=4,E41+F41+G41+H41,"不適用")</f>
        <v>不適用</v>
      </c>
      <c r="G91" s="64" t="str">
        <f aca="false">IF(COUNT(E41,F41,G41,H41)=4,E41+F41+G41+H41,"不適用")</f>
        <v>不適用</v>
      </c>
      <c r="H91" s="64" t="str">
        <f aca="false">IF(COUNT(E41,F41,G41,H41)=4,E41+F41+G41+H41,"不適用")</f>
        <v>不適用</v>
      </c>
      <c r="J91" s="7" t="s">
        <v>844</v>
      </c>
    </row>
    <row r="92" customFormat="false" ht="15" hidden="true" customHeight="false" outlineLevel="1" collapsed="false">
      <c r="A92" s="3" t="s">
        <v>845</v>
      </c>
      <c r="B92" s="12" t="s">
        <v>91</v>
      </c>
      <c r="C92" s="64" t="n">
        <f aca="false">IF(AND(ISNUMBER(C91),C91&lt;&gt;0,ISNUMBER(C41),ISNUMBER(C22)),(損益!C8-C91)*(C41)/C91,"不適用")</f>
        <v>0.0712751303504306</v>
      </c>
      <c r="D92" s="64" t="n">
        <f aca="false">IF(AND(ISNUMBER(D91),D91&lt;&gt;0,ISNUMBER(D41),ISNUMBER(D22)),(損益!C8-D91)*(D41)/D91,"不適用")</f>
        <v>0.0947248696495698</v>
      </c>
      <c r="E92" s="64" t="str">
        <f aca="false">IF(AND(ISNUMBER(E91),E91&lt;&gt;0,ISNUMBER(E41),ISNUMBER(E22)),(損益!D8-E91)*(E41)/E91,"不適用")</f>
        <v>不適用</v>
      </c>
      <c r="F92" s="64" t="str">
        <f aca="false">IF(AND(ISNUMBER(F91),F91&lt;&gt;0,ISNUMBER(F41),ISNUMBER(F22)),(損益!D8-F91)*(F41)/F91,"不適用")</f>
        <v>不適用</v>
      </c>
      <c r="G92" s="64" t="str">
        <f aca="false">IF(AND(ISNUMBER(G91),G91&lt;&gt;0,ISNUMBER(G41),ISNUMBER(G22)),(損益!D8-G91)*(G41)/G91,"不適用")</f>
        <v>不適用</v>
      </c>
      <c r="H92" s="64" t="str">
        <f aca="false">IF(AND(ISNUMBER(H91),H91&lt;&gt;0,ISNUMBER(H41),ISNUMBER(H22)),(損益!D8-H91)*(H41)/H91,"不適用")</f>
        <v>不適用</v>
      </c>
      <c r="J92" s="12" t="s">
        <v>846</v>
      </c>
    </row>
    <row r="93" customFormat="false" ht="15" hidden="true" customHeight="false" outlineLevel="1" collapsed="false">
      <c r="A93" s="3" t="s">
        <v>847</v>
      </c>
      <c r="B93" s="12" t="s">
        <v>91</v>
      </c>
      <c r="C93" s="64" t="n">
        <f aca="false">IF(AND(ISNUMBER(C91),C91&lt;&gt;0,ISNUMBER(C41),ISNUMBER(C22)),(C22/損益!C8-(C41)/C91)*損益!C8,"不適用")</f>
        <v>0.0503915363162359</v>
      </c>
      <c r="D93" s="64" t="n">
        <f aca="false">IF(AND(ISNUMBER(D91),D91&lt;&gt;0,ISNUMBER(D41),ISNUMBER(D22)),(D22/損益!C8-(D41)/D91)*損益!C8,"不適用")</f>
        <v>-0.0503915363162364</v>
      </c>
      <c r="E93" s="64" t="str">
        <f aca="false">IF(AND(ISNUMBER(E91),E91&lt;&gt;0,ISNUMBER(E41),ISNUMBER(E22)),(E22/損益!D8-(E41)/E91)*損益!D8,"不適用")</f>
        <v>不適用</v>
      </c>
      <c r="F93" s="64" t="str">
        <f aca="false">IF(AND(ISNUMBER(F91),F91&lt;&gt;0,ISNUMBER(F41),ISNUMBER(F22)),(F22/損益!D8-(F41)/F91)*損益!D8,"不適用")</f>
        <v>不適用</v>
      </c>
      <c r="G93" s="64" t="str">
        <f aca="false">IF(AND(ISNUMBER(G91),G91&lt;&gt;0,ISNUMBER(G41),ISNUMBER(G22)),(G22/損益!D8-(G41)/G91)*損益!D8,"不適用")</f>
        <v>不適用</v>
      </c>
      <c r="H93" s="64" t="str">
        <f aca="false">IF(AND(ISNUMBER(H91),H91&lt;&gt;0,ISNUMBER(H41),ISNUMBER(H22)),(H22/損益!D8-(H41)/H91)*損益!D8,"不適用")</f>
        <v>不適用</v>
      </c>
      <c r="J93" s="12" t="s">
        <v>848</v>
      </c>
    </row>
    <row r="94" customFormat="false" ht="15" hidden="true" customHeight="false" outlineLevel="1" collapsed="false">
      <c r="A94" s="3" t="s">
        <v>849</v>
      </c>
      <c r="B94" s="12" t="s">
        <v>91</v>
      </c>
      <c r="C94" s="64" t="n">
        <f aca="false">(輸入與假設!$C$256+輸入與假設!$D$256)/2-輸入與假設!$E$256</f>
        <v>8.147</v>
      </c>
      <c r="D94" s="64" t="n">
        <f aca="false">(輸入與假設!$C$256+輸入與假設!$D$256)/2-輸入與假設!$E$256</f>
        <v>8.147</v>
      </c>
      <c r="E94" s="64" t="s">
        <v>742</v>
      </c>
      <c r="F94" s="64" t="s">
        <v>742</v>
      </c>
      <c r="G94" s="64" t="s">
        <v>742</v>
      </c>
      <c r="H94" s="64" t="s">
        <v>742</v>
      </c>
      <c r="J94" s="7" t="s">
        <v>850</v>
      </c>
    </row>
    <row r="95" customFormat="false" ht="15" hidden="true" customHeight="false" outlineLevel="1" collapsed="false">
      <c r="A95" s="3" t="s">
        <v>851</v>
      </c>
      <c r="B95" s="12" t="s">
        <v>91</v>
      </c>
      <c r="C95" s="64" t="n">
        <f aca="false">IF(AND(ISNUMBER(C94),C94&lt;&gt;0,ISNUMBER(((C31+C32)/2)),ISNUMBER(C22)),(損益!C8-C94)*(((C31+C32)/2))/C94,"不適用")</f>
        <v>0.115091444703571</v>
      </c>
      <c r="D95" s="64" t="str">
        <f aca="false">IF(AND(ISNUMBER(D94),D94&lt;&gt;0,ISNUMBER(((D31+D32)/2)),ISNUMBER(D22)),(損益!C8-D94)*(((D31+D32)/2))/D94,"不適用")</f>
        <v>不適用</v>
      </c>
      <c r="E95" s="64" t="str">
        <f aca="false">IF(AND(ISNUMBER(E94),E94&lt;&gt;0,ISNUMBER(((E31+E32)/2)),ISNUMBER(E22)),(損益!D8-E94)*(((E31+E32)/2))/E94,"不適用")</f>
        <v>不適用</v>
      </c>
      <c r="F95" s="64" t="str">
        <f aca="false">IF(AND(ISNUMBER(F94),F94&lt;&gt;0,ISNUMBER(((F31+F32)/2)),ISNUMBER(F22)),(損益!D8-F94)*(((F31+F32)/2))/F94,"不適用")</f>
        <v>不適用</v>
      </c>
      <c r="G95" s="64" t="str">
        <f aca="false">IF(AND(ISNUMBER(G94),G94&lt;&gt;0,ISNUMBER(((G31+G32)/2)),ISNUMBER(G22)),(損益!D8-G94)*(((G31+G32)/2))/G94,"不適用")</f>
        <v>不適用</v>
      </c>
      <c r="H95" s="64" t="str">
        <f aca="false">IF(AND(ISNUMBER(H94),H94&lt;&gt;0,ISNUMBER(((H31+H32)/2)),ISNUMBER(H22)),(損益!D8-H94)*(((H31+H32)/2))/H94,"不適用")</f>
        <v>不適用</v>
      </c>
      <c r="J95" s="12" t="s">
        <v>846</v>
      </c>
    </row>
    <row r="96" customFormat="false" ht="15" hidden="true" customHeight="false" outlineLevel="1" collapsed="false">
      <c r="A96" s="3" t="s">
        <v>852</v>
      </c>
      <c r="B96" s="12" t="s">
        <v>91</v>
      </c>
      <c r="C96" s="64" t="n">
        <f aca="false">IF(AND(ISNUMBER(C94),C94&lt;&gt;0,ISNUMBER(((C31+C32)/2)),ISNUMBER(C22)),(C22/損益!C8-(((C31+C32)/2))/C94)*損益!C8,"不適用")</f>
        <v>0.0225752219630952</v>
      </c>
      <c r="D96" s="64" t="str">
        <f aca="false">IF(AND(ISNUMBER(D94),D94&lt;&gt;0,ISNUMBER(((D31+D32)/2)),ISNUMBER(D22)),(D22/損益!C8-(((D31+D32)/2))/D94)*損益!C8,"不適用")</f>
        <v>不適用</v>
      </c>
      <c r="E96" s="64" t="str">
        <f aca="false">IF(AND(ISNUMBER(E94),E94&lt;&gt;0,ISNUMBER(((E31+E32)/2)),ISNUMBER(E22)),(E22/損益!D8-(((E31+E32)/2))/E94)*損益!D8,"不適用")</f>
        <v>不適用</v>
      </c>
      <c r="F96" s="64" t="str">
        <f aca="false">IF(AND(ISNUMBER(F94),F94&lt;&gt;0,ISNUMBER(((F31+F32)/2)),ISNUMBER(F22)),(F22/損益!D8-(((F31+F32)/2))/F94)*損益!D8,"不適用")</f>
        <v>不適用</v>
      </c>
      <c r="G96" s="64" t="str">
        <f aca="false">IF(AND(ISNUMBER(G94),G94&lt;&gt;0,ISNUMBER(((G31+G32)/2)),ISNUMBER(G22)),(G22/損益!D8-(((G31+G32)/2))/G94)*損益!D8,"不適用")</f>
        <v>不適用</v>
      </c>
      <c r="H96" s="64" t="str">
        <f aca="false">IF(AND(ISNUMBER(H94),H94&lt;&gt;0,ISNUMBER(((H31+H32)/2)),ISNUMBER(H22)),(H22/損益!D8-(((H31+H32)/2))/H94)*損益!D8,"不適用")</f>
        <v>不適用</v>
      </c>
      <c r="J96" s="12" t="s">
        <v>848</v>
      </c>
    </row>
    <row r="97" customFormat="false" ht="15" hidden="true" customHeight="false" outlineLevel="1" collapsed="false">
      <c r="A97" s="3" t="s">
        <v>853</v>
      </c>
      <c r="C97" s="42" t="str">
        <f aca="false">IF(ISNUMBER(C51),IF(ABS(C51)&gt;輸入與假設!$C$232,IF(ISNUMBER(C92),IF(ABS(C93)&gt;ABS(C92),"營收 vs 共識 "&amp;IF(C51&lt;0,"−","+")&amp;TEXT(ABS(C51)*100,"#,##0.0")&amp;"%"&amp;"：拆法（分配 "&amp;IF(C93&lt;0,"−","+")&amp;IF(ABS(C93)&lt;0,"−","")&amp;"$"&amp;TEXT(ABS(ABS(C93)),"#,##0.000")&amp;"bn"&amp;"（Q3'26 占 2H26 "&amp;TEXT((C22/損益!C8)*100,"#,##0.0")&amp;"%"&amp;"，共識合計 "&amp;TEXT(((C41)/C91)*100,"#,##0.0")&amp;"%"&amp;"）；水準 "&amp;IF(C92&lt;0,"−","+")&amp;IF(ABS(C92)&lt;0,"−","")&amp;"$"&amp;TEXT(ABS(ABS(C92)),"#,##0.000")&amp;"bn"&amp;"）","營收 vs 共識 "&amp;IF(C51&lt;0,"−","+")&amp;TEXT(ABS(C51)*100,"#,##0.0")&amp;"%"&amp;"：觀點（水準 "&amp;IF(C92&lt;0,"−","+")&amp;IF(ABS(C92)&lt;0,"−","")&amp;"$"&amp;TEXT(ABS(ABS(C92)),"#,##0.000")&amp;"bn"&amp;"（2H26 模型 "&amp;IF(損益!C8&lt;0,"−","")&amp;"$"&amp;TEXT(ABS(損益!C8),"#,##0.000")&amp;"bn"&amp;"，共識合計 "&amp;IF(C91&lt;0,"−","")&amp;"$"&amp;TEXT(ABS(C91),"#,##0.000")&amp;"bn"&amp;"）；分配 "&amp;IF(C93&lt;0,"−","+")&amp;IF(ABS(C93)&lt;0,"−","")&amp;"$"&amp;TEXT(ABS(ABS(C93)),"#,##0.000")&amp;"bn"&amp;"）"),"營收 vs 共識 "&amp;IF(C51&lt;0,"−","+")&amp;TEXT(ABS(C51)*100,"#,##0.0")&amp;"%"&amp;"：未歸類（差異原因待補）"),""),"")</f>
        <v/>
      </c>
      <c r="D97" s="42" t="str">
        <f aca="false">IF(ISNUMBER(D51),IF(ABS(D51)&gt;輸入與假設!$C$232,IF(ISNUMBER(D92),IF(ABS(D93)&gt;ABS(D92),"營收 vs 共識 "&amp;IF(D51&lt;0,"−","+")&amp;TEXT(ABS(D51)*100,"#,##0.0")&amp;"%"&amp;"：拆法（分配 "&amp;IF(D93&lt;0,"−","+")&amp;IF(ABS(D93)&lt;0,"−","")&amp;"$"&amp;TEXT(ABS(ABS(D93)),"#,##0.000")&amp;"bn"&amp;"（Q4'26 占 2H26 "&amp;TEXT((D22/損益!C8)*100,"#,##0.0")&amp;"%"&amp;"，共識合計 "&amp;TEXT(((D41)/D91)*100,"#,##0.0")&amp;"%"&amp;"）；水準 "&amp;IF(D92&lt;0,"−","+")&amp;IF(ABS(D92)&lt;0,"−","")&amp;"$"&amp;TEXT(ABS(ABS(D92)),"#,##0.000")&amp;"bn"&amp;"）","營收 vs 共識 "&amp;IF(D51&lt;0,"−","+")&amp;TEXT(ABS(D51)*100,"#,##0.0")&amp;"%"&amp;"：觀點（水準 "&amp;IF(D92&lt;0,"−","+")&amp;IF(ABS(D92)&lt;0,"−","")&amp;"$"&amp;TEXT(ABS(ABS(D92)),"#,##0.000")&amp;"bn"&amp;"（2H26 模型 "&amp;IF(損益!C8&lt;0,"−","")&amp;"$"&amp;TEXT(ABS(損益!C8),"#,##0.000")&amp;"bn"&amp;"，共識合計 "&amp;IF(D91&lt;0,"−","")&amp;"$"&amp;TEXT(ABS(D91),"#,##0.000")&amp;"bn"&amp;"）；分配 "&amp;IF(D93&lt;0,"−","+")&amp;IF(ABS(D93)&lt;0,"−","")&amp;"$"&amp;TEXT(ABS(ABS(D93)),"#,##0.000")&amp;"bn"&amp;"）"),"營收 vs 共識 "&amp;IF(D51&lt;0,"−","+")&amp;TEXT(ABS(D51)*100,"#,##0.0")&amp;"%"&amp;"：未歸類（差異原因待補）"),""),"")</f>
        <v/>
      </c>
      <c r="E97" s="42" t="str">
        <f aca="false">IF(ISNUMBER(E51),IF(ABS(E51)&gt;輸入與假設!$C$232,IF(ISNUMBER(E92),IF(ABS(E93)&gt;ABS(E92),"營收 vs 共識 "&amp;IF(E51&lt;0,"−","+")&amp;TEXT(ABS(E51)*100,"#,##0.0")&amp;"%"&amp;"：拆法（分配 "&amp;IF(E93&lt;0,"−","+")&amp;IF(ABS(E93)&lt;0,"−","")&amp;"$"&amp;TEXT(ABS(ABS(E93)),"#,##0.000")&amp;"bn"&amp;"（Q1'27 占 FY27 "&amp;TEXT((E22/損益!D8)*100,"#,##0.0")&amp;"%"&amp;"，共識合計 "&amp;TEXT(((E41)/E91)*100,"#,##0.0")&amp;"%"&amp;"）；水準 "&amp;IF(E92&lt;0,"−","+")&amp;IF(ABS(E92)&lt;0,"−","")&amp;"$"&amp;TEXT(ABS(ABS(E92)),"#,##0.000")&amp;"bn"&amp;"）","營收 vs 共識 "&amp;IF(E51&lt;0,"−","+")&amp;TEXT(ABS(E51)*100,"#,##0.0")&amp;"%"&amp;"：觀點（水準 "&amp;IF(E92&lt;0,"−","+")&amp;IF(ABS(E92)&lt;0,"−","")&amp;"$"&amp;TEXT(ABS(ABS(E92)),"#,##0.000")&amp;"bn"&amp;"（FY27 模型 "&amp;IF(損益!D8&lt;0,"−","")&amp;"$"&amp;TEXT(ABS(損益!D8),"#,##0.000")&amp;"bn"&amp;"，共識合計 "&amp;IF(E91&lt;0,"−","")&amp;"$"&amp;TEXT(ABS(E91),"#,##0.000")&amp;"bn"&amp;"）；分配 "&amp;IF(E93&lt;0,"−","+")&amp;IF(ABS(E93)&lt;0,"−","")&amp;"$"&amp;TEXT(ABS(ABS(E93)),"#,##0.000")&amp;"bn"&amp;"）"),"營收 vs 共識 "&amp;IF(E51&lt;0,"−","+")&amp;TEXT(ABS(E51)*100,"#,##0.0")&amp;"%"&amp;"：未歸類（差異原因待補）"),""),"")</f>
        <v/>
      </c>
      <c r="F97" s="42" t="str">
        <f aca="false">IF(ISNUMBER(F51),IF(ABS(F51)&gt;輸入與假設!$C$232,IF(ISNUMBER(F92),IF(ABS(F93)&gt;ABS(F92),"營收 vs 共識 "&amp;IF(F51&lt;0,"−","+")&amp;TEXT(ABS(F51)*100,"#,##0.0")&amp;"%"&amp;"：拆法（分配 "&amp;IF(F93&lt;0,"−","+")&amp;IF(ABS(F93)&lt;0,"−","")&amp;"$"&amp;TEXT(ABS(ABS(F93)),"#,##0.000")&amp;"bn"&amp;"（Q2'27 占 FY27 "&amp;TEXT((F22/損益!D8)*100,"#,##0.0")&amp;"%"&amp;"，共識合計 "&amp;TEXT(((F41)/F91)*100,"#,##0.0")&amp;"%"&amp;"）；水準 "&amp;IF(F92&lt;0,"−","+")&amp;IF(ABS(F92)&lt;0,"−","")&amp;"$"&amp;TEXT(ABS(ABS(F92)),"#,##0.000")&amp;"bn"&amp;"）","營收 vs 共識 "&amp;IF(F51&lt;0,"−","+")&amp;TEXT(ABS(F51)*100,"#,##0.0")&amp;"%"&amp;"：觀點（水準 "&amp;IF(F92&lt;0,"−","+")&amp;IF(ABS(F92)&lt;0,"−","")&amp;"$"&amp;TEXT(ABS(ABS(F92)),"#,##0.000")&amp;"bn"&amp;"（FY27 模型 "&amp;IF(損益!D8&lt;0,"−","")&amp;"$"&amp;TEXT(ABS(損益!D8),"#,##0.000")&amp;"bn"&amp;"，共識合計 "&amp;IF(F91&lt;0,"−","")&amp;"$"&amp;TEXT(ABS(F91),"#,##0.000")&amp;"bn"&amp;"）；分配 "&amp;IF(F93&lt;0,"−","+")&amp;IF(ABS(F93)&lt;0,"−","")&amp;"$"&amp;TEXT(ABS(ABS(F93)),"#,##0.000")&amp;"bn"&amp;"）"),"營收 vs 共識 "&amp;IF(F51&lt;0,"−","+")&amp;TEXT(ABS(F51)*100,"#,##0.0")&amp;"%"&amp;"：未歸類（差異原因待補）"),""),"")</f>
        <v/>
      </c>
      <c r="G97" s="42" t="str">
        <f aca="false">IF(ISNUMBER(G51),IF(ABS(G51)&gt;輸入與假設!$C$232,IF(ISNUMBER(G92),IF(ABS(G93)&gt;ABS(G92),"營收 vs 共識 "&amp;IF(G51&lt;0,"−","+")&amp;TEXT(ABS(G51)*100,"#,##0.0")&amp;"%"&amp;"：拆法（分配 "&amp;IF(G93&lt;0,"−","+")&amp;IF(ABS(G93)&lt;0,"−","")&amp;"$"&amp;TEXT(ABS(ABS(G93)),"#,##0.000")&amp;"bn"&amp;"（Q3'27 占 FY27 "&amp;TEXT((G22/損益!D8)*100,"#,##0.0")&amp;"%"&amp;"，共識合計 "&amp;TEXT(((G41)/G91)*100,"#,##0.0")&amp;"%"&amp;"）；水準 "&amp;IF(G92&lt;0,"−","+")&amp;IF(ABS(G92)&lt;0,"−","")&amp;"$"&amp;TEXT(ABS(ABS(G92)),"#,##0.000")&amp;"bn"&amp;"）","營收 vs 共識 "&amp;IF(G51&lt;0,"−","+")&amp;TEXT(ABS(G51)*100,"#,##0.0")&amp;"%"&amp;"：觀點（水準 "&amp;IF(G92&lt;0,"−","+")&amp;IF(ABS(G92)&lt;0,"−","")&amp;"$"&amp;TEXT(ABS(ABS(G92)),"#,##0.000")&amp;"bn"&amp;"（FY27 模型 "&amp;IF(損益!D8&lt;0,"−","")&amp;"$"&amp;TEXT(ABS(損益!D8),"#,##0.000")&amp;"bn"&amp;"，共識合計 "&amp;IF(G91&lt;0,"−","")&amp;"$"&amp;TEXT(ABS(G91),"#,##0.000")&amp;"bn"&amp;"）；分配 "&amp;IF(G93&lt;0,"−","+")&amp;IF(ABS(G93)&lt;0,"−","")&amp;"$"&amp;TEXT(ABS(ABS(G93)),"#,##0.000")&amp;"bn"&amp;"）"),"營收 vs 共識 "&amp;IF(G51&lt;0,"−","+")&amp;TEXT(ABS(G51)*100,"#,##0.0")&amp;"%"&amp;"：未歸類（差異原因待補）"),""),"")</f>
        <v/>
      </c>
      <c r="H97" s="42" t="str">
        <f aca="false">IF(ISNUMBER(H51),IF(ABS(H51)&gt;輸入與假設!$C$232,IF(ISNUMBER(H92),IF(ABS(H93)&gt;ABS(H92),"營收 vs 共識 "&amp;IF(H51&lt;0,"−","+")&amp;TEXT(ABS(H51)*100,"#,##0.0")&amp;"%"&amp;"：拆法（分配 "&amp;IF(H93&lt;0,"−","+")&amp;IF(ABS(H93)&lt;0,"−","")&amp;"$"&amp;TEXT(ABS(ABS(H93)),"#,##0.000")&amp;"bn"&amp;"（Q4'27 占 FY27 "&amp;TEXT((H22/損益!D8)*100,"#,##0.0")&amp;"%"&amp;"，共識合計 "&amp;TEXT(((H41)/H91)*100,"#,##0.0")&amp;"%"&amp;"）；水準 "&amp;IF(H92&lt;0,"−","+")&amp;IF(ABS(H92)&lt;0,"−","")&amp;"$"&amp;TEXT(ABS(ABS(H92)),"#,##0.000")&amp;"bn"&amp;"）","營收 vs 共識 "&amp;IF(H51&lt;0,"−","+")&amp;TEXT(ABS(H51)*100,"#,##0.0")&amp;"%"&amp;"：觀點（水準 "&amp;IF(H92&lt;0,"−","+")&amp;IF(ABS(H92)&lt;0,"−","")&amp;"$"&amp;TEXT(ABS(ABS(H92)),"#,##0.000")&amp;"bn"&amp;"（FY27 模型 "&amp;IF(損益!D8&lt;0,"−","")&amp;"$"&amp;TEXT(ABS(損益!D8),"#,##0.000")&amp;"bn"&amp;"，共識合計 "&amp;IF(H91&lt;0,"−","")&amp;"$"&amp;TEXT(ABS(H91),"#,##0.000")&amp;"bn"&amp;"）；分配 "&amp;IF(H93&lt;0,"−","+")&amp;IF(ABS(H93)&lt;0,"−","")&amp;"$"&amp;TEXT(ABS(ABS(H93)),"#,##0.000")&amp;"bn"&amp;"）"),"營收 vs 共識 "&amp;IF(H51&lt;0,"−","+")&amp;TEXT(ABS(H51)*100,"#,##0.0")&amp;"%"&amp;"：未歸類（差異原因待補）"),""),"")</f>
        <v/>
      </c>
    </row>
    <row r="98" customFormat="false" ht="15" hidden="true" customHeight="false" outlineLevel="1" collapsed="false">
      <c r="A98" s="3" t="s">
        <v>854</v>
      </c>
      <c r="C98" s="42" t="str">
        <f aca="false">IF(ISNUMBER(C51),IF(ABS(C51)&gt;輸入與假設!$C$232,IF(ISNUMBER(C92),IF(ABS(C93)&gt;ABS(C92),"拆法","觀點"),"未歸類"),""),"")</f>
        <v/>
      </c>
      <c r="D98" s="42" t="str">
        <f aca="false">IF(ISNUMBER(D51),IF(ABS(D51)&gt;輸入與假設!$C$232,IF(ISNUMBER(D92),IF(ABS(D93)&gt;ABS(D92),"拆法","觀點"),"未歸類"),""),"")</f>
        <v/>
      </c>
      <c r="E98" s="42" t="str">
        <f aca="false">IF(ISNUMBER(E51),IF(ABS(E51)&gt;輸入與假設!$C$232,IF(ISNUMBER(E92),IF(ABS(E93)&gt;ABS(E92),"拆法","觀點"),"未歸類"),""),"")</f>
        <v/>
      </c>
      <c r="F98" s="42" t="str">
        <f aca="false">IF(ISNUMBER(F51),IF(ABS(F51)&gt;輸入與假設!$C$232,IF(ISNUMBER(F92),IF(ABS(F93)&gt;ABS(F92),"拆法","觀點"),"未歸類"),""),"")</f>
        <v/>
      </c>
      <c r="G98" s="42" t="str">
        <f aca="false">IF(ISNUMBER(G51),IF(ABS(G51)&gt;輸入與假設!$C$232,IF(ISNUMBER(G92),IF(ABS(G93)&gt;ABS(G92),"拆法","觀點"),"未歸類"),""),"")</f>
        <v/>
      </c>
      <c r="H98" s="42" t="str">
        <f aca="false">IF(ISNUMBER(H51),IF(ABS(H51)&gt;輸入與假設!$C$232,IF(ISNUMBER(H92),IF(ABS(H93)&gt;ABS(H92),"拆法","觀點"),"未歸類"),""),"")</f>
        <v/>
      </c>
    </row>
    <row r="99" customFormat="false" ht="15" hidden="true" customHeight="false" outlineLevel="1" collapsed="false">
      <c r="A99" s="3" t="s">
        <v>855</v>
      </c>
      <c r="C99" s="42" t="str">
        <f aca="false">IF(ISNUMBER(C52),IF(OR(ABS(C52)&gt;輸入與假設!$C$232,C22&gt;C32,C22&lt;C31),IF(ISNUMBER(C95),IF(ABS(C96)&gt;ABS(C95),"營收 vs 指引中點 "&amp;IF(C52&lt;0,"−","+")&amp;TEXT(ABS(C52)*100,"#,##0.0")&amp;"%"&amp;"：拆法（分配 "&amp;IF(C96&lt;0,"−","+")&amp;IF(ABS(C96)&lt;0,"−","")&amp;"$"&amp;TEXT(ABS(ABS(C96)),"#,##0.000")&amp;"bn"&amp;"（Q3'26 占 2H26 "&amp;TEXT((C22/損益!C8)*100,"#,##0.0")&amp;"%"&amp;"，指引隱含 "&amp;TEXT(((((C31+C32)/2))/C94)*100,"#,##0.0")&amp;"%"&amp;"）；水準 "&amp;IF(C95&lt;0,"−","+")&amp;IF(ABS(C95)&lt;0,"−","")&amp;"$"&amp;TEXT(ABS(ABS(C95)),"#,##0.000")&amp;"bn"&amp;"）","營收 vs 指引中點 "&amp;IF(C52&lt;0,"−","+")&amp;TEXT(ABS(C52)*100,"#,##0.0")&amp;"%"&amp;"：觀點（水準 "&amp;IF(C95&lt;0,"−","+")&amp;IF(ABS(C95)&lt;0,"−","")&amp;"$"&amp;TEXT(ABS(ABS(C95)),"#,##0.000")&amp;"bn"&amp;"（2H26 模型 "&amp;IF(損益!C8&lt;0,"−","")&amp;"$"&amp;TEXT(ABS(損益!C8),"#,##0.000")&amp;"bn"&amp;"，指引隱含 "&amp;IF(C94&lt;0,"−","")&amp;"$"&amp;TEXT(ABS(C94),"#,##0.000")&amp;"bn"&amp;"）；分配 "&amp;IF(C96&lt;0,"−","+")&amp;IF(ABS(C96)&lt;0,"−","")&amp;"$"&amp;TEXT(ABS(ABS(C96)),"#,##0.000")&amp;"bn"&amp;"）"),"營收 vs 指引中點 "&amp;IF(C52&lt;0,"−","+")&amp;TEXT(ABS(C52)*100,"#,##0.0")&amp;"%"&amp;"：未歸類（差異原因待補）"),""),"")</f>
        <v>營收 vs 指引中點 +3.9%：觀點（水準 +$0.115bn（2H26 模型 $8.413bn，指引隱含 $8.147bn）；分配 +$0.023bn）</v>
      </c>
      <c r="D99" s="42" t="str">
        <f aca="false">IF(ISNUMBER(D52),IF(OR(ABS(D52)&gt;輸入與假設!$C$232,D22&gt;D32,D22&lt;D31),IF(ISNUMBER(D95),IF(ABS(D96)&gt;ABS(D95),"營收 vs 指引中點 "&amp;IF(D52&lt;0,"−","+")&amp;TEXT(ABS(D52)*100,"#,##0.0")&amp;"%"&amp;"：拆法（分配 "&amp;IF(D96&lt;0,"−","+")&amp;IF(ABS(D96)&lt;0,"−","")&amp;"$"&amp;TEXT(ABS(ABS(D96)),"#,##0.000")&amp;"bn"&amp;"（Q4'26 占 2H26 "&amp;TEXT((D22/損益!C8)*100,"#,##0.0")&amp;"%"&amp;"，指引隱含 "&amp;TEXT(((((D31+D32)/2))/D94)*100,"#,##0.0")&amp;"%"&amp;"）；水準 "&amp;IF(D95&lt;0,"−","+")&amp;IF(ABS(D95)&lt;0,"−","")&amp;"$"&amp;TEXT(ABS(ABS(D95)),"#,##0.000")&amp;"bn"&amp;"）","營收 vs 指引中點 "&amp;IF(D52&lt;0,"−","+")&amp;TEXT(ABS(D52)*100,"#,##0.0")&amp;"%"&amp;"：觀點（水準 "&amp;IF(D95&lt;0,"−","+")&amp;IF(ABS(D95)&lt;0,"−","")&amp;"$"&amp;TEXT(ABS(ABS(D95)),"#,##0.000")&amp;"bn"&amp;"（2H26 模型 "&amp;IF(損益!C8&lt;0,"−","")&amp;"$"&amp;TEXT(ABS(損益!C8),"#,##0.000")&amp;"bn"&amp;"，指引隱含 "&amp;IF(D94&lt;0,"−","")&amp;"$"&amp;TEXT(ABS(D94),"#,##0.000")&amp;"bn"&amp;"）；分配 "&amp;IF(D96&lt;0,"−","+")&amp;IF(ABS(D96)&lt;0,"−","")&amp;"$"&amp;TEXT(ABS(ABS(D96)),"#,##0.000")&amp;"bn"&amp;"）"),"營收 vs 指引中點 "&amp;IF(D52&lt;0,"−","+")&amp;TEXT(ABS(D52)*100,"#,##0.0")&amp;"%"&amp;"：未歸類（差異原因待補）"),""),"")</f>
        <v/>
      </c>
      <c r="E99" s="42" t="str">
        <f aca="false">IF(ISNUMBER(E52),IF(OR(ABS(E52)&gt;輸入與假設!$C$232,E22&gt;E32,E22&lt;E31),IF(ISNUMBER(E95),IF(ABS(E96)&gt;ABS(E95),"營收 vs 指引中點 "&amp;IF(E52&lt;0,"−","+")&amp;TEXT(ABS(E52)*100,"#,##0.0")&amp;"%"&amp;"：拆法（分配 "&amp;IF(E96&lt;0,"−","+")&amp;IF(ABS(E96)&lt;0,"−","")&amp;"$"&amp;TEXT(ABS(ABS(E96)),"#,##0.000")&amp;"bn"&amp;"（Q1'27 占 FY27 "&amp;TEXT((E22/損益!D8)*100,"#,##0.0")&amp;"%"&amp;"，指引隱含 "&amp;TEXT(((((E31+E32)/2))/E94)*100,"#,##0.0")&amp;"%"&amp;"）；水準 "&amp;IF(E95&lt;0,"−","+")&amp;IF(ABS(E95)&lt;0,"−","")&amp;"$"&amp;TEXT(ABS(ABS(E95)),"#,##0.000")&amp;"bn"&amp;"）","營收 vs 指引中點 "&amp;IF(E52&lt;0,"−","+")&amp;TEXT(ABS(E52)*100,"#,##0.0")&amp;"%"&amp;"：觀點（水準 "&amp;IF(E95&lt;0,"−","+")&amp;IF(ABS(E95)&lt;0,"−","")&amp;"$"&amp;TEXT(ABS(ABS(E95)),"#,##0.000")&amp;"bn"&amp;"（FY27 模型 "&amp;IF(損益!D8&lt;0,"−","")&amp;"$"&amp;TEXT(ABS(損益!D8),"#,##0.000")&amp;"bn"&amp;"，指引隱含 "&amp;IF(E94&lt;0,"−","")&amp;"$"&amp;TEXT(ABS(E94),"#,##0.000")&amp;"bn"&amp;"）；分配 "&amp;IF(E96&lt;0,"−","+")&amp;IF(ABS(E96)&lt;0,"−","")&amp;"$"&amp;TEXT(ABS(ABS(E96)),"#,##0.000")&amp;"bn"&amp;"）"),"營收 vs 指引中點 "&amp;IF(E52&lt;0,"−","+")&amp;TEXT(ABS(E52)*100,"#,##0.0")&amp;"%"&amp;"：未歸類（差異原因待補）"),""),"")</f>
        <v/>
      </c>
      <c r="F99" s="42" t="str">
        <f aca="false">IF(ISNUMBER(F52),IF(OR(ABS(F52)&gt;輸入與假設!$C$232,F22&gt;F32,F22&lt;F31),IF(ISNUMBER(F95),IF(ABS(F96)&gt;ABS(F95),"營收 vs 指引中點 "&amp;IF(F52&lt;0,"−","+")&amp;TEXT(ABS(F52)*100,"#,##0.0")&amp;"%"&amp;"：拆法（分配 "&amp;IF(F96&lt;0,"−","+")&amp;IF(ABS(F96)&lt;0,"−","")&amp;"$"&amp;TEXT(ABS(ABS(F96)),"#,##0.000")&amp;"bn"&amp;"（Q2'27 占 FY27 "&amp;TEXT((F22/損益!D8)*100,"#,##0.0")&amp;"%"&amp;"，指引隱含 "&amp;TEXT(((((F31+F32)/2))/F94)*100,"#,##0.0")&amp;"%"&amp;"）；水準 "&amp;IF(F95&lt;0,"−","+")&amp;IF(ABS(F95)&lt;0,"−","")&amp;"$"&amp;TEXT(ABS(ABS(F95)),"#,##0.000")&amp;"bn"&amp;"）","營收 vs 指引中點 "&amp;IF(F52&lt;0,"−","+")&amp;TEXT(ABS(F52)*100,"#,##0.0")&amp;"%"&amp;"：觀點（水準 "&amp;IF(F95&lt;0,"−","+")&amp;IF(ABS(F95)&lt;0,"−","")&amp;"$"&amp;TEXT(ABS(ABS(F95)),"#,##0.000")&amp;"bn"&amp;"（FY27 模型 "&amp;IF(損益!D8&lt;0,"−","")&amp;"$"&amp;TEXT(ABS(損益!D8),"#,##0.000")&amp;"bn"&amp;"，指引隱含 "&amp;IF(F94&lt;0,"−","")&amp;"$"&amp;TEXT(ABS(F94),"#,##0.000")&amp;"bn"&amp;"）；分配 "&amp;IF(F96&lt;0,"−","+")&amp;IF(ABS(F96)&lt;0,"−","")&amp;"$"&amp;TEXT(ABS(ABS(F96)),"#,##0.000")&amp;"bn"&amp;"）"),"營收 vs 指引中點 "&amp;IF(F52&lt;0,"−","+")&amp;TEXT(ABS(F52)*100,"#,##0.0")&amp;"%"&amp;"：未歸類（差異原因待補）"),""),"")</f>
        <v/>
      </c>
      <c r="G99" s="42" t="str">
        <f aca="false">IF(ISNUMBER(G52),IF(OR(ABS(G52)&gt;輸入與假設!$C$232,G22&gt;G32,G22&lt;G31),IF(ISNUMBER(G95),IF(ABS(G96)&gt;ABS(G95),"營收 vs 指引中點 "&amp;IF(G52&lt;0,"−","+")&amp;TEXT(ABS(G52)*100,"#,##0.0")&amp;"%"&amp;"：拆法（分配 "&amp;IF(G96&lt;0,"−","+")&amp;IF(ABS(G96)&lt;0,"−","")&amp;"$"&amp;TEXT(ABS(ABS(G96)),"#,##0.000")&amp;"bn"&amp;"（Q3'27 占 FY27 "&amp;TEXT((G22/損益!D8)*100,"#,##0.0")&amp;"%"&amp;"，指引隱含 "&amp;TEXT(((((G31+G32)/2))/G94)*100,"#,##0.0")&amp;"%"&amp;"）；水準 "&amp;IF(G95&lt;0,"−","+")&amp;IF(ABS(G95)&lt;0,"−","")&amp;"$"&amp;TEXT(ABS(ABS(G95)),"#,##0.000")&amp;"bn"&amp;"）","營收 vs 指引中點 "&amp;IF(G52&lt;0,"−","+")&amp;TEXT(ABS(G52)*100,"#,##0.0")&amp;"%"&amp;"：觀點（水準 "&amp;IF(G95&lt;0,"−","+")&amp;IF(ABS(G95)&lt;0,"−","")&amp;"$"&amp;TEXT(ABS(ABS(G95)),"#,##0.000")&amp;"bn"&amp;"（FY27 模型 "&amp;IF(損益!D8&lt;0,"−","")&amp;"$"&amp;TEXT(ABS(損益!D8),"#,##0.000")&amp;"bn"&amp;"，指引隱含 "&amp;IF(G94&lt;0,"−","")&amp;"$"&amp;TEXT(ABS(G94),"#,##0.000")&amp;"bn"&amp;"）；分配 "&amp;IF(G96&lt;0,"−","+")&amp;IF(ABS(G96)&lt;0,"−","")&amp;"$"&amp;TEXT(ABS(ABS(G96)),"#,##0.000")&amp;"bn"&amp;"）"),"營收 vs 指引中點 "&amp;IF(G52&lt;0,"−","+")&amp;TEXT(ABS(G52)*100,"#,##0.0")&amp;"%"&amp;"：未歸類（差異原因待補）"),""),"")</f>
        <v/>
      </c>
      <c r="H99" s="42" t="str">
        <f aca="false">IF(ISNUMBER(H52),IF(OR(ABS(H52)&gt;輸入與假設!$C$232,H22&gt;H32,H22&lt;H31),IF(ISNUMBER(H95),IF(ABS(H96)&gt;ABS(H95),"營收 vs 指引中點 "&amp;IF(H52&lt;0,"−","+")&amp;TEXT(ABS(H52)*100,"#,##0.0")&amp;"%"&amp;"：拆法（分配 "&amp;IF(H96&lt;0,"−","+")&amp;IF(ABS(H96)&lt;0,"−","")&amp;"$"&amp;TEXT(ABS(ABS(H96)),"#,##0.000")&amp;"bn"&amp;"（Q4'27 占 FY27 "&amp;TEXT((H22/損益!D8)*100,"#,##0.0")&amp;"%"&amp;"，指引隱含 "&amp;TEXT(((((H31+H32)/2))/H94)*100,"#,##0.0")&amp;"%"&amp;"）；水準 "&amp;IF(H95&lt;0,"−","+")&amp;IF(ABS(H95)&lt;0,"−","")&amp;"$"&amp;TEXT(ABS(ABS(H95)),"#,##0.000")&amp;"bn"&amp;"）","營收 vs 指引中點 "&amp;IF(H52&lt;0,"−","+")&amp;TEXT(ABS(H52)*100,"#,##0.0")&amp;"%"&amp;"：觀點（水準 "&amp;IF(H95&lt;0,"−","+")&amp;IF(ABS(H95)&lt;0,"−","")&amp;"$"&amp;TEXT(ABS(ABS(H95)),"#,##0.000")&amp;"bn"&amp;"（FY27 模型 "&amp;IF(損益!D8&lt;0,"−","")&amp;"$"&amp;TEXT(ABS(損益!D8),"#,##0.000")&amp;"bn"&amp;"，指引隱含 "&amp;IF(H94&lt;0,"−","")&amp;"$"&amp;TEXT(ABS(H94),"#,##0.000")&amp;"bn"&amp;"）；分配 "&amp;IF(H96&lt;0,"−","+")&amp;IF(ABS(H96)&lt;0,"−","")&amp;"$"&amp;TEXT(ABS(ABS(H96)),"#,##0.000")&amp;"bn"&amp;"）"),"營收 vs 指引中點 "&amp;IF(H52&lt;0,"−","+")&amp;TEXT(ABS(H52)*100,"#,##0.0")&amp;"%"&amp;"：未歸類（差異原因待補）"),""),"")</f>
        <v/>
      </c>
    </row>
    <row r="100" customFormat="false" ht="15" hidden="true" customHeight="false" outlineLevel="1" collapsed="false">
      <c r="A100" s="3" t="s">
        <v>856</v>
      </c>
      <c r="C100" s="42" t="str">
        <f aca="false">IF(ISNUMBER(C52),IF(OR(ABS(C52)&gt;輸入與假設!$C$232,C22&gt;C32,C22&lt;C31),IF(ISNUMBER(C95),IF(ABS(C96)&gt;ABS(C95),"拆法","觀點"),"未歸類"),""),"")</f>
        <v>觀點</v>
      </c>
      <c r="D100" s="42" t="str">
        <f aca="false">IF(ISNUMBER(D52),IF(OR(ABS(D52)&gt;輸入與假設!$C$232,D22&gt;D32,D22&lt;D31),IF(ISNUMBER(D95),IF(ABS(D96)&gt;ABS(D95),"拆法","觀點"),"未歸類"),""),"")</f>
        <v/>
      </c>
      <c r="E100" s="42" t="str">
        <f aca="false">IF(ISNUMBER(E52),IF(OR(ABS(E52)&gt;輸入與假設!$C$232,E22&gt;E32,E22&lt;E31),IF(ISNUMBER(E95),IF(ABS(E96)&gt;ABS(E95),"拆法","觀點"),"未歸類"),""),"")</f>
        <v/>
      </c>
      <c r="F100" s="42" t="str">
        <f aca="false">IF(ISNUMBER(F52),IF(OR(ABS(F52)&gt;輸入與假設!$C$232,F22&gt;F32,F22&lt;F31),IF(ISNUMBER(F95),IF(ABS(F96)&gt;ABS(F95),"拆法","觀點"),"未歸類"),""),"")</f>
        <v/>
      </c>
      <c r="G100" s="42" t="str">
        <f aca="false">IF(ISNUMBER(G52),IF(OR(ABS(G52)&gt;輸入與假設!$C$232,G22&gt;G32,G22&lt;G31),IF(ISNUMBER(G95),IF(ABS(G96)&gt;ABS(G95),"拆法","觀點"),"未歸類"),""),"")</f>
        <v/>
      </c>
      <c r="H100" s="42" t="str">
        <f aca="false">IF(ISNUMBER(H52),IF(OR(ABS(H52)&gt;輸入與假設!$C$232,H22&gt;H32,H22&lt;H31),IF(ISNUMBER(H95),IF(ABS(H96)&gt;ABS(H95),"拆法","觀點"),"未歸類"),""),"")</f>
        <v/>
      </c>
    </row>
    <row r="101" customFormat="false" ht="15" hidden="true" customHeight="false" outlineLevel="1" collapsed="false">
      <c r="A101" s="3" t="s">
        <v>857</v>
      </c>
      <c r="C101" s="42"/>
      <c r="D101" s="42"/>
      <c r="E101" s="42"/>
      <c r="F101" s="42"/>
      <c r="G101" s="42"/>
      <c r="H101" s="42"/>
    </row>
    <row r="102" customFormat="false" ht="15" hidden="true" customHeight="false" outlineLevel="1" collapsed="false">
      <c r="A102" s="3" t="s">
        <v>858</v>
      </c>
      <c r="C102" s="42"/>
      <c r="D102" s="42"/>
      <c r="E102" s="42"/>
      <c r="F102" s="42"/>
      <c r="G102" s="42"/>
      <c r="H102" s="42"/>
    </row>
    <row r="103" customFormat="false" ht="15" hidden="true" customHeight="false" outlineLevel="1" collapsed="false">
      <c r="A103" s="3" t="s">
        <v>859</v>
      </c>
      <c r="B103" s="12" t="s">
        <v>91</v>
      </c>
      <c r="C103" s="64" t="n">
        <f aca="false">IF(COUNT(C42,D42)=2,C42+D42,"不適用")</f>
        <v>4.944</v>
      </c>
      <c r="D103" s="64" t="n">
        <f aca="false">IF(COUNT(C42,D42)=2,C42+D42,"不適用")</f>
        <v>4.944</v>
      </c>
      <c r="E103" s="64" t="str">
        <f aca="false">IF(COUNT(E42,F42,G42,H42)=4,E42+F42+G42+H42,"不適用")</f>
        <v>不適用</v>
      </c>
      <c r="F103" s="64" t="str">
        <f aca="false">IF(COUNT(E42,F42,G42,H42)=4,E42+F42+G42+H42,"不適用")</f>
        <v>不適用</v>
      </c>
      <c r="G103" s="64" t="str">
        <f aca="false">IF(COUNT(E42,F42,G42,H42)=4,E42+F42+G42+H42,"不適用")</f>
        <v>不適用</v>
      </c>
      <c r="H103" s="64" t="str">
        <f aca="false">IF(COUNT(E42,F42,G42,H42)=4,E42+F42+G42+H42,"不適用")</f>
        <v>不適用</v>
      </c>
      <c r="J103" s="7" t="s">
        <v>844</v>
      </c>
    </row>
    <row r="104" customFormat="false" ht="15" hidden="true" customHeight="false" outlineLevel="1" collapsed="false">
      <c r="A104" s="3" t="s">
        <v>860</v>
      </c>
      <c r="B104" s="12" t="s">
        <v>91</v>
      </c>
      <c r="C104" s="64" t="n">
        <f aca="false">IF(AND(ISNUMBER(C103),C103&lt;&gt;0,ISNUMBER(C42),ISNUMBER(C28)),(損益!C19-C103)*(C42)/C103,"不適用")</f>
        <v>0.00814411205501603</v>
      </c>
      <c r="D104" s="64" t="n">
        <f aca="false">IF(AND(ISNUMBER(D103),D103&lt;&gt;0,ISNUMBER(D42),ISNUMBER(D28)),(損益!C19-D103)*(D42)/D103,"不適用")</f>
        <v>0.0115258879449836</v>
      </c>
      <c r="E104" s="64" t="str">
        <f aca="false">IF(AND(ISNUMBER(E103),E103&lt;&gt;0,ISNUMBER(E42),ISNUMBER(E28)),(損益!D19-E103)*(E42)/E103,"不適用")</f>
        <v>不適用</v>
      </c>
      <c r="F104" s="64" t="str">
        <f aca="false">IF(AND(ISNUMBER(F103),F103&lt;&gt;0,ISNUMBER(F42),ISNUMBER(F28)),(損益!D19-F103)*(F42)/F103,"不適用")</f>
        <v>不適用</v>
      </c>
      <c r="G104" s="64" t="str">
        <f aca="false">IF(AND(ISNUMBER(G103),G103&lt;&gt;0,ISNUMBER(G42),ISNUMBER(G28)),(損益!D19-G103)*(G42)/G103,"不適用")</f>
        <v>不適用</v>
      </c>
      <c r="H104" s="64" t="str">
        <f aca="false">IF(AND(ISNUMBER(H103),H103&lt;&gt;0,ISNUMBER(H42),ISNUMBER(H28)),(損益!D19-H103)*(H42)/H103,"不適用")</f>
        <v>不適用</v>
      </c>
      <c r="J104" s="12" t="s">
        <v>846</v>
      </c>
    </row>
    <row r="105" customFormat="false" ht="15" hidden="true" customHeight="false" outlineLevel="1" collapsed="false">
      <c r="A105" s="3" t="s">
        <v>861</v>
      </c>
      <c r="B105" s="12" t="s">
        <v>91</v>
      </c>
      <c r="C105" s="64" t="n">
        <f aca="false">IF(AND(ISNUMBER(C103),C103&lt;&gt;0,ISNUMBER(C42),ISNUMBER(C28)),(C28/損益!C19-(C42)/C103)*損益!C19,"不適用")</f>
        <v>0.0958171446820626</v>
      </c>
      <c r="D105" s="64" t="n">
        <f aca="false">IF(AND(ISNUMBER(D103),D103&lt;&gt;0,ISNUMBER(D42),ISNUMBER(D28)),(D28/損益!C19-(D42)/D103)*損益!C19,"不適用")</f>
        <v>-0.0958171446820615</v>
      </c>
      <c r="E105" s="64" t="str">
        <f aca="false">IF(AND(ISNUMBER(E103),E103&lt;&gt;0,ISNUMBER(E42),ISNUMBER(E28)),(E28/損益!D19-(E42)/E103)*損益!D19,"不適用")</f>
        <v>不適用</v>
      </c>
      <c r="F105" s="64" t="str">
        <f aca="false">IF(AND(ISNUMBER(F103),F103&lt;&gt;0,ISNUMBER(F42),ISNUMBER(F28)),(F28/損益!D19-(F42)/F103)*損益!D19,"不適用")</f>
        <v>不適用</v>
      </c>
      <c r="G105" s="64" t="str">
        <f aca="false">IF(AND(ISNUMBER(G103),G103&lt;&gt;0,ISNUMBER(G42),ISNUMBER(G28)),(G28/損益!D19-(G42)/G103)*損益!D19,"不適用")</f>
        <v>不適用</v>
      </c>
      <c r="H105" s="64" t="str">
        <f aca="false">IF(AND(ISNUMBER(H103),H103&lt;&gt;0,ISNUMBER(H42),ISNUMBER(H28)),(H28/損益!D19-(H42)/H103)*損益!D19,"不適用")</f>
        <v>不適用</v>
      </c>
      <c r="J105" s="12" t="s">
        <v>848</v>
      </c>
    </row>
    <row r="106" customFormat="false" ht="15" hidden="true" customHeight="false" outlineLevel="1" collapsed="false">
      <c r="A106" s="3" t="s">
        <v>862</v>
      </c>
      <c r="C106" s="42" t="str">
        <f aca="false">IF(ISNUMBER(C56),IF(IF(ISNUMBER(C61),ABS(C61)&gt;輸入與假設!$C$233,OR(AND(C42&lt;&gt;0,ABS(C56)&gt;輸入與假設!$C$232*ABS(C42)),AND(C42=0,C56&lt;&gt;0))),IF(ISNUMBER(C104),IF(ABS(C105)&gt;ABS(C104),"調整後 EBITDA vs 共識 "&amp;IF(C56&lt;0,"−","+")&amp;IF(ABS(C56)&lt;0,"−","")&amp;"$"&amp;TEXT(ABS(ABS(C56)),"#,##0.00")&amp;"bn"&amp;IF(ISNUMBER(C61),"／"&amp;IF(C61&lt;0,"−","+")&amp;TEXT(ABS(C61)*100,"#,##0.0")&amp;"pt","")&amp;"：拆法（分配 "&amp;IF(C105&lt;0,"−","+")&amp;IF(ABS(C105)&lt;0,"−","")&amp;"$"&amp;TEXT(ABS(ABS(C105)),"#,##0.000")&amp;"bn"&amp;"（Q3'26 占 2H26 "&amp;TEXT((C28/損益!C19)*100,"#,##0.0")&amp;"%"&amp;"，共識合計 "&amp;TEXT(((C42)/C103)*100,"#,##0.0")&amp;"%"&amp;"）；水準 "&amp;IF(C104&lt;0,"−","+")&amp;IF(ABS(C104)&lt;0,"−","")&amp;"$"&amp;TEXT(ABS(ABS(C104)),"#,##0.000")&amp;"bn"&amp;"）","調整後 EBITDA vs 共識 "&amp;IF(C56&lt;0,"−","+")&amp;IF(ABS(C56)&lt;0,"−","")&amp;"$"&amp;TEXT(ABS(ABS(C56)),"#,##0.00")&amp;"bn"&amp;IF(ISNUMBER(C61),"／"&amp;IF(C61&lt;0,"−","+")&amp;TEXT(ABS(C61)*100,"#,##0.0")&amp;"pt","")&amp;"：觀點（水準 "&amp;IF(C104&lt;0,"−","+")&amp;IF(ABS(C104)&lt;0,"−","")&amp;"$"&amp;TEXT(ABS(ABS(C104)),"#,##0.000")&amp;"bn"&amp;"（2H26 模型 "&amp;IF(損益!C19&lt;0,"−","")&amp;"$"&amp;TEXT(ABS(損益!C19),"#,##0.000")&amp;"bn"&amp;"，共識合計 "&amp;IF(C103&lt;0,"−","")&amp;"$"&amp;TEXT(ABS(C103),"#,##0.000")&amp;"bn"&amp;"）；分配 "&amp;IF(C105&lt;0,"−","+")&amp;IF(ABS(C105)&lt;0,"−","")&amp;"$"&amp;TEXT(ABS(ABS(C105)),"#,##0.000")&amp;"bn"&amp;"）"),"調整後 EBITDA vs 共識 "&amp;IF(C56&lt;0,"−","+")&amp;IF(ABS(C56)&lt;0,"−","")&amp;"$"&amp;TEXT(ABS(ABS(C56)),"#,##0.00")&amp;"bn"&amp;IF(ISNUMBER(C61),"／"&amp;IF(C61&lt;0,"−","+")&amp;TEXT(ABS(C61)*100,"#,##0.0")&amp;"pt","")&amp;"：未歸類（差異原因待補）"),""),"")</f>
        <v/>
      </c>
      <c r="D106" s="42" t="str">
        <f aca="false">IF(ISNUMBER(D56),IF(IF(ISNUMBER(D61),ABS(D61)&gt;輸入與假設!$C$233,OR(AND(D42&lt;&gt;0,ABS(D56)&gt;輸入與假設!$C$232*ABS(D42)),AND(D42=0,D56&lt;&gt;0))),IF(ISNUMBER(D104),IF(ABS(D105)&gt;ABS(D104),"調整後 EBITDA vs 共識 "&amp;IF(D56&lt;0,"−","+")&amp;IF(ABS(D56)&lt;0,"−","")&amp;"$"&amp;TEXT(ABS(ABS(D56)),"#,##0.00")&amp;"bn"&amp;IF(ISNUMBER(D61),"／"&amp;IF(D61&lt;0,"−","+")&amp;TEXT(ABS(D61)*100,"#,##0.0")&amp;"pt","")&amp;"：拆法（分配 "&amp;IF(D105&lt;0,"−","+")&amp;IF(ABS(D105)&lt;0,"−","")&amp;"$"&amp;TEXT(ABS(ABS(D105)),"#,##0.000")&amp;"bn"&amp;"（Q4'26 占 2H26 "&amp;TEXT((D28/損益!C19)*100,"#,##0.0")&amp;"%"&amp;"，共識合計 "&amp;TEXT(((D42)/D103)*100,"#,##0.0")&amp;"%"&amp;"）；水準 "&amp;IF(D104&lt;0,"−","+")&amp;IF(ABS(D104)&lt;0,"−","")&amp;"$"&amp;TEXT(ABS(ABS(D104)),"#,##0.000")&amp;"bn"&amp;"）","調整後 EBITDA vs 共識 "&amp;IF(D56&lt;0,"−","+")&amp;IF(ABS(D56)&lt;0,"−","")&amp;"$"&amp;TEXT(ABS(ABS(D56)),"#,##0.00")&amp;"bn"&amp;IF(ISNUMBER(D61),"／"&amp;IF(D61&lt;0,"−","+")&amp;TEXT(ABS(D61)*100,"#,##0.0")&amp;"pt","")&amp;"：觀點（水準 "&amp;IF(D104&lt;0,"−","+")&amp;IF(ABS(D104)&lt;0,"−","")&amp;"$"&amp;TEXT(ABS(ABS(D104)),"#,##0.000")&amp;"bn"&amp;"（2H26 模型 "&amp;IF(損益!C19&lt;0,"−","")&amp;"$"&amp;TEXT(ABS(損益!C19),"#,##0.000")&amp;"bn"&amp;"，共識合計 "&amp;IF(D103&lt;0,"−","")&amp;"$"&amp;TEXT(ABS(D103),"#,##0.000")&amp;"bn"&amp;"）；分配 "&amp;IF(D105&lt;0,"−","+")&amp;IF(ABS(D105)&lt;0,"−","")&amp;"$"&amp;TEXT(ABS(ABS(D105)),"#,##0.000")&amp;"bn"&amp;"）"),"調整後 EBITDA vs 共識 "&amp;IF(D56&lt;0,"−","+")&amp;IF(ABS(D56)&lt;0,"−","")&amp;"$"&amp;TEXT(ABS(ABS(D56)),"#,##0.00")&amp;"bn"&amp;IF(ISNUMBER(D61),"／"&amp;IF(D61&lt;0,"−","+")&amp;TEXT(ABS(D61)*100,"#,##0.0")&amp;"pt","")&amp;"：未歸類（差異原因待補）"),""),"")</f>
        <v>調整後 EBITDA vs 共識 −$0.08bn／−2.3pt：拆法（分配 −$0.096bn（Q4'26 占 2H26 56.7%，共識合計 58.6%）；水準 +$0.012bn）</v>
      </c>
      <c r="E106" s="42" t="str">
        <f aca="false">IF(ISNUMBER(E56),IF(IF(ISNUMBER(E61),ABS(E61)&gt;輸入與假設!$C$233,OR(AND(E42&lt;&gt;0,ABS(E56)&gt;輸入與假設!$C$232*ABS(E42)),AND(E42=0,E56&lt;&gt;0))),IF(ISNUMBER(E104),IF(ABS(E105)&gt;ABS(E104),"調整後 EBITDA vs 共識 "&amp;IF(E56&lt;0,"−","+")&amp;IF(ABS(E56)&lt;0,"−","")&amp;"$"&amp;TEXT(ABS(ABS(E56)),"#,##0.00")&amp;"bn"&amp;IF(ISNUMBER(E61),"／"&amp;IF(E61&lt;0,"−","+")&amp;TEXT(ABS(E61)*100,"#,##0.0")&amp;"pt","")&amp;"：拆法（分配 "&amp;IF(E105&lt;0,"−","+")&amp;IF(ABS(E105)&lt;0,"−","")&amp;"$"&amp;TEXT(ABS(ABS(E105)),"#,##0.000")&amp;"bn"&amp;"（Q1'27 占 FY27 "&amp;TEXT((E28/損益!D19)*100,"#,##0.0")&amp;"%"&amp;"，共識合計 "&amp;TEXT(((E42)/E103)*100,"#,##0.0")&amp;"%"&amp;"）；水準 "&amp;IF(E104&lt;0,"−","+")&amp;IF(ABS(E104)&lt;0,"−","")&amp;"$"&amp;TEXT(ABS(ABS(E104)),"#,##0.000")&amp;"bn"&amp;"）","調整後 EBITDA vs 共識 "&amp;IF(E56&lt;0,"−","+")&amp;IF(ABS(E56)&lt;0,"−","")&amp;"$"&amp;TEXT(ABS(ABS(E56)),"#,##0.00")&amp;"bn"&amp;IF(ISNUMBER(E61),"／"&amp;IF(E61&lt;0,"−","+")&amp;TEXT(ABS(E61)*100,"#,##0.0")&amp;"pt","")&amp;"：觀點（水準 "&amp;IF(E104&lt;0,"−","+")&amp;IF(ABS(E104)&lt;0,"−","")&amp;"$"&amp;TEXT(ABS(ABS(E104)),"#,##0.000")&amp;"bn"&amp;"（FY27 模型 "&amp;IF(損益!D19&lt;0,"−","")&amp;"$"&amp;TEXT(ABS(損益!D19),"#,##0.000")&amp;"bn"&amp;"，共識合計 "&amp;IF(E103&lt;0,"−","")&amp;"$"&amp;TEXT(ABS(E103),"#,##0.000")&amp;"bn"&amp;"）；分配 "&amp;IF(E105&lt;0,"−","+")&amp;IF(ABS(E105)&lt;0,"−","")&amp;"$"&amp;TEXT(ABS(ABS(E105)),"#,##0.000")&amp;"bn"&amp;"）"),"調整後 EBITDA vs 共識 "&amp;IF(E56&lt;0,"−","+")&amp;IF(ABS(E56)&lt;0,"−","")&amp;"$"&amp;TEXT(ABS(ABS(E56)),"#,##0.00")&amp;"bn"&amp;IF(ISNUMBER(E61),"／"&amp;IF(E61&lt;0,"−","+")&amp;TEXT(ABS(E61)*100,"#,##0.0")&amp;"pt","")&amp;"：未歸類（差異原因待補）"),""),"")</f>
        <v/>
      </c>
      <c r="F106" s="42" t="str">
        <f aca="false">IF(ISNUMBER(F56),IF(IF(ISNUMBER(F61),ABS(F61)&gt;輸入與假設!$C$233,OR(AND(F42&lt;&gt;0,ABS(F56)&gt;輸入與假設!$C$232*ABS(F42)),AND(F42=0,F56&lt;&gt;0))),IF(ISNUMBER(F104),IF(ABS(F105)&gt;ABS(F104),"調整後 EBITDA vs 共識 "&amp;IF(F56&lt;0,"−","+")&amp;IF(ABS(F56)&lt;0,"−","")&amp;"$"&amp;TEXT(ABS(ABS(F56)),"#,##0.00")&amp;"bn"&amp;IF(ISNUMBER(F61),"／"&amp;IF(F61&lt;0,"−","+")&amp;TEXT(ABS(F61)*100,"#,##0.0")&amp;"pt","")&amp;"：拆法（分配 "&amp;IF(F105&lt;0,"−","+")&amp;IF(ABS(F105)&lt;0,"−","")&amp;"$"&amp;TEXT(ABS(ABS(F105)),"#,##0.000")&amp;"bn"&amp;"（Q2'27 占 FY27 "&amp;TEXT((F28/損益!D19)*100,"#,##0.0")&amp;"%"&amp;"，共識合計 "&amp;TEXT(((F42)/F103)*100,"#,##0.0")&amp;"%"&amp;"）；水準 "&amp;IF(F104&lt;0,"−","+")&amp;IF(ABS(F104)&lt;0,"−","")&amp;"$"&amp;TEXT(ABS(ABS(F104)),"#,##0.000")&amp;"bn"&amp;"）","調整後 EBITDA vs 共識 "&amp;IF(F56&lt;0,"−","+")&amp;IF(ABS(F56)&lt;0,"−","")&amp;"$"&amp;TEXT(ABS(ABS(F56)),"#,##0.00")&amp;"bn"&amp;IF(ISNUMBER(F61),"／"&amp;IF(F61&lt;0,"−","+")&amp;TEXT(ABS(F61)*100,"#,##0.0")&amp;"pt","")&amp;"：觀點（水準 "&amp;IF(F104&lt;0,"−","+")&amp;IF(ABS(F104)&lt;0,"−","")&amp;"$"&amp;TEXT(ABS(ABS(F104)),"#,##0.000")&amp;"bn"&amp;"（FY27 模型 "&amp;IF(損益!D19&lt;0,"−","")&amp;"$"&amp;TEXT(ABS(損益!D19),"#,##0.000")&amp;"bn"&amp;"，共識合計 "&amp;IF(F103&lt;0,"−","")&amp;"$"&amp;TEXT(ABS(F103),"#,##0.000")&amp;"bn"&amp;"）；分配 "&amp;IF(F105&lt;0,"−","+")&amp;IF(ABS(F105)&lt;0,"−","")&amp;"$"&amp;TEXT(ABS(ABS(F105)),"#,##0.000")&amp;"bn"&amp;"）"),"調整後 EBITDA vs 共識 "&amp;IF(F56&lt;0,"−","+")&amp;IF(ABS(F56)&lt;0,"−","")&amp;"$"&amp;TEXT(ABS(ABS(F56)),"#,##0.00")&amp;"bn"&amp;IF(ISNUMBER(F61),"／"&amp;IF(F61&lt;0,"−","+")&amp;TEXT(ABS(F61)*100,"#,##0.0")&amp;"pt","")&amp;"：未歸類（差異原因待補）"),""),"")</f>
        <v/>
      </c>
      <c r="G106" s="42" t="str">
        <f aca="false">IF(ISNUMBER(G56),IF(IF(ISNUMBER(G61),ABS(G61)&gt;輸入與假設!$C$233,OR(AND(G42&lt;&gt;0,ABS(G56)&gt;輸入與假設!$C$232*ABS(G42)),AND(G42=0,G56&lt;&gt;0))),IF(ISNUMBER(G104),IF(ABS(G105)&gt;ABS(G104),"調整後 EBITDA vs 共識 "&amp;IF(G56&lt;0,"−","+")&amp;IF(ABS(G56)&lt;0,"−","")&amp;"$"&amp;TEXT(ABS(ABS(G56)),"#,##0.00")&amp;"bn"&amp;IF(ISNUMBER(G61),"／"&amp;IF(G61&lt;0,"−","+")&amp;TEXT(ABS(G61)*100,"#,##0.0")&amp;"pt","")&amp;"：拆法（分配 "&amp;IF(G105&lt;0,"−","+")&amp;IF(ABS(G105)&lt;0,"−","")&amp;"$"&amp;TEXT(ABS(ABS(G105)),"#,##0.000")&amp;"bn"&amp;"（Q3'27 占 FY27 "&amp;TEXT((G28/損益!D19)*100,"#,##0.0")&amp;"%"&amp;"，共識合計 "&amp;TEXT(((G42)/G103)*100,"#,##0.0")&amp;"%"&amp;"）；水準 "&amp;IF(G104&lt;0,"−","+")&amp;IF(ABS(G104)&lt;0,"−","")&amp;"$"&amp;TEXT(ABS(ABS(G104)),"#,##0.000")&amp;"bn"&amp;"）","調整後 EBITDA vs 共識 "&amp;IF(G56&lt;0,"−","+")&amp;IF(ABS(G56)&lt;0,"−","")&amp;"$"&amp;TEXT(ABS(ABS(G56)),"#,##0.00")&amp;"bn"&amp;IF(ISNUMBER(G61),"／"&amp;IF(G61&lt;0,"−","+")&amp;TEXT(ABS(G61)*100,"#,##0.0")&amp;"pt","")&amp;"：觀點（水準 "&amp;IF(G104&lt;0,"−","+")&amp;IF(ABS(G104)&lt;0,"−","")&amp;"$"&amp;TEXT(ABS(ABS(G104)),"#,##0.000")&amp;"bn"&amp;"（FY27 模型 "&amp;IF(損益!D19&lt;0,"−","")&amp;"$"&amp;TEXT(ABS(損益!D19),"#,##0.000")&amp;"bn"&amp;"，共識合計 "&amp;IF(G103&lt;0,"−","")&amp;"$"&amp;TEXT(ABS(G103),"#,##0.000")&amp;"bn"&amp;"）；分配 "&amp;IF(G105&lt;0,"−","+")&amp;IF(ABS(G105)&lt;0,"−","")&amp;"$"&amp;TEXT(ABS(ABS(G105)),"#,##0.000")&amp;"bn"&amp;"）"),"調整後 EBITDA vs 共識 "&amp;IF(G56&lt;0,"−","+")&amp;IF(ABS(G56)&lt;0,"−","")&amp;"$"&amp;TEXT(ABS(ABS(G56)),"#,##0.00")&amp;"bn"&amp;IF(ISNUMBER(G61),"／"&amp;IF(G61&lt;0,"−","+")&amp;TEXT(ABS(G61)*100,"#,##0.0")&amp;"pt","")&amp;"：未歸類（差異原因待補）"),""),"")</f>
        <v/>
      </c>
      <c r="H106" s="42" t="str">
        <f aca="false">IF(ISNUMBER(H56),IF(IF(ISNUMBER(H61),ABS(H61)&gt;輸入與假設!$C$233,OR(AND(H42&lt;&gt;0,ABS(H56)&gt;輸入與假設!$C$232*ABS(H42)),AND(H42=0,H56&lt;&gt;0))),IF(ISNUMBER(H104),IF(ABS(H105)&gt;ABS(H104),"調整後 EBITDA vs 共識 "&amp;IF(H56&lt;0,"−","+")&amp;IF(ABS(H56)&lt;0,"−","")&amp;"$"&amp;TEXT(ABS(ABS(H56)),"#,##0.00")&amp;"bn"&amp;IF(ISNUMBER(H61),"／"&amp;IF(H61&lt;0,"−","+")&amp;TEXT(ABS(H61)*100,"#,##0.0")&amp;"pt","")&amp;"：拆法（分配 "&amp;IF(H105&lt;0,"−","+")&amp;IF(ABS(H105)&lt;0,"−","")&amp;"$"&amp;TEXT(ABS(ABS(H105)),"#,##0.000")&amp;"bn"&amp;"（Q4'27 占 FY27 "&amp;TEXT((H28/損益!D19)*100,"#,##0.0")&amp;"%"&amp;"，共識合計 "&amp;TEXT(((H42)/H103)*100,"#,##0.0")&amp;"%"&amp;"）；水準 "&amp;IF(H104&lt;0,"−","+")&amp;IF(ABS(H104)&lt;0,"−","")&amp;"$"&amp;TEXT(ABS(ABS(H104)),"#,##0.000")&amp;"bn"&amp;"）","調整後 EBITDA vs 共識 "&amp;IF(H56&lt;0,"−","+")&amp;IF(ABS(H56)&lt;0,"−","")&amp;"$"&amp;TEXT(ABS(ABS(H56)),"#,##0.00")&amp;"bn"&amp;IF(ISNUMBER(H61),"／"&amp;IF(H61&lt;0,"−","+")&amp;TEXT(ABS(H61)*100,"#,##0.0")&amp;"pt","")&amp;"：觀點（水準 "&amp;IF(H104&lt;0,"−","+")&amp;IF(ABS(H104)&lt;0,"−","")&amp;"$"&amp;TEXT(ABS(ABS(H104)),"#,##0.000")&amp;"bn"&amp;"（FY27 模型 "&amp;IF(損益!D19&lt;0,"−","")&amp;"$"&amp;TEXT(ABS(損益!D19),"#,##0.000")&amp;"bn"&amp;"，共識合計 "&amp;IF(H103&lt;0,"−","")&amp;"$"&amp;TEXT(ABS(H103),"#,##0.000")&amp;"bn"&amp;"）；分配 "&amp;IF(H105&lt;0,"−","+")&amp;IF(ABS(H105)&lt;0,"−","")&amp;"$"&amp;TEXT(ABS(ABS(H105)),"#,##0.000")&amp;"bn"&amp;"）"),"調整後 EBITDA vs 共識 "&amp;IF(H56&lt;0,"−","+")&amp;IF(ABS(H56)&lt;0,"−","")&amp;"$"&amp;TEXT(ABS(ABS(H56)),"#,##0.00")&amp;"bn"&amp;IF(ISNUMBER(H61),"／"&amp;IF(H61&lt;0,"−","+")&amp;TEXT(ABS(H61)*100,"#,##0.0")&amp;"pt","")&amp;"：未歸類（差異原因待補）"),""),"")</f>
        <v/>
      </c>
    </row>
    <row r="107" customFormat="false" ht="15" hidden="true" customHeight="false" outlineLevel="1" collapsed="false">
      <c r="A107" s="3" t="s">
        <v>863</v>
      </c>
      <c r="C107" s="42" t="str">
        <f aca="false">IF(ISNUMBER(C56),IF(IF(ISNUMBER(C61),ABS(C61)&gt;輸入與假設!$C$233,OR(AND(C42&lt;&gt;0,ABS(C56)&gt;輸入與假設!$C$232*ABS(C42)),AND(C42=0,C56&lt;&gt;0))),IF(ISNUMBER(C104),IF(ABS(C105)&gt;ABS(C104),"拆法","觀點"),"未歸類"),""),"")</f>
        <v/>
      </c>
      <c r="D107" s="42" t="str">
        <f aca="false">IF(ISNUMBER(D56),IF(IF(ISNUMBER(D61),ABS(D61)&gt;輸入與假設!$C$233,OR(AND(D42&lt;&gt;0,ABS(D56)&gt;輸入與假設!$C$232*ABS(D42)),AND(D42=0,D56&lt;&gt;0))),IF(ISNUMBER(D104),IF(ABS(D105)&gt;ABS(D104),"拆法","觀點"),"未歸類"),""),"")</f>
        <v>拆法</v>
      </c>
      <c r="E107" s="42" t="str">
        <f aca="false">IF(ISNUMBER(E56),IF(IF(ISNUMBER(E61),ABS(E61)&gt;輸入與假設!$C$233,OR(AND(E42&lt;&gt;0,ABS(E56)&gt;輸入與假設!$C$232*ABS(E42)),AND(E42=0,E56&lt;&gt;0))),IF(ISNUMBER(E104),IF(ABS(E105)&gt;ABS(E104),"拆法","觀點"),"未歸類"),""),"")</f>
        <v/>
      </c>
      <c r="F107" s="42" t="str">
        <f aca="false">IF(ISNUMBER(F56),IF(IF(ISNUMBER(F61),ABS(F61)&gt;輸入與假設!$C$233,OR(AND(F42&lt;&gt;0,ABS(F56)&gt;輸入與假設!$C$232*ABS(F42)),AND(F42=0,F56&lt;&gt;0))),IF(ISNUMBER(F104),IF(ABS(F105)&gt;ABS(F104),"拆法","觀點"),"未歸類"),""),"")</f>
        <v/>
      </c>
      <c r="G107" s="42" t="str">
        <f aca="false">IF(ISNUMBER(G56),IF(IF(ISNUMBER(G61),ABS(G61)&gt;輸入與假設!$C$233,OR(AND(G42&lt;&gt;0,ABS(G56)&gt;輸入與假設!$C$232*ABS(G42)),AND(G42=0,G56&lt;&gt;0))),IF(ISNUMBER(G104),IF(ABS(G105)&gt;ABS(G104),"拆法","觀點"),"未歸類"),""),"")</f>
        <v/>
      </c>
      <c r="H107" s="42" t="str">
        <f aca="false">IF(ISNUMBER(H56),IF(IF(ISNUMBER(H61),ABS(H61)&gt;輸入與假設!$C$233,OR(AND(H42&lt;&gt;0,ABS(H56)&gt;輸入與假設!$C$232*ABS(H42)),AND(H42=0,H56&lt;&gt;0))),IF(ISNUMBER(H104),IF(ABS(H105)&gt;ABS(H104),"拆法","觀點"),"未歸類"),""),"")</f>
        <v/>
      </c>
    </row>
    <row r="108" customFormat="false" ht="15" hidden="true" customHeight="false" outlineLevel="1" collapsed="false">
      <c r="A108" s="3" t="s">
        <v>864</v>
      </c>
      <c r="C108" s="42"/>
      <c r="D108" s="42"/>
      <c r="E108" s="42"/>
      <c r="F108" s="42"/>
      <c r="G108" s="42"/>
      <c r="H108" s="42"/>
    </row>
    <row r="109" customFormat="false" ht="15" hidden="true" customHeight="false" outlineLevel="1" collapsed="false">
      <c r="A109" s="3" t="s">
        <v>865</v>
      </c>
      <c r="C109" s="42"/>
      <c r="D109" s="42"/>
      <c r="E109" s="42"/>
      <c r="F109" s="42"/>
      <c r="G109" s="42"/>
      <c r="H109" s="42"/>
    </row>
    <row r="110" customFormat="false" ht="15" hidden="true" customHeight="false" outlineLevel="1" collapsed="false">
      <c r="A110" s="3" t="s">
        <v>866</v>
      </c>
      <c r="C110" s="42"/>
      <c r="D110" s="42"/>
      <c r="E110" s="42"/>
      <c r="F110" s="42"/>
      <c r="G110" s="42"/>
      <c r="H110" s="42"/>
    </row>
    <row r="111" customFormat="false" ht="15" hidden="true" customHeight="false" outlineLevel="1" collapsed="false">
      <c r="A111" s="3" t="s">
        <v>867</v>
      </c>
      <c r="C111" s="42"/>
      <c r="D111" s="42"/>
      <c r="E111" s="42"/>
      <c r="F111" s="42"/>
      <c r="G111" s="42"/>
      <c r="H111" s="42"/>
    </row>
    <row r="112" customFormat="false" ht="15" hidden="true" customHeight="false" outlineLevel="1" collapsed="false">
      <c r="A112" s="3" t="s">
        <v>868</v>
      </c>
      <c r="C112" s="42"/>
      <c r="D112" s="42"/>
      <c r="E112" s="42"/>
      <c r="F112" s="42"/>
      <c r="G112" s="42"/>
      <c r="H112" s="42"/>
    </row>
    <row r="113" customFormat="false" ht="15" hidden="true" customHeight="false" outlineLevel="1" collapsed="false">
      <c r="A113" s="3" t="s">
        <v>869</v>
      </c>
      <c r="C113" s="42"/>
      <c r="D113" s="42"/>
      <c r="E113" s="42"/>
      <c r="F113" s="42"/>
      <c r="G113" s="42"/>
      <c r="H113" s="42"/>
    </row>
    <row r="114" customFormat="false" ht="15" hidden="true" customHeight="false" outlineLevel="1" collapsed="false">
      <c r="A114" s="3" t="s">
        <v>870</v>
      </c>
      <c r="C114" s="42" t="str">
        <f aca="false">IF(ISNUMBER(C72),IF(OR(IF(ISNUMBER(C77),ABS(C77)&gt;輸入與假設!$C$233,OR(AND(((C33+C34)/2)&lt;&gt;0,ABS(C72)&gt;輸入與假設!$C$232*ABS(((C33+C34)/2))),AND(((C33+C34)/2)=0,C72&lt;&gt;0))),C30&gt;C34,C30&lt;C33),"調整後營業利益 vs 指引中點 "&amp;IF(C72&lt;0,"−","+")&amp;IF(ABS(C72)&lt;0,"−","")&amp;"$"&amp;TEXT(ABS(ABS(C72)),"#,##0.00")&amp;"bn"&amp;IF(ISNUMBER(C77),"／"&amp;IF(C77&lt;0,"−","+")&amp;TEXT(ABS(C77)*100,"#,##0.0")&amp;"pt","")&amp;"：已知限制（"&amp;"對照指引隱含折舊 "&amp;IF((輸入與假設!$C$209-((C33+C34)/2))&lt;0,"−","")&amp;TEXT(ABS((輸入與假設!$C$209-((C33+C34)/2))),"#,##0.00")&amp;"（＝共識 EBITDA "&amp;IF((輸入與假設!$C$209)&lt;0,"−","")&amp;TEXT(ABS((輸入與假設!$C$209)),"#,##0.00")&amp;" − 指引中點 "&amp;IF((((C33+C34)/2))&lt;0,"−","")&amp;TEXT(ABS((((C33+C34)/2))),"#,##0.00")&amp;"，Derived），模型折舊 "&amp;IF((C29)&lt;0,"−","")&amp;TEXT(ABS((C29)),"#,##0.00")&amp;"；缺口 "&amp;IF((C30-((C33+C34)/2))&lt;0,"−","+")&amp;TEXT(ABS((C30-((C33+C34)/2))),"#,##0.00")&amp;" ≈ 折舊 "&amp;IF((輸入與假設!$C$209-((C33+C34)/2)-C29)&lt;0,"−","+")&amp;TEXT(ABS((輸入與假設!$C$209-((C33+C34)/2)-C29)),"#,##0.00")&amp;" ＋ EBITDA "&amp;IF((C28-輸入與假設!$C$209)&lt;0,"−","+")&amp;TEXT(ABS((C28-輸入與假設!$C$209)),"#,##0.00")&amp;"；待辦 6 修正折舊"&amp;"）",""),"")</f>
        <v>調整後營業利益 vs 指引中點 −$0.24bn／−6.9pt：已知限制（對照指引隱含折舊 1.82（＝共識 EBITDA 2.05 − 指引中點 0.23，Derived），模型折舊 2.16；缺口 −0.24 ≈ 折舊 −0.35 ＋ EBITDA +0.10；待辦 6 修正折舊）</v>
      </c>
      <c r="D114" s="42" t="str">
        <f aca="false">IF(ISNUMBER(D72),IF(OR(IF(ISNUMBER(D77),ABS(D77)&gt;輸入與假設!$C$233,OR(AND(((D33+D34)/2)&lt;&gt;0,ABS(D72)&gt;輸入與假設!$C$232*ABS(((D33+D34)/2))),AND(((D33+D34)/2)=0,D72&lt;&gt;0))),D30&gt;D34,D30&lt;D33),"調整後營業利益 vs 指引中點 "&amp;IF(D72&lt;0,"−","+")&amp;IF(ABS(D72)&lt;0,"−","")&amp;"$"&amp;TEXT(ABS(ABS(D72)),"#,##0.00")&amp;"bn"&amp;IF(ISNUMBER(D77),"／"&amp;IF(D77&lt;0,"−","+")&amp;TEXT(ABS(D77)*100,"#,##0.0")&amp;"pt","")&amp;"：已知限制（"&amp;"對照指引隱含折舊 "&amp;"不適用"&amp;"（＝共識 EBITDA "&amp;IF((輸入與假設!$D$209)&lt;0,"−","")&amp;TEXT(ABS((輸入與假設!$D$209)),"#,##0.00")&amp;" − 指引中點 "&amp;"不適用"&amp;"，Derived），模型折舊 "&amp;IF((D29)&lt;0,"−","")&amp;TEXT(ABS((D29)),"#,##0.00")&amp;"；缺口 "&amp;"不適用"&amp;" ≈ 折舊 "&amp;"不適用"&amp;" ＋ EBITDA "&amp;IF((D28-輸入與假設!$D$209)&lt;0,"−","+")&amp;TEXT(ABS((D28-輸入與假設!$D$209)),"#,##0.00")&amp;"；待辦 6 修正折舊"&amp;"）",""),"")</f>
        <v/>
      </c>
      <c r="E114" s="42" t="str">
        <f aca="false">IF(ISNUMBER(E72),IF(OR(IF(ISNUMBER(E77),ABS(E77)&gt;輸入與假設!$C$233,OR(AND(((E33+E34)/2)&lt;&gt;0,ABS(E72)&gt;輸入與假設!$C$232*ABS(((E33+E34)/2))),AND(((E33+E34)/2)=0,E72&lt;&gt;0))),E30&gt;E34,E30&lt;E33),"調整後營業利益 vs 指引中點 "&amp;IF(E72&lt;0,"−","+")&amp;IF(ABS(E72)&lt;0,"−","")&amp;"$"&amp;TEXT(ABS(ABS(E72)),"#,##0.00")&amp;"bn"&amp;IF(ISNUMBER(E77),"／"&amp;IF(E77&lt;0,"−","+")&amp;TEXT(ABS(E77)*100,"#,##0.0")&amp;"pt","")&amp;"：已知限制（"&amp;"對照指引隱含折舊 "&amp;"不適用"&amp;"（＝共識 EBITDA "&amp;"不適用"&amp;" − 指引中點 "&amp;"不適用"&amp;"，Derived），模型折舊 "&amp;IF((E29)&lt;0,"−","")&amp;TEXT(ABS((E29)),"#,##0.00")&amp;"；缺口 "&amp;"不適用"&amp;" ≈ 折舊 "&amp;"不適用"&amp;" ＋ EBITDA "&amp;"不適用"&amp;"；待辦 6 修正折舊"&amp;"）",""),"")</f>
        <v/>
      </c>
      <c r="F114" s="42" t="str">
        <f aca="false">IF(ISNUMBER(F72),IF(OR(IF(ISNUMBER(F77),ABS(F77)&gt;輸入與假設!$C$233,OR(AND(((F33+F34)/2)&lt;&gt;0,ABS(F72)&gt;輸入與假設!$C$232*ABS(((F33+F34)/2))),AND(((F33+F34)/2)=0,F72&lt;&gt;0))),F30&gt;F34,F30&lt;F33),"調整後營業利益 vs 指引中點 "&amp;IF(F72&lt;0,"−","+")&amp;IF(ABS(F72)&lt;0,"−","")&amp;"$"&amp;TEXT(ABS(ABS(F72)),"#,##0.00")&amp;"bn"&amp;IF(ISNUMBER(F77),"／"&amp;IF(F77&lt;0,"−","+")&amp;TEXT(ABS(F77)*100,"#,##0.0")&amp;"pt","")&amp;"：已知限制（"&amp;"對照指引隱含折舊 "&amp;"不適用"&amp;"（＝共識 EBITDA "&amp;"不適用"&amp;" − 指引中點 "&amp;"不適用"&amp;"，Derived），模型折舊 "&amp;IF((F29)&lt;0,"−","")&amp;TEXT(ABS((F29)),"#,##0.00")&amp;"；缺口 "&amp;"不適用"&amp;" ≈ 折舊 "&amp;"不適用"&amp;" ＋ EBITDA "&amp;"不適用"&amp;"；待辦 6 修正折舊"&amp;"）",""),"")</f>
        <v/>
      </c>
      <c r="G114" s="42" t="str">
        <f aca="false">IF(ISNUMBER(G72),IF(OR(IF(ISNUMBER(G77),ABS(G77)&gt;輸入與假設!$C$233,OR(AND(((G33+G34)/2)&lt;&gt;0,ABS(G72)&gt;輸入與假設!$C$232*ABS(((G33+G34)/2))),AND(((G33+G34)/2)=0,G72&lt;&gt;0))),G30&gt;G34,G30&lt;G33),"調整後營業利益 vs 指引中點 "&amp;IF(G72&lt;0,"−","+")&amp;IF(ABS(G72)&lt;0,"−","")&amp;"$"&amp;TEXT(ABS(ABS(G72)),"#,##0.00")&amp;"bn"&amp;IF(ISNUMBER(G77),"／"&amp;IF(G77&lt;0,"−","+")&amp;TEXT(ABS(G77)*100,"#,##0.0")&amp;"pt","")&amp;"：已知限制（"&amp;"對照指引隱含折舊 "&amp;"不適用"&amp;"（＝共識 EBITDA "&amp;"不適用"&amp;" − 指引中點 "&amp;"不適用"&amp;"，Derived），模型折舊 "&amp;IF((G29)&lt;0,"−","")&amp;TEXT(ABS((G29)),"#,##0.00")&amp;"；缺口 "&amp;"不適用"&amp;" ≈ 折舊 "&amp;"不適用"&amp;" ＋ EBITDA "&amp;"不適用"&amp;"；待辦 6 修正折舊"&amp;"）",""),"")</f>
        <v/>
      </c>
      <c r="H114" s="42" t="str">
        <f aca="false">IF(ISNUMBER(H72),IF(OR(IF(ISNUMBER(H77),ABS(H77)&gt;輸入與假設!$C$233,OR(AND(((H33+H34)/2)&lt;&gt;0,ABS(H72)&gt;輸入與假設!$C$232*ABS(((H33+H34)/2))),AND(((H33+H34)/2)=0,H72&lt;&gt;0))),H30&gt;H34,H30&lt;H33),"調整後營業利益 vs 指引中點 "&amp;IF(H72&lt;0,"−","+")&amp;IF(ABS(H72)&lt;0,"−","")&amp;"$"&amp;TEXT(ABS(ABS(H72)),"#,##0.00")&amp;"bn"&amp;IF(ISNUMBER(H77),"／"&amp;IF(H77&lt;0,"−","+")&amp;TEXT(ABS(H77)*100,"#,##0.0")&amp;"pt","")&amp;"：已知限制（"&amp;"對照指引隱含折舊 "&amp;"不適用"&amp;"（＝共識 EBITDA "&amp;"不適用"&amp;" − 指引中點 "&amp;"不適用"&amp;"，Derived），模型折舊 "&amp;IF((H29)&lt;0,"−","")&amp;TEXT(ABS((H29)),"#,##0.00")&amp;"；缺口 "&amp;"不適用"&amp;" ≈ 折舊 "&amp;"不適用"&amp;" ＋ EBITDA "&amp;"不適用"&amp;"；待辦 6 修正折舊"&amp;"）",""),"")</f>
        <v/>
      </c>
    </row>
    <row r="115" customFormat="false" ht="15" hidden="true" customHeight="false" outlineLevel="1" collapsed="false">
      <c r="A115" s="3" t="s">
        <v>871</v>
      </c>
      <c r="C115" s="42" t="str">
        <f aca="false">IF(ISNUMBER(C72),IF(OR(IF(ISNUMBER(C77),ABS(C77)&gt;輸入與假設!$C$233,OR(AND(((C33+C34)/2)&lt;&gt;0,ABS(C72)&gt;輸入與假設!$C$232*ABS(((C33+C34)/2))),AND(((C33+C34)/2)=0,C72&lt;&gt;0))),C30&gt;C34,C30&lt;C33),"已知限制",""),"")</f>
        <v>已知限制</v>
      </c>
      <c r="D115" s="42" t="str">
        <f aca="false">IF(ISNUMBER(D72),IF(OR(IF(ISNUMBER(D77),ABS(D77)&gt;輸入與假設!$C$233,OR(AND(((D33+D34)/2)&lt;&gt;0,ABS(D72)&gt;輸入與假設!$C$232*ABS(((D33+D34)/2))),AND(((D33+D34)/2)=0,D72&lt;&gt;0))),D30&gt;D34,D30&lt;D33),"已知限制",""),"")</f>
        <v/>
      </c>
      <c r="E115" s="42" t="str">
        <f aca="false">IF(ISNUMBER(E72),IF(OR(IF(ISNUMBER(E77),ABS(E77)&gt;輸入與假設!$C$233,OR(AND(((E33+E34)/2)&lt;&gt;0,ABS(E72)&gt;輸入與假設!$C$232*ABS(((E33+E34)/2))),AND(((E33+E34)/2)=0,E72&lt;&gt;0))),E30&gt;E34,E30&lt;E33),"已知限制",""),"")</f>
        <v/>
      </c>
      <c r="F115" s="42" t="str">
        <f aca="false">IF(ISNUMBER(F72),IF(OR(IF(ISNUMBER(F77),ABS(F77)&gt;輸入與假設!$C$233,OR(AND(((F33+F34)/2)&lt;&gt;0,ABS(F72)&gt;輸入與假設!$C$232*ABS(((F33+F34)/2))),AND(((F33+F34)/2)=0,F72&lt;&gt;0))),F30&gt;F34,F30&lt;F33),"已知限制",""),"")</f>
        <v/>
      </c>
      <c r="G115" s="42" t="str">
        <f aca="false">IF(ISNUMBER(G72),IF(OR(IF(ISNUMBER(G77),ABS(G77)&gt;輸入與假設!$C$233,OR(AND(((G33+G34)/2)&lt;&gt;0,ABS(G72)&gt;輸入與假設!$C$232*ABS(((G33+G34)/2))),AND(((G33+G34)/2)=0,G72&lt;&gt;0))),G30&gt;G34,G30&lt;G33),"已知限制",""),"")</f>
        <v/>
      </c>
      <c r="H115" s="42" t="str">
        <f aca="false">IF(ISNUMBER(H72),IF(OR(IF(ISNUMBER(H77),ABS(H77)&gt;輸入與假設!$C$233,OR(AND(((H33+H34)/2)&lt;&gt;0,ABS(H72)&gt;輸入與假設!$C$232*ABS(((H33+H34)/2))),AND(((H33+H34)/2)=0,H72&lt;&gt;0))),H30&gt;H34,H30&lt;H33),"已知限制",""),"")</f>
        <v/>
      </c>
    </row>
    <row r="116" customFormat="false" ht="15" hidden="true" customHeight="false" outlineLevel="1" collapsed="false">
      <c r="A116" s="3" t="s">
        <v>872</v>
      </c>
      <c r="C116" s="42"/>
      <c r="D116" s="42"/>
      <c r="E116" s="42"/>
      <c r="F116" s="42"/>
      <c r="G116" s="42"/>
      <c r="H116" s="42"/>
    </row>
    <row r="117" customFormat="false" ht="15" hidden="true" customHeight="false" outlineLevel="1" collapsed="false">
      <c r="A117" s="3" t="s">
        <v>873</v>
      </c>
      <c r="C117" s="42"/>
      <c r="D117" s="42"/>
      <c r="E117" s="42"/>
      <c r="F117" s="42"/>
      <c r="G117" s="42"/>
      <c r="H117" s="42"/>
    </row>
    <row r="118" customFormat="false" ht="15" hidden="true" customHeight="false" outlineLevel="1" collapsed="false">
      <c r="A118" s="3" t="s">
        <v>874</v>
      </c>
      <c r="B118" s="12" t="s">
        <v>91</v>
      </c>
      <c r="C118" s="64" t="n">
        <f aca="false">(輸入與假設!$C$257+輸入與假設!$D$257)/2-輸入與假設!$E$257</f>
        <v>20.861</v>
      </c>
      <c r="D118" s="64" t="n">
        <f aca="false">(輸入與假設!$C$257+輸入與假設!$D$257)/2-輸入與假設!$E$257</f>
        <v>20.861</v>
      </c>
      <c r="E118" s="64" t="s">
        <v>742</v>
      </c>
      <c r="F118" s="64" t="s">
        <v>742</v>
      </c>
      <c r="G118" s="64" t="s">
        <v>742</v>
      </c>
      <c r="H118" s="64" t="s">
        <v>742</v>
      </c>
      <c r="J118" s="7" t="s">
        <v>850</v>
      </c>
    </row>
    <row r="119" customFormat="false" ht="15" hidden="true" customHeight="false" outlineLevel="1" collapsed="false">
      <c r="A119" s="3" t="s">
        <v>875</v>
      </c>
      <c r="B119" s="12" t="s">
        <v>91</v>
      </c>
      <c r="C119" s="64" t="n">
        <f aca="false">IF(AND(ISNUMBER(C118),C118&lt;&gt;0,ISNUMBER(((C36+C37)/2)),ISNUMBER(C40)),(輸入與假設!C$73-C118)*(((C36+C37)/2))/C118,"不適用")</f>
        <v>-0.0149801064186751</v>
      </c>
      <c r="D119" s="64" t="str">
        <f aca="false">IF(AND(ISNUMBER(D118),D118&lt;&gt;0,ISNUMBER(((D36+D37)/2)),ISNUMBER(D40)),(輸入與假設!C$73-D118)*(((D36+D37)/2))/D118,"不適用")</f>
        <v>不適用</v>
      </c>
      <c r="E119" s="64" t="str">
        <f aca="false">IF(AND(ISNUMBER(E118),E118&lt;&gt;0,ISNUMBER(((E36+E37)/2)),ISNUMBER(E40)),(輸入與假設!D$73-E118)*(((E36+E37)/2))/E118,"不適用")</f>
        <v>不適用</v>
      </c>
      <c r="F119" s="64" t="str">
        <f aca="false">IF(AND(ISNUMBER(F118),F118&lt;&gt;0,ISNUMBER(((F36+F37)/2)),ISNUMBER(F40)),(輸入與假設!D$73-F118)*(((F36+F37)/2))/F118,"不適用")</f>
        <v>不適用</v>
      </c>
      <c r="G119" s="64" t="str">
        <f aca="false">IF(AND(ISNUMBER(G118),G118&lt;&gt;0,ISNUMBER(((G36+G37)/2)),ISNUMBER(G40)),(輸入與假設!D$73-G118)*(((G36+G37)/2))/G118,"不適用")</f>
        <v>不適用</v>
      </c>
      <c r="H119" s="64" t="str">
        <f aca="false">IF(AND(ISNUMBER(H118),H118&lt;&gt;0,ISNUMBER(((H36+H37)/2)),ISNUMBER(H40)),(輸入與假設!D$73-H118)*(((H36+H37)/2))/H118,"不適用")</f>
        <v>不適用</v>
      </c>
      <c r="J119" s="12" t="s">
        <v>846</v>
      </c>
    </row>
    <row r="120" customFormat="false" ht="15" hidden="true" customHeight="false" outlineLevel="1" collapsed="false">
      <c r="A120" s="3" t="s">
        <v>876</v>
      </c>
      <c r="B120" s="12" t="s">
        <v>91</v>
      </c>
      <c r="C120" s="64" t="n">
        <f aca="false">IF(AND(ISNUMBER(C118),C118&lt;&gt;0,ISNUMBER(((C36+C37)/2)),ISNUMBER(C40)),(C40/輸入與假設!C$73-(((C36+C37)/2))/C118)*輸入與假設!C$73,"不適用")</f>
        <v>0.0149801064186753</v>
      </c>
      <c r="D120" s="64" t="str">
        <f aca="false">IF(AND(ISNUMBER(D118),D118&lt;&gt;0,ISNUMBER(((D36+D37)/2)),ISNUMBER(D40)),(D40/輸入與假設!C$73-(((D36+D37)/2))/D118)*輸入與假設!C$73,"不適用")</f>
        <v>不適用</v>
      </c>
      <c r="E120" s="64" t="str">
        <f aca="false">IF(AND(ISNUMBER(E118),E118&lt;&gt;0,ISNUMBER(((E36+E37)/2)),ISNUMBER(E40)),(E40/輸入與假設!D$73-(((E36+E37)/2))/E118)*輸入與假設!D$73,"不適用")</f>
        <v>不適用</v>
      </c>
      <c r="F120" s="64" t="str">
        <f aca="false">IF(AND(ISNUMBER(F118),F118&lt;&gt;0,ISNUMBER(((F36+F37)/2)),ISNUMBER(F40)),(F40/輸入與假設!D$73-(((F36+F37)/2))/F118)*輸入與假設!D$73,"不適用")</f>
        <v>不適用</v>
      </c>
      <c r="G120" s="64" t="str">
        <f aca="false">IF(AND(ISNUMBER(G118),G118&lt;&gt;0,ISNUMBER(((G36+G37)/2)),ISNUMBER(G40)),(G40/輸入與假設!D$73-(((G36+G37)/2))/G118)*輸入與假設!D$73,"不適用")</f>
        <v>不適用</v>
      </c>
      <c r="H120" s="64" t="str">
        <f aca="false">IF(AND(ISNUMBER(H118),H118&lt;&gt;0,ISNUMBER(((H36+H37)/2)),ISNUMBER(H40)),(H40/輸入與假設!D$73-(((H36+H37)/2))/H118)*輸入與假設!D$73,"不適用")</f>
        <v>不適用</v>
      </c>
      <c r="J120" s="12" t="s">
        <v>848</v>
      </c>
    </row>
    <row r="121" customFormat="false" ht="15" hidden="true" customHeight="false" outlineLevel="1" collapsed="false">
      <c r="A121" s="3" t="s">
        <v>877</v>
      </c>
      <c r="C121" s="42"/>
      <c r="D121" s="42"/>
      <c r="E121" s="42"/>
      <c r="F121" s="42"/>
      <c r="G121" s="42"/>
      <c r="H121" s="42"/>
    </row>
    <row r="122" customFormat="false" ht="15" hidden="true" customHeight="false" outlineLevel="1" collapsed="false">
      <c r="A122" s="3" t="s">
        <v>878</v>
      </c>
      <c r="C122" s="42"/>
      <c r="D122" s="42"/>
      <c r="E122" s="42"/>
      <c r="F122" s="42"/>
      <c r="G122" s="42"/>
      <c r="H122" s="42"/>
    </row>
    <row r="123" customFormat="false" ht="15" hidden="true" customHeight="false" outlineLevel="1" collapsed="false">
      <c r="A123" s="3" t="s">
        <v>879</v>
      </c>
      <c r="C123" s="42" t="str">
        <f aca="false">IF(ISNUMBER(C82),IF(OR(ABS(C82)&gt;輸入與假設!$C$232,C40&gt;C37,C40&lt;C36),IF(ISNUMBER(C119),IF(ABS(C120)&gt;ABS(C119),"CapEx（毛額） vs 指引中點 "&amp;IF(C82&lt;0,"−","+")&amp;TEXT(ABS(C82)*100,"#,##0.0")&amp;"%"&amp;"：拆法（分配 "&amp;IF(C120&lt;0,"−","+")&amp;IF(ABS(C120)&lt;0,"−","")&amp;"$"&amp;TEXT(ABS(ABS(C120)),"#,##0.000")&amp;"bn"&amp;"（Q3'26 占 2H26 "&amp;TEXT((C40/輸入與假設!C$73)*100,"#,##0.0")&amp;"%"&amp;"，指引隱含 "&amp;TEXT(((((C36+C37)/2))/C118)*100,"#,##0.0")&amp;"%"&amp;"）；水準 "&amp;IF(C119&lt;0,"−","+")&amp;IF(ABS(C119)&lt;0,"−","")&amp;"$"&amp;TEXT(ABS(ABS(C119)),"#,##0.000")&amp;"bn"&amp;"）","CapEx（毛額） vs 指引中點 "&amp;IF(C82&lt;0,"−","+")&amp;TEXT(ABS(C82)*100,"#,##0.0")&amp;"%"&amp;"：觀點（水準 "&amp;IF(C119&lt;0,"−","+")&amp;IF(ABS(C119)&lt;0,"−","")&amp;"$"&amp;TEXT(ABS(ABS(C119)),"#,##0.000")&amp;"bn"&amp;"（2H26 模型 "&amp;IF(輸入與假設!C$73&lt;0,"−","")&amp;"$"&amp;TEXT(ABS(輸入與假設!C$73),"#,##0.000")&amp;"bn"&amp;"，指引隱含 "&amp;IF(C118&lt;0,"−","")&amp;"$"&amp;TEXT(ABS(C118),"#,##0.000")&amp;"bn"&amp;"）；分配 "&amp;IF(C120&lt;0,"−","+")&amp;IF(ABS(C120)&lt;0,"−","")&amp;"$"&amp;TEXT(ABS(ABS(C120)),"#,##0.000")&amp;"bn"&amp;"）"),"CapEx（毛額） vs 指引中點 "&amp;IF(C82&lt;0,"−","+")&amp;TEXT(ABS(C82)*100,"#,##0.0")&amp;"%"&amp;"：未歸類（差異原因待補）"),""),"")</f>
        <v/>
      </c>
      <c r="D123" s="42" t="str">
        <f aca="false">IF(ISNUMBER(D82),IF(OR(ABS(D82)&gt;輸入與假設!$C$232,D40&gt;D37,D40&lt;D36),IF(ISNUMBER(D119),IF(ABS(D120)&gt;ABS(D119),"CapEx（毛額） vs 指引中點 "&amp;IF(D82&lt;0,"−","+")&amp;TEXT(ABS(D82)*100,"#,##0.0")&amp;"%"&amp;"：拆法（分配 "&amp;IF(D120&lt;0,"−","+")&amp;IF(ABS(D120)&lt;0,"−","")&amp;"$"&amp;TEXT(ABS(ABS(D120)),"#,##0.000")&amp;"bn"&amp;"（Q4'26 占 2H26 "&amp;TEXT((D40/輸入與假設!C$73)*100,"#,##0.0")&amp;"%"&amp;"，指引隱含 "&amp;TEXT(((((D36+D37)/2))/D118)*100,"#,##0.0")&amp;"%"&amp;"）；水準 "&amp;IF(D119&lt;0,"−","+")&amp;IF(ABS(D119)&lt;0,"−","")&amp;"$"&amp;TEXT(ABS(ABS(D119)),"#,##0.000")&amp;"bn"&amp;"）","CapEx（毛額） vs 指引中點 "&amp;IF(D82&lt;0,"−","+")&amp;TEXT(ABS(D82)*100,"#,##0.0")&amp;"%"&amp;"：觀點（水準 "&amp;IF(D119&lt;0,"−","+")&amp;IF(ABS(D119)&lt;0,"−","")&amp;"$"&amp;TEXT(ABS(ABS(D119)),"#,##0.000")&amp;"bn"&amp;"（2H26 模型 "&amp;IF(輸入與假設!C$73&lt;0,"−","")&amp;"$"&amp;TEXT(ABS(輸入與假設!C$73),"#,##0.000")&amp;"bn"&amp;"，指引隱含 "&amp;IF(D118&lt;0,"−","")&amp;"$"&amp;TEXT(ABS(D118),"#,##0.000")&amp;"bn"&amp;"）；分配 "&amp;IF(D120&lt;0,"−","+")&amp;IF(ABS(D120)&lt;0,"−","")&amp;"$"&amp;TEXT(ABS(ABS(D120)),"#,##0.000")&amp;"bn"&amp;"）"),"CapEx（毛額） vs 指引中點 "&amp;IF(D82&lt;0,"−","+")&amp;TEXT(ABS(D82)*100,"#,##0.0")&amp;"%"&amp;"：未歸類（差異原因待補）"),""),"")</f>
        <v/>
      </c>
      <c r="E123" s="42" t="str">
        <f aca="false">IF(ISNUMBER(E82),IF(OR(ABS(E82)&gt;輸入與假設!$C$232,E40&gt;E37,E40&lt;E36),IF(ISNUMBER(E119),IF(ABS(E120)&gt;ABS(E119),"CapEx（毛額） vs 指引中點 "&amp;IF(E82&lt;0,"−","+")&amp;TEXT(ABS(E82)*100,"#,##0.0")&amp;"%"&amp;"：拆法（分配 "&amp;IF(E120&lt;0,"−","+")&amp;IF(ABS(E120)&lt;0,"−","")&amp;"$"&amp;TEXT(ABS(ABS(E120)),"#,##0.000")&amp;"bn"&amp;"（Q1'27 占 FY27 "&amp;TEXT((E40/輸入與假設!D$73)*100,"#,##0.0")&amp;"%"&amp;"，指引隱含 "&amp;TEXT(((((E36+E37)/2))/E118)*100,"#,##0.0")&amp;"%"&amp;"）；水準 "&amp;IF(E119&lt;0,"−","+")&amp;IF(ABS(E119)&lt;0,"−","")&amp;"$"&amp;TEXT(ABS(ABS(E119)),"#,##0.000")&amp;"bn"&amp;"）","CapEx（毛額） vs 指引中點 "&amp;IF(E82&lt;0,"−","+")&amp;TEXT(ABS(E82)*100,"#,##0.0")&amp;"%"&amp;"：觀點（水準 "&amp;IF(E119&lt;0,"−","+")&amp;IF(ABS(E119)&lt;0,"−","")&amp;"$"&amp;TEXT(ABS(ABS(E119)),"#,##0.000")&amp;"bn"&amp;"（FY27 模型 "&amp;IF(輸入與假設!D$73&lt;0,"−","")&amp;"$"&amp;TEXT(ABS(輸入與假設!D$73),"#,##0.000")&amp;"bn"&amp;"，指引隱含 "&amp;IF(E118&lt;0,"−","")&amp;"$"&amp;TEXT(ABS(E118),"#,##0.000")&amp;"bn"&amp;"）；分配 "&amp;IF(E120&lt;0,"−","+")&amp;IF(ABS(E120)&lt;0,"−","")&amp;"$"&amp;TEXT(ABS(ABS(E120)),"#,##0.000")&amp;"bn"&amp;"）"),"CapEx（毛額） vs 指引中點 "&amp;IF(E82&lt;0,"−","+")&amp;TEXT(ABS(E82)*100,"#,##0.0")&amp;"%"&amp;"：未歸類（差異原因待補）"),""),"")</f>
        <v/>
      </c>
      <c r="F123" s="42" t="str">
        <f aca="false">IF(ISNUMBER(F82),IF(OR(ABS(F82)&gt;輸入與假設!$C$232,F40&gt;F37,F40&lt;F36),IF(ISNUMBER(F119),IF(ABS(F120)&gt;ABS(F119),"CapEx（毛額） vs 指引中點 "&amp;IF(F82&lt;0,"−","+")&amp;TEXT(ABS(F82)*100,"#,##0.0")&amp;"%"&amp;"：拆法（分配 "&amp;IF(F120&lt;0,"−","+")&amp;IF(ABS(F120)&lt;0,"−","")&amp;"$"&amp;TEXT(ABS(ABS(F120)),"#,##0.000")&amp;"bn"&amp;"（Q2'27 占 FY27 "&amp;TEXT((F40/輸入與假設!D$73)*100,"#,##0.0")&amp;"%"&amp;"，指引隱含 "&amp;TEXT(((((F36+F37)/2))/F118)*100,"#,##0.0")&amp;"%"&amp;"）；水準 "&amp;IF(F119&lt;0,"−","+")&amp;IF(ABS(F119)&lt;0,"−","")&amp;"$"&amp;TEXT(ABS(ABS(F119)),"#,##0.000")&amp;"bn"&amp;"）","CapEx（毛額） vs 指引中點 "&amp;IF(F82&lt;0,"−","+")&amp;TEXT(ABS(F82)*100,"#,##0.0")&amp;"%"&amp;"：觀點（水準 "&amp;IF(F119&lt;0,"−","+")&amp;IF(ABS(F119)&lt;0,"−","")&amp;"$"&amp;TEXT(ABS(ABS(F119)),"#,##0.000")&amp;"bn"&amp;"（FY27 模型 "&amp;IF(輸入與假設!D$73&lt;0,"−","")&amp;"$"&amp;TEXT(ABS(輸入與假設!D$73),"#,##0.000")&amp;"bn"&amp;"，指引隱含 "&amp;IF(F118&lt;0,"−","")&amp;"$"&amp;TEXT(ABS(F118),"#,##0.000")&amp;"bn"&amp;"）；分配 "&amp;IF(F120&lt;0,"−","+")&amp;IF(ABS(F120)&lt;0,"−","")&amp;"$"&amp;TEXT(ABS(ABS(F120)),"#,##0.000")&amp;"bn"&amp;"）"),"CapEx（毛額） vs 指引中點 "&amp;IF(F82&lt;0,"−","+")&amp;TEXT(ABS(F82)*100,"#,##0.0")&amp;"%"&amp;"：未歸類（差異原因待補）"),""),"")</f>
        <v/>
      </c>
      <c r="G123" s="42" t="str">
        <f aca="false">IF(ISNUMBER(G82),IF(OR(ABS(G82)&gt;輸入與假設!$C$232,G40&gt;G37,G40&lt;G36),IF(ISNUMBER(G119),IF(ABS(G120)&gt;ABS(G119),"CapEx（毛額） vs 指引中點 "&amp;IF(G82&lt;0,"−","+")&amp;TEXT(ABS(G82)*100,"#,##0.0")&amp;"%"&amp;"：拆法（分配 "&amp;IF(G120&lt;0,"−","+")&amp;IF(ABS(G120)&lt;0,"−","")&amp;"$"&amp;TEXT(ABS(ABS(G120)),"#,##0.000")&amp;"bn"&amp;"（Q3'27 占 FY27 "&amp;TEXT((G40/輸入與假設!D$73)*100,"#,##0.0")&amp;"%"&amp;"，指引隱含 "&amp;TEXT(((((G36+G37)/2))/G118)*100,"#,##0.0")&amp;"%"&amp;"）；水準 "&amp;IF(G119&lt;0,"−","+")&amp;IF(ABS(G119)&lt;0,"−","")&amp;"$"&amp;TEXT(ABS(ABS(G119)),"#,##0.000")&amp;"bn"&amp;"）","CapEx（毛額） vs 指引中點 "&amp;IF(G82&lt;0,"−","+")&amp;TEXT(ABS(G82)*100,"#,##0.0")&amp;"%"&amp;"：觀點（水準 "&amp;IF(G119&lt;0,"−","+")&amp;IF(ABS(G119)&lt;0,"−","")&amp;"$"&amp;TEXT(ABS(ABS(G119)),"#,##0.000")&amp;"bn"&amp;"（FY27 模型 "&amp;IF(輸入與假設!D$73&lt;0,"−","")&amp;"$"&amp;TEXT(ABS(輸入與假設!D$73),"#,##0.000")&amp;"bn"&amp;"，指引隱含 "&amp;IF(G118&lt;0,"−","")&amp;"$"&amp;TEXT(ABS(G118),"#,##0.000")&amp;"bn"&amp;"）；分配 "&amp;IF(G120&lt;0,"−","+")&amp;IF(ABS(G120)&lt;0,"−","")&amp;"$"&amp;TEXT(ABS(ABS(G120)),"#,##0.000")&amp;"bn"&amp;"）"),"CapEx（毛額） vs 指引中點 "&amp;IF(G82&lt;0,"−","+")&amp;TEXT(ABS(G82)*100,"#,##0.0")&amp;"%"&amp;"：未歸類（差異原因待補）"),""),"")</f>
        <v/>
      </c>
      <c r="H123" s="42" t="str">
        <f aca="false">IF(ISNUMBER(H82),IF(OR(ABS(H82)&gt;輸入與假設!$C$232,H40&gt;H37,H40&lt;H36),IF(ISNUMBER(H119),IF(ABS(H120)&gt;ABS(H119),"CapEx（毛額） vs 指引中點 "&amp;IF(H82&lt;0,"−","+")&amp;TEXT(ABS(H82)*100,"#,##0.0")&amp;"%"&amp;"：拆法（分配 "&amp;IF(H120&lt;0,"−","+")&amp;IF(ABS(H120)&lt;0,"−","")&amp;"$"&amp;TEXT(ABS(ABS(H120)),"#,##0.000")&amp;"bn"&amp;"（Q4'27 占 FY27 "&amp;TEXT((H40/輸入與假設!D$73)*100,"#,##0.0")&amp;"%"&amp;"，指引隱含 "&amp;TEXT(((((H36+H37)/2))/H118)*100,"#,##0.0")&amp;"%"&amp;"）；水準 "&amp;IF(H119&lt;0,"−","+")&amp;IF(ABS(H119)&lt;0,"−","")&amp;"$"&amp;TEXT(ABS(ABS(H119)),"#,##0.000")&amp;"bn"&amp;"）","CapEx（毛額） vs 指引中點 "&amp;IF(H82&lt;0,"−","+")&amp;TEXT(ABS(H82)*100,"#,##0.0")&amp;"%"&amp;"：觀點（水準 "&amp;IF(H119&lt;0,"−","+")&amp;IF(ABS(H119)&lt;0,"−","")&amp;"$"&amp;TEXT(ABS(ABS(H119)),"#,##0.000")&amp;"bn"&amp;"（FY27 模型 "&amp;IF(輸入與假設!D$73&lt;0,"−","")&amp;"$"&amp;TEXT(ABS(輸入與假設!D$73),"#,##0.000")&amp;"bn"&amp;"，指引隱含 "&amp;IF(H118&lt;0,"−","")&amp;"$"&amp;TEXT(ABS(H118),"#,##0.000")&amp;"bn"&amp;"）；分配 "&amp;IF(H120&lt;0,"−","+")&amp;IF(ABS(H120)&lt;0,"−","")&amp;"$"&amp;TEXT(ABS(ABS(H120)),"#,##0.000")&amp;"bn"&amp;"）"),"CapEx（毛額） vs 指引中點 "&amp;IF(H82&lt;0,"−","+")&amp;TEXT(ABS(H82)*100,"#,##0.0")&amp;"%"&amp;"：未歸類（差異原因待補）"),""),"")</f>
        <v/>
      </c>
    </row>
    <row r="124" customFormat="false" ht="15" hidden="true" customHeight="false" outlineLevel="1" collapsed="false">
      <c r="A124" s="3" t="s">
        <v>880</v>
      </c>
      <c r="C124" s="42" t="str">
        <f aca="false">IF(ISNUMBER(C82),IF(OR(ABS(C82)&gt;輸入與假設!$C$232,C40&gt;C37,C40&lt;C36),IF(ISNUMBER(C119),IF(ABS(C120)&gt;ABS(C119),"拆法","觀點"),"未歸類"),""),"")</f>
        <v/>
      </c>
      <c r="D124" s="42" t="str">
        <f aca="false">IF(ISNUMBER(D82),IF(OR(ABS(D82)&gt;輸入與假設!$C$232,D40&gt;D37,D40&lt;D36),IF(ISNUMBER(D119),IF(ABS(D120)&gt;ABS(D119),"拆法","觀點"),"未歸類"),""),"")</f>
        <v/>
      </c>
      <c r="E124" s="42" t="str">
        <f aca="false">IF(ISNUMBER(E82),IF(OR(ABS(E82)&gt;輸入與假設!$C$232,E40&gt;E37,E40&lt;E36),IF(ISNUMBER(E119),IF(ABS(E120)&gt;ABS(E119),"拆法","觀點"),"未歸類"),""),"")</f>
        <v/>
      </c>
      <c r="F124" s="42" t="str">
        <f aca="false">IF(ISNUMBER(F82),IF(OR(ABS(F82)&gt;輸入與假設!$C$232,F40&gt;F37,F40&lt;F36),IF(ISNUMBER(F119),IF(ABS(F120)&gt;ABS(F119),"拆法","觀點"),"未歸類"),""),"")</f>
        <v/>
      </c>
      <c r="G124" s="42" t="str">
        <f aca="false">IF(ISNUMBER(G82),IF(OR(ABS(G82)&gt;輸入與假設!$C$232,G40&gt;G37,G40&lt;G36),IF(ISNUMBER(G119),IF(ABS(G120)&gt;ABS(G119),"拆法","觀點"),"未歸類"),""),"")</f>
        <v/>
      </c>
      <c r="H124" s="42" t="str">
        <f aca="false">IF(ISNUMBER(H82),IF(OR(ABS(H82)&gt;輸入與假設!$C$232,H40&gt;H37,H40&lt;H36),IF(ISNUMBER(H119),IF(ABS(H120)&gt;ABS(H119),"拆法","觀點"),"未歸類"),""),"")</f>
        <v/>
      </c>
    </row>
    <row r="125" customFormat="false" ht="15" hidden="true" customHeight="false" outlineLevel="1" collapsed="false">
      <c r="A125" s="3" t="s">
        <v>881</v>
      </c>
      <c r="C125" s="42"/>
      <c r="D125" s="42"/>
      <c r="E125" s="42"/>
      <c r="F125" s="42"/>
      <c r="G125" s="42"/>
      <c r="H125" s="42"/>
    </row>
    <row r="126" customFormat="false" ht="15" hidden="true" customHeight="false" outlineLevel="1" collapsed="false">
      <c r="A126" s="3" t="s">
        <v>882</v>
      </c>
      <c r="C126" s="42"/>
      <c r="D126" s="42"/>
      <c r="E126" s="42"/>
      <c r="F126" s="42"/>
      <c r="G126" s="42"/>
      <c r="H126" s="42"/>
    </row>
    <row r="127" customFormat="false" ht="15" hidden="true" customHeight="false" outlineLevel="1" collapsed="false">
      <c r="A127" s="3" t="s">
        <v>883</v>
      </c>
      <c r="C127" s="42"/>
      <c r="D127" s="42"/>
      <c r="E127" s="42"/>
      <c r="F127" s="42"/>
      <c r="G127" s="42"/>
      <c r="H127" s="42"/>
    </row>
    <row r="128" customFormat="false" ht="15" hidden="true" customHeight="false" outlineLevel="1" collapsed="false">
      <c r="A128" s="3" t="s">
        <v>884</v>
      </c>
      <c r="C128" s="42"/>
      <c r="D128" s="42"/>
      <c r="E128" s="42"/>
      <c r="F128" s="42"/>
      <c r="G128" s="42"/>
      <c r="H128" s="42"/>
    </row>
    <row r="129" customFormat="false" ht="15" hidden="true" customHeight="false" outlineLevel="1" collapsed="false">
      <c r="A129" s="3" t="s">
        <v>885</v>
      </c>
      <c r="C129" s="42"/>
      <c r="D129" s="42"/>
      <c r="E129" s="42"/>
      <c r="F129" s="42"/>
      <c r="G129" s="42"/>
      <c r="H129" s="42"/>
    </row>
    <row r="130" customFormat="false" ht="15" hidden="true" customHeight="false" outlineLevel="1" collapsed="false">
      <c r="A130" s="3" t="s">
        <v>886</v>
      </c>
      <c r="C130" s="42"/>
      <c r="D130" s="42"/>
      <c r="E130" s="42"/>
      <c r="F130" s="42"/>
      <c r="G130" s="42"/>
      <c r="H130" s="42"/>
    </row>
    <row r="131" customFormat="false" ht="15" hidden="true" customHeight="false" outlineLevel="1" collapsed="false">
      <c r="A131" s="3" t="s">
        <v>887</v>
      </c>
      <c r="C131" s="42"/>
      <c r="D131" s="42"/>
      <c r="E131" s="42"/>
      <c r="F131" s="42"/>
      <c r="G131" s="42"/>
      <c r="H131" s="42"/>
    </row>
    <row r="132" customFormat="false" ht="15" hidden="true" customHeight="false" outlineLevel="1" collapsed="false">
      <c r="A132" s="3" t="s">
        <v>888</v>
      </c>
      <c r="C132" s="42"/>
      <c r="D132" s="42"/>
      <c r="E132" s="42"/>
      <c r="F132" s="42"/>
      <c r="G132" s="42"/>
      <c r="H132" s="42"/>
    </row>
    <row r="133" customFormat="false" ht="15" hidden="true" customHeight="false" outlineLevel="1" collapsed="false">
      <c r="A133" s="3" t="s">
        <v>889</v>
      </c>
      <c r="C133" s="42" t="str">
        <f aca="false">MID(IF(C97&lt;&gt;"","；"&amp;C97,"")&amp;IF(C99&lt;&gt;"","；"&amp;C99,"")&amp;IF(C101&lt;&gt;"","；"&amp;C101,"")&amp;IF(C106&lt;&gt;"","；"&amp;C106,"")&amp;IF(C108&lt;&gt;"","；"&amp;C108,"")&amp;IF(C110&lt;&gt;"","；"&amp;C110,"")&amp;IF(C112&lt;&gt;"","；"&amp;C112,"")&amp;IF(C114&lt;&gt;"","；"&amp;C114,"")&amp;IF(C116&lt;&gt;"","；"&amp;C116,"")&amp;IF(C121&lt;&gt;"","；"&amp;C121,"")&amp;IF(C123&lt;&gt;"","；"&amp;C123,"")&amp;IF(C125&lt;&gt;"","；"&amp;C125,"")&amp;IF(C127&lt;&gt;"","；"&amp;C127,"")&amp;IF(C129&lt;&gt;"","；"&amp;C129,"")&amp;IF(C131&lt;&gt;"","；"&amp;C131,""),2,9999)</f>
        <v>營收 vs 指引中點 +3.9%：觀點（水準 +$0.115bn（2H26 模型 $8.413bn，指引隱含 $8.147bn）；分配 +$0.023bn）；調整後營業利益 vs 指引中點 −$0.24bn／−6.9pt：已知限制（對照指引隱含折舊 1.82（＝共識 EBITDA 2.05 − 指引中點 0.23，Derived），模型折舊 2.16；缺口 −0.24 ≈ 折舊 −0.35 ＋ EBITDA +0.10；待辦 6 修正折舊）</v>
      </c>
      <c r="D133" s="42" t="str">
        <f aca="false">MID(IF(D97&lt;&gt;"","；"&amp;D97,"")&amp;IF(D99&lt;&gt;"","；"&amp;D99,"")&amp;IF(D101&lt;&gt;"","；"&amp;D101,"")&amp;IF(D106&lt;&gt;"","；"&amp;D106,"")&amp;IF(D108&lt;&gt;"","；"&amp;D108,"")&amp;IF(D110&lt;&gt;"","；"&amp;D110,"")&amp;IF(D112&lt;&gt;"","；"&amp;D112,"")&amp;IF(D114&lt;&gt;"","；"&amp;D114,"")&amp;IF(D116&lt;&gt;"","；"&amp;D116,"")&amp;IF(D121&lt;&gt;"","；"&amp;D121,"")&amp;IF(D123&lt;&gt;"","；"&amp;D123,"")&amp;IF(D125&lt;&gt;"","；"&amp;D125,"")&amp;IF(D127&lt;&gt;"","；"&amp;D127,"")&amp;IF(D129&lt;&gt;"","；"&amp;D129,"")&amp;IF(D131&lt;&gt;"","；"&amp;D131,""),2,9999)</f>
        <v>調整後 EBITDA vs 共識 −$0.08bn／−2.3pt：拆法（分配 −$0.096bn（Q4'26 占 2H26 56.7%，共識合計 58.6%）；水準 +$0.012bn）</v>
      </c>
      <c r="E133" s="42" t="str">
        <f aca="false">MID(IF(E97&lt;&gt;"","；"&amp;E97,"")&amp;IF(E99&lt;&gt;"","；"&amp;E99,"")&amp;IF(E101&lt;&gt;"","；"&amp;E101,"")&amp;IF(E106&lt;&gt;"","；"&amp;E106,"")&amp;IF(E108&lt;&gt;"","；"&amp;E108,"")&amp;IF(E110&lt;&gt;"","；"&amp;E110,"")&amp;IF(E112&lt;&gt;"","；"&amp;E112,"")&amp;IF(E114&lt;&gt;"","；"&amp;E114,"")&amp;IF(E116&lt;&gt;"","；"&amp;E116,"")&amp;IF(E121&lt;&gt;"","；"&amp;E121,"")&amp;IF(E123&lt;&gt;"","；"&amp;E123,"")&amp;IF(E125&lt;&gt;"","；"&amp;E125,"")&amp;IF(E127&lt;&gt;"","；"&amp;E127,"")&amp;IF(E129&lt;&gt;"","；"&amp;E129,"")&amp;IF(E131&lt;&gt;"","；"&amp;E131,""),2,9999)</f>
        <v/>
      </c>
      <c r="F133" s="42" t="str">
        <f aca="false">MID(IF(F97&lt;&gt;"","；"&amp;F97,"")&amp;IF(F99&lt;&gt;"","；"&amp;F99,"")&amp;IF(F101&lt;&gt;"","；"&amp;F101,"")&amp;IF(F106&lt;&gt;"","；"&amp;F106,"")&amp;IF(F108&lt;&gt;"","；"&amp;F108,"")&amp;IF(F110&lt;&gt;"","；"&amp;F110,"")&amp;IF(F112&lt;&gt;"","；"&amp;F112,"")&amp;IF(F114&lt;&gt;"","；"&amp;F114,"")&amp;IF(F116&lt;&gt;"","；"&amp;F116,"")&amp;IF(F121&lt;&gt;"","；"&amp;F121,"")&amp;IF(F123&lt;&gt;"","；"&amp;F123,"")&amp;IF(F125&lt;&gt;"","；"&amp;F125,"")&amp;IF(F127&lt;&gt;"","；"&amp;F127,"")&amp;IF(F129&lt;&gt;"","；"&amp;F129,"")&amp;IF(F131&lt;&gt;"","；"&amp;F131,""),2,9999)</f>
        <v/>
      </c>
      <c r="G133" s="42" t="str">
        <f aca="false">MID(IF(G97&lt;&gt;"","；"&amp;G97,"")&amp;IF(G99&lt;&gt;"","；"&amp;G99,"")&amp;IF(G101&lt;&gt;"","；"&amp;G101,"")&amp;IF(G106&lt;&gt;"","；"&amp;G106,"")&amp;IF(G108&lt;&gt;"","；"&amp;G108,"")&amp;IF(G110&lt;&gt;"","；"&amp;G110,"")&amp;IF(G112&lt;&gt;"","；"&amp;G112,"")&amp;IF(G114&lt;&gt;"","；"&amp;G114,"")&amp;IF(G116&lt;&gt;"","；"&amp;G116,"")&amp;IF(G121&lt;&gt;"","；"&amp;G121,"")&amp;IF(G123&lt;&gt;"","；"&amp;G123,"")&amp;IF(G125&lt;&gt;"","；"&amp;G125,"")&amp;IF(G127&lt;&gt;"","；"&amp;G127,"")&amp;IF(G129&lt;&gt;"","；"&amp;G129,"")&amp;IF(G131&lt;&gt;"","；"&amp;G131,""),2,9999)</f>
        <v/>
      </c>
      <c r="H133" s="42" t="str">
        <f aca="false">MID(IF(H97&lt;&gt;"","；"&amp;H97,"")&amp;IF(H99&lt;&gt;"","；"&amp;H99,"")&amp;IF(H101&lt;&gt;"","；"&amp;H101,"")&amp;IF(H106&lt;&gt;"","；"&amp;H106,"")&amp;IF(H108&lt;&gt;"","；"&amp;H108,"")&amp;IF(H110&lt;&gt;"","；"&amp;H110,"")&amp;IF(H112&lt;&gt;"","；"&amp;H112,"")&amp;IF(H114&lt;&gt;"","；"&amp;H114,"")&amp;IF(H116&lt;&gt;"","；"&amp;H116,"")&amp;IF(H121&lt;&gt;"","；"&amp;H121,"")&amp;IF(H123&lt;&gt;"","；"&amp;H123,"")&amp;IF(H125&lt;&gt;"","；"&amp;H125,"")&amp;IF(H127&lt;&gt;"","；"&amp;H127,"")&amp;IF(H129&lt;&gt;"","；"&amp;H129,"")&amp;IF(H131&lt;&gt;"","；"&amp;H131,""),2,9999)</f>
        <v/>
      </c>
    </row>
    <row r="134" customFormat="false" ht="15" hidden="true" customHeight="false" outlineLevel="1" collapsed="false">
      <c r="A134" s="3" t="s">
        <v>890</v>
      </c>
      <c r="C134" s="42" t="str">
        <f aca="false">IF((C98&amp;IF(AND(C100&lt;&gt;"",C100&lt;&gt;C98),IF((C98)&lt;&gt;"","、","")&amp;C100,"")&amp;IF(AND(C102&lt;&gt;"",C102&lt;&gt;C98,C102&lt;&gt;C100),IF((C98&amp;C100)&lt;&gt;"","、","")&amp;C102,""))&lt;&gt;"","〔"&amp;(C98&amp;IF(AND(C100&lt;&gt;"",C100&lt;&gt;C98),IF((C98)&lt;&gt;"","、","")&amp;C100,"")&amp;IF(AND(C102&lt;&gt;"",C102&lt;&gt;C98,C102&lt;&gt;C100),IF((C98&amp;C100)&lt;&gt;"","、","")&amp;C102,""))&amp;"〕","")</f>
        <v>〔觀點〕</v>
      </c>
      <c r="D134" s="42" t="str">
        <f aca="false">IF((D98&amp;IF(AND(D100&lt;&gt;"",D100&lt;&gt;D98),IF((D98)&lt;&gt;"","、","")&amp;D100,"")&amp;IF(AND(D102&lt;&gt;"",D102&lt;&gt;D98,D102&lt;&gt;D100),IF((D98&amp;D100)&lt;&gt;"","、","")&amp;D102,""))&lt;&gt;"","〔"&amp;(D98&amp;IF(AND(D100&lt;&gt;"",D100&lt;&gt;D98),IF((D98)&lt;&gt;"","、","")&amp;D100,"")&amp;IF(AND(D102&lt;&gt;"",D102&lt;&gt;D98,D102&lt;&gt;D100),IF((D98&amp;D100)&lt;&gt;"","、","")&amp;D102,""))&amp;"〕","")</f>
        <v/>
      </c>
      <c r="E134" s="42" t="str">
        <f aca="false">IF((E98&amp;IF(AND(E100&lt;&gt;"",E100&lt;&gt;E98),IF((E98)&lt;&gt;"","、","")&amp;E100,"")&amp;IF(AND(E102&lt;&gt;"",E102&lt;&gt;E98,E102&lt;&gt;E100),IF((E98&amp;E100)&lt;&gt;"","、","")&amp;E102,""))&lt;&gt;"","〔"&amp;(E98&amp;IF(AND(E100&lt;&gt;"",E100&lt;&gt;E98),IF((E98)&lt;&gt;"","、","")&amp;E100,"")&amp;IF(AND(E102&lt;&gt;"",E102&lt;&gt;E98,E102&lt;&gt;E100),IF((E98&amp;E100)&lt;&gt;"","、","")&amp;E102,""))&amp;"〕","")</f>
        <v/>
      </c>
      <c r="F134" s="42" t="str">
        <f aca="false">IF((F98&amp;IF(AND(F100&lt;&gt;"",F100&lt;&gt;F98),IF((F98)&lt;&gt;"","、","")&amp;F100,"")&amp;IF(AND(F102&lt;&gt;"",F102&lt;&gt;F98,F102&lt;&gt;F100),IF((F98&amp;F100)&lt;&gt;"","、","")&amp;F102,""))&lt;&gt;"","〔"&amp;(F98&amp;IF(AND(F100&lt;&gt;"",F100&lt;&gt;F98),IF((F98)&lt;&gt;"","、","")&amp;F100,"")&amp;IF(AND(F102&lt;&gt;"",F102&lt;&gt;F98,F102&lt;&gt;F100),IF((F98&amp;F100)&lt;&gt;"","、","")&amp;F102,""))&amp;"〕","")</f>
        <v/>
      </c>
      <c r="G134" s="42" t="str">
        <f aca="false">IF((G98&amp;IF(AND(G100&lt;&gt;"",G100&lt;&gt;G98),IF((G98)&lt;&gt;"","、","")&amp;G100,"")&amp;IF(AND(G102&lt;&gt;"",G102&lt;&gt;G98,G102&lt;&gt;G100),IF((G98&amp;G100)&lt;&gt;"","、","")&amp;G102,""))&lt;&gt;"","〔"&amp;(G98&amp;IF(AND(G100&lt;&gt;"",G100&lt;&gt;G98),IF((G98)&lt;&gt;"","、","")&amp;G100,"")&amp;IF(AND(G102&lt;&gt;"",G102&lt;&gt;G98,G102&lt;&gt;G100),IF((G98&amp;G100)&lt;&gt;"","、","")&amp;G102,""))&amp;"〕","")</f>
        <v/>
      </c>
      <c r="H134" s="42" t="str">
        <f aca="false">IF((H98&amp;IF(AND(H100&lt;&gt;"",H100&lt;&gt;H98),IF((H98)&lt;&gt;"","、","")&amp;H100,"")&amp;IF(AND(H102&lt;&gt;"",H102&lt;&gt;H98,H102&lt;&gt;H100),IF((H98&amp;H100)&lt;&gt;"","、","")&amp;H102,""))&lt;&gt;"","〔"&amp;(H98&amp;IF(AND(H100&lt;&gt;"",H100&lt;&gt;H98),IF((H98)&lt;&gt;"","、","")&amp;H100,"")&amp;IF(AND(H102&lt;&gt;"",H102&lt;&gt;H98,H102&lt;&gt;H100),IF((H98&amp;H100)&lt;&gt;"","、","")&amp;H102,""))&amp;"〕","")</f>
        <v/>
      </c>
    </row>
    <row r="135" customFormat="false" ht="15" hidden="true" customHeight="false" outlineLevel="1" collapsed="false">
      <c r="A135" s="3" t="s">
        <v>891</v>
      </c>
      <c r="C135" s="42" t="str">
        <f aca="false">IF((C107&amp;IF(AND(C109&lt;&gt;"",C109&lt;&gt;C107),IF((C107)&lt;&gt;"","、","")&amp;C109,"")&amp;IF(AND(C111&lt;&gt;"",C111&lt;&gt;C107,C111&lt;&gt;C109),IF((C107&amp;C109)&lt;&gt;"","、","")&amp;C111,""))&lt;&gt;"","〔"&amp;(C107&amp;IF(AND(C109&lt;&gt;"",C109&lt;&gt;C107),IF((C107)&lt;&gt;"","、","")&amp;C109,"")&amp;IF(AND(C111&lt;&gt;"",C111&lt;&gt;C107,C111&lt;&gt;C109),IF((C107&amp;C109)&lt;&gt;"","、","")&amp;C111,""))&amp;"〕","")</f>
        <v/>
      </c>
      <c r="D135" s="42" t="str">
        <f aca="false">IF((D107&amp;IF(AND(D109&lt;&gt;"",D109&lt;&gt;D107),IF((D107)&lt;&gt;"","、","")&amp;D109,"")&amp;IF(AND(D111&lt;&gt;"",D111&lt;&gt;D107,D111&lt;&gt;D109),IF((D107&amp;D109)&lt;&gt;"","、","")&amp;D111,""))&lt;&gt;"","〔"&amp;(D107&amp;IF(AND(D109&lt;&gt;"",D109&lt;&gt;D107),IF((D107)&lt;&gt;"","、","")&amp;D109,"")&amp;IF(AND(D111&lt;&gt;"",D111&lt;&gt;D107,D111&lt;&gt;D109),IF((D107&amp;D109)&lt;&gt;"","、","")&amp;D111,""))&amp;"〕","")</f>
        <v>〔拆法〕</v>
      </c>
      <c r="E135" s="42" t="str">
        <f aca="false">IF((E107&amp;IF(AND(E109&lt;&gt;"",E109&lt;&gt;E107),IF((E107)&lt;&gt;"","、","")&amp;E109,"")&amp;IF(AND(E111&lt;&gt;"",E111&lt;&gt;E107,E111&lt;&gt;E109),IF((E107&amp;E109)&lt;&gt;"","、","")&amp;E111,""))&lt;&gt;"","〔"&amp;(E107&amp;IF(AND(E109&lt;&gt;"",E109&lt;&gt;E107),IF((E107)&lt;&gt;"","、","")&amp;E109,"")&amp;IF(AND(E111&lt;&gt;"",E111&lt;&gt;E107,E111&lt;&gt;E109),IF((E107&amp;E109)&lt;&gt;"","、","")&amp;E111,""))&amp;"〕","")</f>
        <v/>
      </c>
      <c r="F135" s="42" t="str">
        <f aca="false">IF((F107&amp;IF(AND(F109&lt;&gt;"",F109&lt;&gt;F107),IF((F107)&lt;&gt;"","、","")&amp;F109,"")&amp;IF(AND(F111&lt;&gt;"",F111&lt;&gt;F107,F111&lt;&gt;F109),IF((F107&amp;F109)&lt;&gt;"","、","")&amp;F111,""))&lt;&gt;"","〔"&amp;(F107&amp;IF(AND(F109&lt;&gt;"",F109&lt;&gt;F107),IF((F107)&lt;&gt;"","、","")&amp;F109,"")&amp;IF(AND(F111&lt;&gt;"",F111&lt;&gt;F107,F111&lt;&gt;F109),IF((F107&amp;F109)&lt;&gt;"","、","")&amp;F111,""))&amp;"〕","")</f>
        <v/>
      </c>
      <c r="G135" s="42" t="str">
        <f aca="false">IF((G107&amp;IF(AND(G109&lt;&gt;"",G109&lt;&gt;G107),IF((G107)&lt;&gt;"","、","")&amp;G109,"")&amp;IF(AND(G111&lt;&gt;"",G111&lt;&gt;G107,G111&lt;&gt;G109),IF((G107&amp;G109)&lt;&gt;"","、","")&amp;G111,""))&lt;&gt;"","〔"&amp;(G107&amp;IF(AND(G109&lt;&gt;"",G109&lt;&gt;G107),IF((G107)&lt;&gt;"","、","")&amp;G109,"")&amp;IF(AND(G111&lt;&gt;"",G111&lt;&gt;G107,G111&lt;&gt;G109),IF((G107&amp;G109)&lt;&gt;"","、","")&amp;G111,""))&amp;"〕","")</f>
        <v/>
      </c>
      <c r="H135" s="42" t="str">
        <f aca="false">IF((H107&amp;IF(AND(H109&lt;&gt;"",H109&lt;&gt;H107),IF((H107)&lt;&gt;"","、","")&amp;H109,"")&amp;IF(AND(H111&lt;&gt;"",H111&lt;&gt;H107,H111&lt;&gt;H109),IF((H107&amp;H109)&lt;&gt;"","、","")&amp;H111,""))&lt;&gt;"","〔"&amp;(H107&amp;IF(AND(H109&lt;&gt;"",H109&lt;&gt;H107),IF((H107)&lt;&gt;"","、","")&amp;H109,"")&amp;IF(AND(H111&lt;&gt;"",H111&lt;&gt;H107,H111&lt;&gt;H109),IF((H107&amp;H109)&lt;&gt;"","、","")&amp;H111,""))&amp;"〕","")</f>
        <v/>
      </c>
    </row>
    <row r="136" customFormat="false" ht="15" hidden="true" customHeight="false" outlineLevel="1" collapsed="false">
      <c r="A136" s="3" t="s">
        <v>892</v>
      </c>
      <c r="C136" s="42" t="str">
        <f aca="false">IF((C113&amp;IF(AND(C115&lt;&gt;"",C115&lt;&gt;C113),IF((C113)&lt;&gt;"","、","")&amp;C115,"")&amp;IF(AND(C117&lt;&gt;"",C117&lt;&gt;C113,C117&lt;&gt;C115),IF((C113&amp;C115)&lt;&gt;"","、","")&amp;C117,""))&lt;&gt;"","〔"&amp;(C113&amp;IF(AND(C115&lt;&gt;"",C115&lt;&gt;C113),IF((C113)&lt;&gt;"","、","")&amp;C115,"")&amp;IF(AND(C117&lt;&gt;"",C117&lt;&gt;C113,C117&lt;&gt;C115),IF((C113&amp;C115)&lt;&gt;"","、","")&amp;C117,""))&amp;"〕","")</f>
        <v>〔已知限制〕</v>
      </c>
      <c r="D136" s="42" t="str">
        <f aca="false">IF((D113&amp;IF(AND(D115&lt;&gt;"",D115&lt;&gt;D113),IF((D113)&lt;&gt;"","、","")&amp;D115,"")&amp;IF(AND(D117&lt;&gt;"",D117&lt;&gt;D113,D117&lt;&gt;D115),IF((D113&amp;D115)&lt;&gt;"","、","")&amp;D117,""))&lt;&gt;"","〔"&amp;(D113&amp;IF(AND(D115&lt;&gt;"",D115&lt;&gt;D113),IF((D113)&lt;&gt;"","、","")&amp;D115,"")&amp;IF(AND(D117&lt;&gt;"",D117&lt;&gt;D113,D117&lt;&gt;D115),IF((D113&amp;D115)&lt;&gt;"","、","")&amp;D117,""))&amp;"〕","")</f>
        <v/>
      </c>
      <c r="E136" s="42" t="str">
        <f aca="false">IF((E113&amp;IF(AND(E115&lt;&gt;"",E115&lt;&gt;E113),IF((E113)&lt;&gt;"","、","")&amp;E115,"")&amp;IF(AND(E117&lt;&gt;"",E117&lt;&gt;E113,E117&lt;&gt;E115),IF((E113&amp;E115)&lt;&gt;"","、","")&amp;E117,""))&lt;&gt;"","〔"&amp;(E113&amp;IF(AND(E115&lt;&gt;"",E115&lt;&gt;E113),IF((E113)&lt;&gt;"","、","")&amp;E115,"")&amp;IF(AND(E117&lt;&gt;"",E117&lt;&gt;E113,E117&lt;&gt;E115),IF((E113&amp;E115)&lt;&gt;"","、","")&amp;E117,""))&amp;"〕","")</f>
        <v/>
      </c>
      <c r="F136" s="42" t="str">
        <f aca="false">IF((F113&amp;IF(AND(F115&lt;&gt;"",F115&lt;&gt;F113),IF((F113)&lt;&gt;"","、","")&amp;F115,"")&amp;IF(AND(F117&lt;&gt;"",F117&lt;&gt;F113,F117&lt;&gt;F115),IF((F113&amp;F115)&lt;&gt;"","、","")&amp;F117,""))&lt;&gt;"","〔"&amp;(F113&amp;IF(AND(F115&lt;&gt;"",F115&lt;&gt;F113),IF((F113)&lt;&gt;"","、","")&amp;F115,"")&amp;IF(AND(F117&lt;&gt;"",F117&lt;&gt;F113,F117&lt;&gt;F115),IF((F113&amp;F115)&lt;&gt;"","、","")&amp;F117,""))&amp;"〕","")</f>
        <v/>
      </c>
      <c r="G136" s="42" t="str">
        <f aca="false">IF((G113&amp;IF(AND(G115&lt;&gt;"",G115&lt;&gt;G113),IF((G113)&lt;&gt;"","、","")&amp;G115,"")&amp;IF(AND(G117&lt;&gt;"",G117&lt;&gt;G113,G117&lt;&gt;G115),IF((G113&amp;G115)&lt;&gt;"","、","")&amp;G117,""))&lt;&gt;"","〔"&amp;(G113&amp;IF(AND(G115&lt;&gt;"",G115&lt;&gt;G113),IF((G113)&lt;&gt;"","、","")&amp;G115,"")&amp;IF(AND(G117&lt;&gt;"",G117&lt;&gt;G113,G117&lt;&gt;G115),IF((G113&amp;G115)&lt;&gt;"","、","")&amp;G117,""))&amp;"〕","")</f>
        <v/>
      </c>
      <c r="H136" s="42" t="str">
        <f aca="false">IF((H113&amp;IF(AND(H115&lt;&gt;"",H115&lt;&gt;H113),IF((H113)&lt;&gt;"","、","")&amp;H115,"")&amp;IF(AND(H117&lt;&gt;"",H117&lt;&gt;H113,H117&lt;&gt;H115),IF((H113&amp;H115)&lt;&gt;"","、","")&amp;H117,""))&lt;&gt;"","〔"&amp;(H113&amp;IF(AND(H115&lt;&gt;"",H115&lt;&gt;H113),IF((H113)&lt;&gt;"","、","")&amp;H115,"")&amp;IF(AND(H117&lt;&gt;"",H117&lt;&gt;H113,H117&lt;&gt;H115),IF((H113&amp;H115)&lt;&gt;"","、","")&amp;H117,""))&amp;"〕","")</f>
        <v/>
      </c>
    </row>
    <row r="137" customFormat="false" ht="15" hidden="true" customHeight="false" outlineLevel="1" collapsed="false">
      <c r="A137" s="3" t="s">
        <v>893</v>
      </c>
      <c r="C137" s="42" t="str">
        <f aca="false">IF((C122&amp;IF(AND(C124&lt;&gt;"",C124&lt;&gt;C122),IF((C122)&lt;&gt;"","、","")&amp;C124,"")&amp;IF(AND(C126&lt;&gt;"",C126&lt;&gt;C122,C126&lt;&gt;C124),IF((C122&amp;C124)&lt;&gt;"","、","")&amp;C126,""))&lt;&gt;"","〔"&amp;(C122&amp;IF(AND(C124&lt;&gt;"",C124&lt;&gt;C122),IF((C122)&lt;&gt;"","、","")&amp;C124,"")&amp;IF(AND(C126&lt;&gt;"",C126&lt;&gt;C122,C126&lt;&gt;C124),IF((C122&amp;C124)&lt;&gt;"","、","")&amp;C126,""))&amp;"〕","")</f>
        <v/>
      </c>
      <c r="D137" s="42" t="str">
        <f aca="false">IF((D122&amp;IF(AND(D124&lt;&gt;"",D124&lt;&gt;D122),IF((D122)&lt;&gt;"","、","")&amp;D124,"")&amp;IF(AND(D126&lt;&gt;"",D126&lt;&gt;D122,D126&lt;&gt;D124),IF((D122&amp;D124)&lt;&gt;"","、","")&amp;D126,""))&lt;&gt;"","〔"&amp;(D122&amp;IF(AND(D124&lt;&gt;"",D124&lt;&gt;D122),IF((D122)&lt;&gt;"","、","")&amp;D124,"")&amp;IF(AND(D126&lt;&gt;"",D126&lt;&gt;D122,D126&lt;&gt;D124),IF((D122&amp;D124)&lt;&gt;"","、","")&amp;D126,""))&amp;"〕","")</f>
        <v/>
      </c>
      <c r="E137" s="42" t="str">
        <f aca="false">IF((E122&amp;IF(AND(E124&lt;&gt;"",E124&lt;&gt;E122),IF((E122)&lt;&gt;"","、","")&amp;E124,"")&amp;IF(AND(E126&lt;&gt;"",E126&lt;&gt;E122,E126&lt;&gt;E124),IF((E122&amp;E124)&lt;&gt;"","、","")&amp;E126,""))&lt;&gt;"","〔"&amp;(E122&amp;IF(AND(E124&lt;&gt;"",E124&lt;&gt;E122),IF((E122)&lt;&gt;"","、","")&amp;E124,"")&amp;IF(AND(E126&lt;&gt;"",E126&lt;&gt;E122,E126&lt;&gt;E124),IF((E122&amp;E124)&lt;&gt;"","、","")&amp;E126,""))&amp;"〕","")</f>
        <v/>
      </c>
      <c r="F137" s="42" t="str">
        <f aca="false">IF((F122&amp;IF(AND(F124&lt;&gt;"",F124&lt;&gt;F122),IF((F122)&lt;&gt;"","、","")&amp;F124,"")&amp;IF(AND(F126&lt;&gt;"",F126&lt;&gt;F122,F126&lt;&gt;F124),IF((F122&amp;F124)&lt;&gt;"","、","")&amp;F126,""))&lt;&gt;"","〔"&amp;(F122&amp;IF(AND(F124&lt;&gt;"",F124&lt;&gt;F122),IF((F122)&lt;&gt;"","、","")&amp;F124,"")&amp;IF(AND(F126&lt;&gt;"",F126&lt;&gt;F122,F126&lt;&gt;F124),IF((F122&amp;F124)&lt;&gt;"","、","")&amp;F126,""))&amp;"〕","")</f>
        <v/>
      </c>
      <c r="G137" s="42" t="str">
        <f aca="false">IF((G122&amp;IF(AND(G124&lt;&gt;"",G124&lt;&gt;G122),IF((G122)&lt;&gt;"","、","")&amp;G124,"")&amp;IF(AND(G126&lt;&gt;"",G126&lt;&gt;G122,G126&lt;&gt;G124),IF((G122&amp;G124)&lt;&gt;"","、","")&amp;G126,""))&lt;&gt;"","〔"&amp;(G122&amp;IF(AND(G124&lt;&gt;"",G124&lt;&gt;G122),IF((G122)&lt;&gt;"","、","")&amp;G124,"")&amp;IF(AND(G126&lt;&gt;"",G126&lt;&gt;G122,G126&lt;&gt;G124),IF((G122&amp;G124)&lt;&gt;"","、","")&amp;G126,""))&amp;"〕","")</f>
        <v/>
      </c>
      <c r="H137" s="42" t="str">
        <f aca="false">IF((H122&amp;IF(AND(H124&lt;&gt;"",H124&lt;&gt;H122),IF((H122)&lt;&gt;"","、","")&amp;H124,"")&amp;IF(AND(H126&lt;&gt;"",H126&lt;&gt;H122,H126&lt;&gt;H124),IF((H122&amp;H124)&lt;&gt;"","、","")&amp;H126,""))&lt;&gt;"","〔"&amp;(H122&amp;IF(AND(H124&lt;&gt;"",H124&lt;&gt;H122),IF((H122)&lt;&gt;"","、","")&amp;H124,"")&amp;IF(AND(H126&lt;&gt;"",H126&lt;&gt;H122,H126&lt;&gt;H124),IF((H122&amp;H124)&lt;&gt;"","、","")&amp;H126,""))&amp;"〕","")</f>
        <v/>
      </c>
    </row>
    <row r="138" customFormat="false" ht="15" hidden="true" customHeight="false" outlineLevel="1" collapsed="false">
      <c r="A138" s="3" t="s">
        <v>894</v>
      </c>
      <c r="C138" s="42" t="str">
        <f aca="false">IF((C128&amp;IF(AND(C130&lt;&gt;"",C130&lt;&gt;C128),IF((C128)&lt;&gt;"","、","")&amp;C130,"")&amp;IF(AND(C132&lt;&gt;"",C132&lt;&gt;C128,C132&lt;&gt;C130),IF((C128&amp;C130)&lt;&gt;"","、","")&amp;C132,""))&lt;&gt;"","〔"&amp;(C128&amp;IF(AND(C130&lt;&gt;"",C130&lt;&gt;C128),IF((C128)&lt;&gt;"","、","")&amp;C130,"")&amp;IF(AND(C132&lt;&gt;"",C132&lt;&gt;C128,C132&lt;&gt;C130),IF((C128&amp;C130)&lt;&gt;"","、","")&amp;C132,""))&amp;"〕","")</f>
        <v/>
      </c>
      <c r="D138" s="42" t="str">
        <f aca="false">IF((D128&amp;IF(AND(D130&lt;&gt;"",D130&lt;&gt;D128),IF((D128)&lt;&gt;"","、","")&amp;D130,"")&amp;IF(AND(D132&lt;&gt;"",D132&lt;&gt;D128,D132&lt;&gt;D130),IF((D128&amp;D130)&lt;&gt;"","、","")&amp;D132,""))&lt;&gt;"","〔"&amp;(D128&amp;IF(AND(D130&lt;&gt;"",D130&lt;&gt;D128),IF((D128)&lt;&gt;"","、","")&amp;D130,"")&amp;IF(AND(D132&lt;&gt;"",D132&lt;&gt;D128,D132&lt;&gt;D130),IF((D128&amp;D130)&lt;&gt;"","、","")&amp;D132,""))&amp;"〕","")</f>
        <v/>
      </c>
      <c r="E138" s="42" t="str">
        <f aca="false">IF((E128&amp;IF(AND(E130&lt;&gt;"",E130&lt;&gt;E128),IF((E128)&lt;&gt;"","、","")&amp;E130,"")&amp;IF(AND(E132&lt;&gt;"",E132&lt;&gt;E128,E132&lt;&gt;E130),IF((E128&amp;E130)&lt;&gt;"","、","")&amp;E132,""))&lt;&gt;"","〔"&amp;(E128&amp;IF(AND(E130&lt;&gt;"",E130&lt;&gt;E128),IF((E128)&lt;&gt;"","、","")&amp;E130,"")&amp;IF(AND(E132&lt;&gt;"",E132&lt;&gt;E128,E132&lt;&gt;E130),IF((E128&amp;E130)&lt;&gt;"","、","")&amp;E132,""))&amp;"〕","")</f>
        <v/>
      </c>
      <c r="F138" s="42" t="str">
        <f aca="false">IF((F128&amp;IF(AND(F130&lt;&gt;"",F130&lt;&gt;F128),IF((F128)&lt;&gt;"","、","")&amp;F130,"")&amp;IF(AND(F132&lt;&gt;"",F132&lt;&gt;F128,F132&lt;&gt;F130),IF((F128&amp;F130)&lt;&gt;"","、","")&amp;F132,""))&lt;&gt;"","〔"&amp;(F128&amp;IF(AND(F130&lt;&gt;"",F130&lt;&gt;F128),IF((F128)&lt;&gt;"","、","")&amp;F130,"")&amp;IF(AND(F132&lt;&gt;"",F132&lt;&gt;F128,F132&lt;&gt;F130),IF((F128&amp;F130)&lt;&gt;"","、","")&amp;F132,""))&amp;"〕","")</f>
        <v/>
      </c>
      <c r="G138" s="42" t="str">
        <f aca="false">IF((G128&amp;IF(AND(G130&lt;&gt;"",G130&lt;&gt;G128),IF((G128)&lt;&gt;"","、","")&amp;G130,"")&amp;IF(AND(G132&lt;&gt;"",G132&lt;&gt;G128,G132&lt;&gt;G130),IF((G128&amp;G130)&lt;&gt;"","、","")&amp;G132,""))&lt;&gt;"","〔"&amp;(G128&amp;IF(AND(G130&lt;&gt;"",G130&lt;&gt;G128),IF((G128)&lt;&gt;"","、","")&amp;G130,"")&amp;IF(AND(G132&lt;&gt;"",G132&lt;&gt;G128,G132&lt;&gt;G130),IF((G128&amp;G130)&lt;&gt;"","、","")&amp;G132,""))&amp;"〕","")</f>
        <v/>
      </c>
      <c r="H138" s="42" t="str">
        <f aca="false">IF((H128&amp;IF(AND(H130&lt;&gt;"",H130&lt;&gt;H128),IF((H128)&lt;&gt;"","、","")&amp;H130,"")&amp;IF(AND(H132&lt;&gt;"",H132&lt;&gt;H128,H132&lt;&gt;H130),IF((H128&amp;H130)&lt;&gt;"","、","")&amp;H132,""))&lt;&gt;"","〔"&amp;(H128&amp;IF(AND(H130&lt;&gt;"",H130&lt;&gt;H128),IF((H128)&lt;&gt;"","、","")&amp;H130,"")&amp;IF(AND(H132&lt;&gt;"",H132&lt;&gt;H128,H132&lt;&gt;H130),IF((H128&amp;H130)&lt;&gt;"","、","")&amp;H132,""))&amp;"〕","")</f>
        <v/>
      </c>
    </row>
    <row r="139" customFormat="false" ht="15" hidden="true" customHeight="false" outlineLevel="1" collapsed="false">
      <c r="A139" s="3" t="s">
        <v>895</v>
      </c>
      <c r="C139" s="42" t="str">
        <f aca="false">"營收：模型 "&amp;IF(ISNUMBER(C22),IF(C22&lt;0,"−","")&amp;"$"&amp;TEXT(ABS(C22),"#,##0.00")&amp;"bn","不適用")&amp;IF(ISNUMBER(C41),"｜共識 "&amp;IF(C41&lt;0,"−","")&amp;"$"&amp;TEXT(ABS(C41),"#,##0.00")&amp;"bn"&amp;"（"&amp;IF(ISNUMBER(C51),IF(C51&lt;0,"−","+")&amp;TEXT(ABS(C51)*100,"#,##0.0")&amp;"%","不適用")&amp;"）","")&amp;IF(AND(ISNUMBER(C31),ISNUMBER(C32)),"｜指引 "&amp;"$"&amp;IF(C31&lt;0,"−","")&amp;TEXT(ABS(C31),"#,##0.00")&amp;"–"&amp;IF(C32&lt;0,"−","")&amp;TEXT(ABS(C32),"#,##0.00")&amp;"bn"&amp;"（中點 "&amp;IF(ISNUMBER(C52),IF(C52&lt;0,"−","+")&amp;TEXT(ABS(C52)*100,"#,##0.0")&amp;"%","不適用")&amp;"，"&amp;IF(C22&gt;C32,"高於上緣",IF(C22&lt;C31,"低於下緣",IF(C22&gt;=(C31+C32)/2,"區間上半部","區間下半部")))&amp;"）","")&amp;IF(ISNUMBER(C45),"｜實際 "&amp;IF(C45&lt;0,"−","")&amp;"$"&amp;TEXT(ABS(C45),"#,##0.00")&amp;"bn"&amp;"（較模型 "&amp;IF(ISNUMBER(C53),IF(C53&lt;0,"−","+")&amp;TEXT(ABS(C53)*100,"#,##0.0")&amp;"%","不適用")&amp;IF(ISNUMBER(C41),"、較共識 "&amp;IF(ISNUMBER(C54),IF(C54&lt;0,"−","+")&amp;TEXT(ABS(C54)*100,"#,##0.0")&amp;"%","不適用"),"")&amp;IF(AND(ISNUMBER(C31),ISNUMBER(C32)),"、"&amp;IF(C45&gt;C32,"高於上緣",IF(C45&lt;C31,"低於下緣",IF(C45&gt;=(C31+C32)/2,"區間上半部","區間下半部"))),"")&amp;"）","")&amp;C134</f>
        <v>營收：模型 $3.66bn｜共識 $3.54bn（+3.4%）｜指引 $3.45–3.60bn（中點 +3.9%，高於上緣）〔觀點〕</v>
      </c>
      <c r="D139" s="42" t="str">
        <f aca="false">"營收：模型 "&amp;IF(ISNUMBER(D22),IF(D22&lt;0,"−","")&amp;"$"&amp;TEXT(ABS(D22),"#,##0.00")&amp;"bn","不適用")&amp;IF(ISNUMBER(D41),"｜共識 "&amp;IF(D41&lt;0,"−","")&amp;"$"&amp;TEXT(ABS(D41),"#,##0.00")&amp;"bn"&amp;"（"&amp;IF(ISNUMBER(D51),IF(D51&lt;0,"−","+")&amp;TEXT(ABS(D51)*100,"#,##0.0")&amp;"%","不適用")&amp;"）","")&amp;IF(AND(ISNUMBER(D31),ISNUMBER(D32)),"｜指引 "&amp;"$"&amp;IF(D31&lt;0,"−","")&amp;TEXT(ABS(D31),"#,##0.00")&amp;"–"&amp;IF(D32&lt;0,"−","")&amp;TEXT(ABS(D32),"#,##0.00")&amp;"bn"&amp;"（中點 "&amp;IF(ISNUMBER(D52),IF(D52&lt;0,"−","+")&amp;TEXT(ABS(D52)*100,"#,##0.0")&amp;"%","不適用")&amp;"，"&amp;IF(D22&gt;D32,"高於上緣",IF(D22&lt;D31,"低於下緣",IF(D22&gt;=(D31+D32)/2,"區間上半部","區間下半部")))&amp;"）","")&amp;IF(ISNUMBER(D45),"｜實際 "&amp;IF(D45&lt;0,"−","")&amp;"$"&amp;TEXT(ABS(D45),"#,##0.00")&amp;"bn"&amp;"（較模型 "&amp;IF(ISNUMBER(D53),IF(D53&lt;0,"−","+")&amp;TEXT(ABS(D53)*100,"#,##0.0")&amp;"%","不適用")&amp;IF(ISNUMBER(D41),"、較共識 "&amp;IF(ISNUMBER(D54),IF(D54&lt;0,"−","+")&amp;TEXT(ABS(D54)*100,"#,##0.0")&amp;"%","不適用"),"")&amp;IF(AND(ISNUMBER(D31),ISNUMBER(D32)),"、"&amp;IF(D45&gt;D32,"高於上緣",IF(D45&lt;D31,"低於下緣",IF(D45&gt;=(D31+D32)/2,"區間上半部","區間下半部"))),"")&amp;"）","")&amp;D134</f>
        <v>營收：模型 $4.75bn｜共識 $4.71bn（+0.9%）</v>
      </c>
      <c r="E139" s="42" t="str">
        <f aca="false">"營收：模型 "&amp;IF(ISNUMBER(E22),IF(E22&lt;0,"−","")&amp;"$"&amp;TEXT(ABS(E22),"#,##0.00")&amp;"bn","不適用")&amp;IF(ISNUMBER(E41),"｜共識 "&amp;IF(E41&lt;0,"−","")&amp;"$"&amp;TEXT(ABS(E41),"#,##0.00")&amp;"bn"&amp;"（"&amp;IF(ISNUMBER(E51),IF(E51&lt;0,"−","+")&amp;TEXT(ABS(E51)*100,"#,##0.0")&amp;"%","不適用")&amp;"）","")&amp;IF(AND(ISNUMBER(E31),ISNUMBER(E32)),"｜指引 "&amp;"$"&amp;IF(E31&lt;0,"−","")&amp;TEXT(ABS(E31),"#,##0.00")&amp;"–"&amp;IF(E32&lt;0,"−","")&amp;TEXT(ABS(E32),"#,##0.00")&amp;"bn"&amp;"（中點 "&amp;IF(ISNUMBER(E52),IF(E52&lt;0,"−","+")&amp;TEXT(ABS(E52)*100,"#,##0.0")&amp;"%","不適用")&amp;"，"&amp;IF(E22&gt;E32,"高於上緣",IF(E22&lt;E31,"低於下緣",IF(E22&gt;=(E31+E32)/2,"區間上半部","區間下半部")))&amp;"）","")&amp;IF(ISNUMBER(E45),"｜實際 "&amp;IF(E45&lt;0,"−","")&amp;"$"&amp;TEXT(ABS(E45),"#,##0.00")&amp;"bn"&amp;"（較模型 "&amp;IF(ISNUMBER(E53),IF(E53&lt;0,"−","+")&amp;TEXT(ABS(E53)*100,"#,##0.0")&amp;"%","不適用")&amp;IF(ISNUMBER(E41),"、較共識 "&amp;IF(ISNUMBER(E54),IF(E54&lt;0,"−","+")&amp;TEXT(ABS(E54)*100,"#,##0.0")&amp;"%","不適用"),"")&amp;IF(AND(ISNUMBER(E31),ISNUMBER(E32)),"、"&amp;IF(E45&gt;E32,"高於上緣",IF(E45&lt;E31,"低於下緣",IF(E45&gt;=(E31+E32)/2,"區間上半部","區間下半部"))),"")&amp;"）","")&amp;E134</f>
        <v>營收：模型 $5.25bn</v>
      </c>
      <c r="F139" s="42" t="str">
        <f aca="false">"營收：模型 "&amp;IF(ISNUMBER(F22),IF(F22&lt;0,"−","")&amp;"$"&amp;TEXT(ABS(F22),"#,##0.00")&amp;"bn","不適用")&amp;IF(ISNUMBER(F41),"｜共識 "&amp;IF(F41&lt;0,"−","")&amp;"$"&amp;TEXT(ABS(F41),"#,##0.00")&amp;"bn"&amp;"（"&amp;IF(ISNUMBER(F51),IF(F51&lt;0,"−","+")&amp;TEXT(ABS(F51)*100,"#,##0.0")&amp;"%","不適用")&amp;"）","")&amp;IF(AND(ISNUMBER(F31),ISNUMBER(F32)),"｜指引 "&amp;"$"&amp;IF(F31&lt;0,"−","")&amp;TEXT(ABS(F31),"#,##0.00")&amp;"–"&amp;IF(F32&lt;0,"−","")&amp;TEXT(ABS(F32),"#,##0.00")&amp;"bn"&amp;"（中點 "&amp;IF(ISNUMBER(F52),IF(F52&lt;0,"−","+")&amp;TEXT(ABS(F52)*100,"#,##0.0")&amp;"%","不適用")&amp;"，"&amp;IF(F22&gt;F32,"高於上緣",IF(F22&lt;F31,"低於下緣",IF(F22&gt;=(F31+F32)/2,"區間上半部","區間下半部")))&amp;"）","")&amp;IF(ISNUMBER(F45),"｜實際 "&amp;IF(F45&lt;0,"−","")&amp;"$"&amp;TEXT(ABS(F45),"#,##0.00")&amp;"bn"&amp;"（較模型 "&amp;IF(ISNUMBER(F53),IF(F53&lt;0,"−","+")&amp;TEXT(ABS(F53)*100,"#,##0.0")&amp;"%","不適用")&amp;IF(ISNUMBER(F41),"、較共識 "&amp;IF(ISNUMBER(F54),IF(F54&lt;0,"−","+")&amp;TEXT(ABS(F54)*100,"#,##0.0")&amp;"%","不適用"),"")&amp;IF(AND(ISNUMBER(F31),ISNUMBER(F32)),"、"&amp;IF(F45&gt;F32,"高於上緣",IF(F45&lt;F31,"低於下緣",IF(F45&gt;=(F31+F32)/2,"區間上半部","區間下半部"))),"")&amp;"）","")&amp;F134</f>
        <v>營收：模型 $6.11bn</v>
      </c>
      <c r="G139" s="42" t="str">
        <f aca="false">"營收：模型 "&amp;IF(ISNUMBER(G22),IF(G22&lt;0,"−","")&amp;"$"&amp;TEXT(ABS(G22),"#,##0.00")&amp;"bn","不適用")&amp;IF(ISNUMBER(G41),"｜共識 "&amp;IF(G41&lt;0,"−","")&amp;"$"&amp;TEXT(ABS(G41),"#,##0.00")&amp;"bn"&amp;"（"&amp;IF(ISNUMBER(G51),IF(G51&lt;0,"−","+")&amp;TEXT(ABS(G51)*100,"#,##0.0")&amp;"%","不適用")&amp;"）","")&amp;IF(AND(ISNUMBER(G31),ISNUMBER(G32)),"｜指引 "&amp;"$"&amp;IF(G31&lt;0,"−","")&amp;TEXT(ABS(G31),"#,##0.00")&amp;"–"&amp;IF(G32&lt;0,"−","")&amp;TEXT(ABS(G32),"#,##0.00")&amp;"bn"&amp;"（中點 "&amp;IF(ISNUMBER(G52),IF(G52&lt;0,"−","+")&amp;TEXT(ABS(G52)*100,"#,##0.0")&amp;"%","不適用")&amp;"，"&amp;IF(G22&gt;G32,"高於上緣",IF(G22&lt;G31,"低於下緣",IF(G22&gt;=(G31+G32)/2,"區間上半部","區間下半部")))&amp;"）","")&amp;IF(ISNUMBER(G45),"｜實際 "&amp;IF(G45&lt;0,"−","")&amp;"$"&amp;TEXT(ABS(G45),"#,##0.00")&amp;"bn"&amp;"（較模型 "&amp;IF(ISNUMBER(G53),IF(G53&lt;0,"−","+")&amp;TEXT(ABS(G53)*100,"#,##0.0")&amp;"%","不適用")&amp;IF(ISNUMBER(G41),"、較共識 "&amp;IF(ISNUMBER(G54),IF(G54&lt;0,"−","+")&amp;TEXT(ABS(G54)*100,"#,##0.0")&amp;"%","不適用"),"")&amp;IF(AND(ISNUMBER(G31),ISNUMBER(G32)),"、"&amp;IF(G45&gt;G32,"高於上緣",IF(G45&lt;G31,"低於下緣",IF(G45&gt;=(G31+G32)/2,"區間上半部","區間下半部"))),"")&amp;"）","")&amp;G134</f>
        <v>營收：模型 $6.96bn</v>
      </c>
      <c r="H139" s="42" t="str">
        <f aca="false">"營收：模型 "&amp;IF(ISNUMBER(H22),IF(H22&lt;0,"−","")&amp;"$"&amp;TEXT(ABS(H22),"#,##0.00")&amp;"bn","不適用")&amp;IF(ISNUMBER(H41),"｜共識 "&amp;IF(H41&lt;0,"−","")&amp;"$"&amp;TEXT(ABS(H41),"#,##0.00")&amp;"bn"&amp;"（"&amp;IF(ISNUMBER(H51),IF(H51&lt;0,"−","+")&amp;TEXT(ABS(H51)*100,"#,##0.0")&amp;"%","不適用")&amp;"）","")&amp;IF(AND(ISNUMBER(H31),ISNUMBER(H32)),"｜指引 "&amp;"$"&amp;IF(H31&lt;0,"−","")&amp;TEXT(ABS(H31),"#,##0.00")&amp;"–"&amp;IF(H32&lt;0,"−","")&amp;TEXT(ABS(H32),"#,##0.00")&amp;"bn"&amp;"（中點 "&amp;IF(ISNUMBER(H52),IF(H52&lt;0,"−","+")&amp;TEXT(ABS(H52)*100,"#,##0.0")&amp;"%","不適用")&amp;"，"&amp;IF(H22&gt;H32,"高於上緣",IF(H22&lt;H31,"低於下緣",IF(H22&gt;=(H31+H32)/2,"區間上半部","區間下半部")))&amp;"）","")&amp;IF(ISNUMBER(H45),"｜實際 "&amp;IF(H45&lt;0,"−","")&amp;"$"&amp;TEXT(ABS(H45),"#,##0.00")&amp;"bn"&amp;"（較模型 "&amp;IF(ISNUMBER(H53),IF(H53&lt;0,"−","+")&amp;TEXT(ABS(H53)*100,"#,##0.0")&amp;"%","不適用")&amp;IF(ISNUMBER(H41),"、較共識 "&amp;IF(ISNUMBER(H54),IF(H54&lt;0,"−","+")&amp;TEXT(ABS(H54)*100,"#,##0.0")&amp;"%","不適用"),"")&amp;IF(AND(ISNUMBER(H31),ISNUMBER(H32)),"、"&amp;IF(H45&gt;H32,"高於上緣",IF(H45&lt;H31,"低於下緣",IF(H45&gt;=(H31+H32)/2,"區間上半部","區間下半部"))),"")&amp;"）","")&amp;H134</f>
        <v>營收：模型 $7.81bn</v>
      </c>
    </row>
    <row r="140" customFormat="false" ht="15" hidden="true" customHeight="false" outlineLevel="1" collapsed="false">
      <c r="A140" s="3" t="s">
        <v>896</v>
      </c>
      <c r="C140" s="42" t="str">
        <f aca="false">"調整後 EBITDA：模型 "&amp;IF(ISNUMBER(C28),IF(C28&lt;0,"−","")&amp;"$"&amp;TEXT(ABS(C28),"#,##0.00")&amp;"bn","不適用")&amp;IF(ISNUMBER(C42),"｜共識 "&amp;IF(C42&lt;0,"−","")&amp;"$"&amp;TEXT(ABS(C42),"#,##0.00")&amp;"bn"&amp;"（"&amp;IF(ISNUMBER(C56),IF(C56&lt;0,"−","+")&amp;IF(ABS(C56)&lt;0,"−","")&amp;"$"&amp;TEXT(ABS(ABS(C56)),"#,##0.00")&amp;"bn"&amp;IF(ISNUMBER(C61),"／"&amp;IF(C61&lt;0,"−","+")&amp;TEXT(ABS(C61)*100,"#,##0.0")&amp;"pt",""),"不適用")&amp;"）","")&amp;IF(ISNUMBER(C46),"｜實際 "&amp;IF(C46&lt;0,"−","")&amp;"$"&amp;TEXT(ABS(C46),"#,##0.00")&amp;"bn"&amp;"（較模型 "&amp;IF(ISNUMBER(C58),IF(C58&lt;0,"−","+")&amp;IF(ABS(C58)&lt;0,"−","")&amp;"$"&amp;TEXT(ABS(ABS(C58)),"#,##0.00")&amp;"bn"&amp;IF(ISNUMBER(C63),"／"&amp;IF(C63&lt;0,"−","+")&amp;TEXT(ABS(C63)*100,"#,##0.0")&amp;"pt",""),"不適用")&amp;IF(ISNUMBER(C42),"、較共識 "&amp;IF(ISNUMBER(C59),IF(C59&lt;0,"−","+")&amp;IF(ABS(C59)&lt;0,"−","")&amp;"$"&amp;TEXT(ABS(ABS(C59)),"#,##0.00")&amp;"bn"&amp;IF(ISNUMBER(C64),"／"&amp;IF(C64&lt;0,"−","+")&amp;TEXT(ABS(C64)*100,"#,##0.0")&amp;"pt",""),"不適用"),"")&amp;"）","")&amp;C135</f>
        <v>調整後 EBITDA：模型 $2.15bn｜共識 $2.05bn（+$0.10bn／+0.9pt）</v>
      </c>
      <c r="D140" s="42" t="str">
        <f aca="false">"調整後 EBITDA：模型 "&amp;IF(ISNUMBER(D28),IF(D28&lt;0,"−","")&amp;"$"&amp;TEXT(ABS(D28),"#,##0.00")&amp;"bn","不適用")&amp;IF(ISNUMBER(D42),"｜共識 "&amp;IF(D42&lt;0,"−","")&amp;"$"&amp;TEXT(ABS(D42),"#,##0.00")&amp;"bn"&amp;"（"&amp;IF(ISNUMBER(D56),IF(D56&lt;0,"−","+")&amp;IF(ABS(D56)&lt;0,"−","")&amp;"$"&amp;TEXT(ABS(ABS(D56)),"#,##0.00")&amp;"bn"&amp;IF(ISNUMBER(D61),"／"&amp;IF(D61&lt;0,"−","+")&amp;TEXT(ABS(D61)*100,"#,##0.0")&amp;"pt",""),"不適用")&amp;"）","")&amp;IF(ISNUMBER(D46),"｜實際 "&amp;IF(D46&lt;0,"−","")&amp;"$"&amp;TEXT(ABS(D46),"#,##0.00")&amp;"bn"&amp;"（較模型 "&amp;IF(ISNUMBER(D58),IF(D58&lt;0,"−","+")&amp;IF(ABS(D58)&lt;0,"−","")&amp;"$"&amp;TEXT(ABS(ABS(D58)),"#,##0.00")&amp;"bn"&amp;IF(ISNUMBER(D63),"／"&amp;IF(D63&lt;0,"−","+")&amp;TEXT(ABS(D63)*100,"#,##0.0")&amp;"pt",""),"不適用")&amp;IF(ISNUMBER(D42),"、較共識 "&amp;IF(ISNUMBER(D59),IF(D59&lt;0,"−","+")&amp;IF(ABS(D59)&lt;0,"−","")&amp;"$"&amp;TEXT(ABS(ABS(D59)),"#,##0.00")&amp;"bn"&amp;IF(ISNUMBER(D64),"／"&amp;IF(D64&lt;0,"−","+")&amp;TEXT(ABS(D64)*100,"#,##0.0")&amp;"pt",""),"不適用"),"")&amp;"）","")&amp;D135</f>
        <v>調整後 EBITDA：模型 $2.81bn｜共識 $2.90bn（−$0.08bn／−2.3pt）〔拆法〕</v>
      </c>
      <c r="E140" s="42" t="str">
        <f aca="false">"調整後 EBITDA：模型 "&amp;IF(ISNUMBER(E28),IF(E28&lt;0,"−","")&amp;"$"&amp;TEXT(ABS(E28),"#,##0.00")&amp;"bn","不適用")&amp;IF(ISNUMBER(E42),"｜共識 "&amp;IF(E42&lt;0,"−","")&amp;"$"&amp;TEXT(ABS(E42),"#,##0.00")&amp;"bn"&amp;"（"&amp;IF(ISNUMBER(E56),IF(E56&lt;0,"−","+")&amp;IF(ABS(E56)&lt;0,"−","")&amp;"$"&amp;TEXT(ABS(ABS(E56)),"#,##0.00")&amp;"bn"&amp;IF(ISNUMBER(E61),"／"&amp;IF(E61&lt;0,"−","+")&amp;TEXT(ABS(E61)*100,"#,##0.0")&amp;"pt",""),"不適用")&amp;"）","")&amp;IF(ISNUMBER(E46),"｜實際 "&amp;IF(E46&lt;0,"−","")&amp;"$"&amp;TEXT(ABS(E46),"#,##0.00")&amp;"bn"&amp;"（較模型 "&amp;IF(ISNUMBER(E58),IF(E58&lt;0,"−","+")&amp;IF(ABS(E58)&lt;0,"−","")&amp;"$"&amp;TEXT(ABS(ABS(E58)),"#,##0.00")&amp;"bn"&amp;IF(ISNUMBER(E63),"／"&amp;IF(E63&lt;0,"−","+")&amp;TEXT(ABS(E63)*100,"#,##0.0")&amp;"pt",""),"不適用")&amp;IF(ISNUMBER(E42),"、較共識 "&amp;IF(ISNUMBER(E59),IF(E59&lt;0,"−","+")&amp;IF(ABS(E59)&lt;0,"−","")&amp;"$"&amp;TEXT(ABS(ABS(E59)),"#,##0.00")&amp;"bn"&amp;IF(ISNUMBER(E64),"／"&amp;IF(E64&lt;0,"−","+")&amp;TEXT(ABS(E64)*100,"#,##0.0")&amp;"pt",""),"不適用"),"")&amp;"）","")&amp;E135</f>
        <v>調整後 EBITDA：模型 $3.14bn</v>
      </c>
      <c r="F140" s="42" t="str">
        <f aca="false">"調整後 EBITDA：模型 "&amp;IF(ISNUMBER(F28),IF(F28&lt;0,"−","")&amp;"$"&amp;TEXT(ABS(F28),"#,##0.00")&amp;"bn","不適用")&amp;IF(ISNUMBER(F42),"｜共識 "&amp;IF(F42&lt;0,"−","")&amp;"$"&amp;TEXT(ABS(F42),"#,##0.00")&amp;"bn"&amp;"（"&amp;IF(ISNUMBER(F56),IF(F56&lt;0,"−","+")&amp;IF(ABS(F56)&lt;0,"−","")&amp;"$"&amp;TEXT(ABS(ABS(F56)),"#,##0.00")&amp;"bn"&amp;IF(ISNUMBER(F61),"／"&amp;IF(F61&lt;0,"−","+")&amp;TEXT(ABS(F61)*100,"#,##0.0")&amp;"pt",""),"不適用")&amp;"）","")&amp;IF(ISNUMBER(F46),"｜實際 "&amp;IF(F46&lt;0,"−","")&amp;"$"&amp;TEXT(ABS(F46),"#,##0.00")&amp;"bn"&amp;"（較模型 "&amp;IF(ISNUMBER(F58),IF(F58&lt;0,"−","+")&amp;IF(ABS(F58)&lt;0,"−","")&amp;"$"&amp;TEXT(ABS(ABS(F58)),"#,##0.00")&amp;"bn"&amp;IF(ISNUMBER(F63),"／"&amp;IF(F63&lt;0,"−","+")&amp;TEXT(ABS(F63)*100,"#,##0.0")&amp;"pt",""),"不適用")&amp;IF(ISNUMBER(F42),"、較共識 "&amp;IF(ISNUMBER(F59),IF(F59&lt;0,"−","+")&amp;IF(ABS(F59)&lt;0,"−","")&amp;"$"&amp;TEXT(ABS(ABS(F59)),"#,##0.00")&amp;"bn"&amp;IF(ISNUMBER(F64),"／"&amp;IF(F64&lt;0,"−","+")&amp;TEXT(ABS(F64)*100,"#,##0.0")&amp;"pt",""),"不適用"),"")&amp;"）","")&amp;F135</f>
        <v>調整後 EBITDA：模型 $3.67bn</v>
      </c>
      <c r="G140" s="42" t="str">
        <f aca="false">"調整後 EBITDA：模型 "&amp;IF(ISNUMBER(G28),IF(G28&lt;0,"−","")&amp;"$"&amp;TEXT(ABS(G28),"#,##0.00")&amp;"bn","不適用")&amp;IF(ISNUMBER(G42),"｜共識 "&amp;IF(G42&lt;0,"−","")&amp;"$"&amp;TEXT(ABS(G42),"#,##0.00")&amp;"bn"&amp;"（"&amp;IF(ISNUMBER(G56),IF(G56&lt;0,"−","+")&amp;IF(ABS(G56)&lt;0,"−","")&amp;"$"&amp;TEXT(ABS(ABS(G56)),"#,##0.00")&amp;"bn"&amp;IF(ISNUMBER(G61),"／"&amp;IF(G61&lt;0,"−","+")&amp;TEXT(ABS(G61)*100,"#,##0.0")&amp;"pt",""),"不適用")&amp;"）","")&amp;IF(ISNUMBER(G46),"｜實際 "&amp;IF(G46&lt;0,"−","")&amp;"$"&amp;TEXT(ABS(G46),"#,##0.00")&amp;"bn"&amp;"（較模型 "&amp;IF(ISNUMBER(G58),IF(G58&lt;0,"−","+")&amp;IF(ABS(G58)&lt;0,"−","")&amp;"$"&amp;TEXT(ABS(ABS(G58)),"#,##0.00")&amp;"bn"&amp;IF(ISNUMBER(G63),"／"&amp;IF(G63&lt;0,"−","+")&amp;TEXT(ABS(G63)*100,"#,##0.0")&amp;"pt",""),"不適用")&amp;IF(ISNUMBER(G42),"、較共識 "&amp;IF(ISNUMBER(G59),IF(G59&lt;0,"−","+")&amp;IF(ABS(G59)&lt;0,"−","")&amp;"$"&amp;TEXT(ABS(ABS(G59)),"#,##0.00")&amp;"bn"&amp;IF(ISNUMBER(G64),"／"&amp;IF(G64&lt;0,"−","+")&amp;TEXT(ABS(G64)*100,"#,##0.0")&amp;"pt",""),"不適用"),"")&amp;"）","")&amp;G135</f>
        <v>調整後 EBITDA：模型 $4.22bn</v>
      </c>
      <c r="H140" s="42" t="str">
        <f aca="false">"調整後 EBITDA：模型 "&amp;IF(ISNUMBER(H28),IF(H28&lt;0,"−","")&amp;"$"&amp;TEXT(ABS(H28),"#,##0.00")&amp;"bn","不適用")&amp;IF(ISNUMBER(H42),"｜共識 "&amp;IF(H42&lt;0,"−","")&amp;"$"&amp;TEXT(ABS(H42),"#,##0.00")&amp;"bn"&amp;"（"&amp;IF(ISNUMBER(H56),IF(H56&lt;0,"−","+")&amp;IF(ABS(H56)&lt;0,"−","")&amp;"$"&amp;TEXT(ABS(ABS(H56)),"#,##0.00")&amp;"bn"&amp;IF(ISNUMBER(H61),"／"&amp;IF(H61&lt;0,"−","+")&amp;TEXT(ABS(H61)*100,"#,##0.0")&amp;"pt",""),"不適用")&amp;"）","")&amp;IF(ISNUMBER(H46),"｜實際 "&amp;IF(H46&lt;0,"−","")&amp;"$"&amp;TEXT(ABS(H46),"#,##0.00")&amp;"bn"&amp;"（較模型 "&amp;IF(ISNUMBER(H58),IF(H58&lt;0,"−","+")&amp;IF(ABS(H58)&lt;0,"−","")&amp;"$"&amp;TEXT(ABS(ABS(H58)),"#,##0.00")&amp;"bn"&amp;IF(ISNUMBER(H63),"／"&amp;IF(H63&lt;0,"−","+")&amp;TEXT(ABS(H63)*100,"#,##0.0")&amp;"pt",""),"不適用")&amp;IF(ISNUMBER(H42),"、較共識 "&amp;IF(ISNUMBER(H59),IF(H59&lt;0,"−","+")&amp;IF(ABS(H59)&lt;0,"−","")&amp;"$"&amp;TEXT(ABS(ABS(H59)),"#,##0.00")&amp;"bn"&amp;IF(ISNUMBER(H64),"／"&amp;IF(H64&lt;0,"−","+")&amp;TEXT(ABS(H64)*100,"#,##0.0")&amp;"pt",""),"不適用"),"")&amp;"）","")&amp;H135</f>
        <v>調整後 EBITDA：模型 $4.78bn</v>
      </c>
    </row>
    <row r="141" customFormat="false" ht="15" hidden="true" customHeight="false" outlineLevel="1" collapsed="false">
      <c r="A141" s="3" t="s">
        <v>897</v>
      </c>
      <c r="C141" s="42" t="str">
        <f aca="false">"EBITDA 率：模型 "&amp;IF(ISNUMBER(C27),IF(C27&lt;0,"−","")&amp;TEXT(ABS(C27)*100,"#,##0.0")&amp;"%","不適用")&amp;IF(ISNUMBER(C43),"｜共識 "&amp;IF(C43&lt;0,"−","")&amp;TEXT(ABS(C43)*100,"#,##0.0")&amp;"%"&amp;"（"&amp;IF(ISNUMBER(C66),IF(C66&lt;0,"−","+")&amp;TEXT(ABS(C66)*100,"#,##0.0")&amp;"pt","不適用")&amp;"）","")&amp;IF(ISNUMBER(C47),"｜實際 "&amp;IF(C47&lt;0,"−","")&amp;TEXT(ABS(C47)*100,"#,##0.0")&amp;"%"&amp;"（較模型 "&amp;IF(ISNUMBER(C68),IF(C68&lt;0,"−","+")&amp;TEXT(ABS(C68)*100,"#,##0.0")&amp;"pt","不適用")&amp;IF(ISNUMBER(C43),"、較共識 "&amp;IF(ISNUMBER(C69),IF(C69&lt;0,"−","+")&amp;TEXT(ABS(C69)*100,"#,##0.0")&amp;"pt","不適用"),"")&amp;"）","")</f>
        <v>EBITDA 率：模型 58.7%｜共識 57.8%（+0.9pt）</v>
      </c>
      <c r="D141" s="42" t="str">
        <f aca="false">"EBITDA 率：模型 "&amp;IF(ISNUMBER(D27),IF(D27&lt;0,"−","")&amp;TEXT(ABS(D27)*100,"#,##0.0")&amp;"%","不適用")&amp;IF(ISNUMBER(D43),"｜共識 "&amp;IF(D43&lt;0,"−","")&amp;TEXT(ABS(D43)*100,"#,##0.0")&amp;"%"&amp;"（"&amp;IF(ISNUMBER(D66),IF(D66&lt;0,"−","+")&amp;TEXT(ABS(D66)*100,"#,##0.0")&amp;"pt","不適用")&amp;"）","")&amp;IF(ISNUMBER(D47),"｜實際 "&amp;IF(D47&lt;0,"−","")&amp;TEXT(ABS(D47)*100,"#,##0.0")&amp;"%"&amp;"（較模型 "&amp;IF(ISNUMBER(D68),IF(D68&lt;0,"−","+")&amp;TEXT(ABS(D68)*100,"#,##0.0")&amp;"pt","不適用")&amp;IF(ISNUMBER(D43),"、較共識 "&amp;IF(ISNUMBER(D69),IF(D69&lt;0,"−","+")&amp;TEXT(ABS(D69)*100,"#,##0.0")&amp;"pt","不適用"),"")&amp;"）","")</f>
        <v>EBITDA 率：模型 59.2%｜共識 61.6%（−2.3pt）</v>
      </c>
      <c r="E141" s="42" t="str">
        <f aca="false">"EBITDA 率：模型 "&amp;IF(ISNUMBER(E27),IF(E27&lt;0,"−","")&amp;TEXT(ABS(E27)*100,"#,##0.0")&amp;"%","不適用")&amp;IF(ISNUMBER(E43),"｜共識 "&amp;IF(E43&lt;0,"−","")&amp;TEXT(ABS(E43)*100,"#,##0.0")&amp;"%"&amp;"（"&amp;IF(ISNUMBER(E66),IF(E66&lt;0,"−","+")&amp;TEXT(ABS(E66)*100,"#,##0.0")&amp;"pt","不適用")&amp;"）","")&amp;IF(ISNUMBER(E47),"｜實際 "&amp;IF(E47&lt;0,"−","")&amp;TEXT(ABS(E47)*100,"#,##0.0")&amp;"%"&amp;"（較模型 "&amp;IF(ISNUMBER(E68),IF(E68&lt;0,"−","+")&amp;TEXT(ABS(E68)*100,"#,##0.0")&amp;"pt","不適用")&amp;IF(ISNUMBER(E43),"、較共識 "&amp;IF(ISNUMBER(E69),IF(E69&lt;0,"−","+")&amp;TEXT(ABS(E69)*100,"#,##0.0")&amp;"pt","不適用"),"")&amp;"）","")</f>
        <v>EBITDA 率：模型 59.7%</v>
      </c>
      <c r="F141" s="42" t="str">
        <f aca="false">"EBITDA 率：模型 "&amp;IF(ISNUMBER(F27),IF(F27&lt;0,"−","")&amp;TEXT(ABS(F27)*100,"#,##0.0")&amp;"%","不適用")&amp;IF(ISNUMBER(F43),"｜共識 "&amp;IF(F43&lt;0,"−","")&amp;TEXT(ABS(F43)*100,"#,##0.0")&amp;"%"&amp;"（"&amp;IF(ISNUMBER(F66),IF(F66&lt;0,"−","+")&amp;TEXT(ABS(F66)*100,"#,##0.0")&amp;"pt","不適用")&amp;"）","")&amp;IF(ISNUMBER(F47),"｜實際 "&amp;IF(F47&lt;0,"−","")&amp;TEXT(ABS(F47)*100,"#,##0.0")&amp;"%"&amp;"（較模型 "&amp;IF(ISNUMBER(F68),IF(F68&lt;0,"−","+")&amp;TEXT(ABS(F68)*100,"#,##0.0")&amp;"pt","不適用")&amp;IF(ISNUMBER(F43),"、較共識 "&amp;IF(ISNUMBER(F69),IF(F69&lt;0,"−","+")&amp;TEXT(ABS(F69)*100,"#,##0.0")&amp;"pt","不適用"),"")&amp;"）","")</f>
        <v>EBITDA 率：模型 60.2%</v>
      </c>
      <c r="G141" s="42" t="str">
        <f aca="false">"EBITDA 率：模型 "&amp;IF(ISNUMBER(G27),IF(G27&lt;0,"−","")&amp;TEXT(ABS(G27)*100,"#,##0.0")&amp;"%","不適用")&amp;IF(ISNUMBER(G43),"｜共識 "&amp;IF(G43&lt;0,"−","")&amp;TEXT(ABS(G43)*100,"#,##0.0")&amp;"%"&amp;"（"&amp;IF(ISNUMBER(G66),IF(G66&lt;0,"−","+")&amp;TEXT(ABS(G66)*100,"#,##0.0")&amp;"pt","不適用")&amp;"）","")&amp;IF(ISNUMBER(G47),"｜實際 "&amp;IF(G47&lt;0,"−","")&amp;TEXT(ABS(G47)*100,"#,##0.0")&amp;"%"&amp;"（較模型 "&amp;IF(ISNUMBER(G68),IF(G68&lt;0,"−","+")&amp;TEXT(ABS(G68)*100,"#,##0.0")&amp;"pt","不適用")&amp;IF(ISNUMBER(G43),"、較共識 "&amp;IF(ISNUMBER(G69),IF(G69&lt;0,"−","+")&amp;TEXT(ABS(G69)*100,"#,##0.0")&amp;"pt","不適用"),"")&amp;"）","")</f>
        <v>EBITDA 率：模型 60.7%</v>
      </c>
      <c r="H141" s="42" t="str">
        <f aca="false">"EBITDA 率：模型 "&amp;IF(ISNUMBER(H27),IF(H27&lt;0,"−","")&amp;TEXT(ABS(H27)*100,"#,##0.0")&amp;"%","不適用")&amp;IF(ISNUMBER(H43),"｜共識 "&amp;IF(H43&lt;0,"−","")&amp;TEXT(ABS(H43)*100,"#,##0.0")&amp;"%"&amp;"（"&amp;IF(ISNUMBER(H66),IF(H66&lt;0,"−","+")&amp;TEXT(ABS(H66)*100,"#,##0.0")&amp;"pt","不適用")&amp;"）","")&amp;IF(ISNUMBER(H47),"｜實際 "&amp;IF(H47&lt;0,"−","")&amp;TEXT(ABS(H47)*100,"#,##0.0")&amp;"%"&amp;"（較模型 "&amp;IF(ISNUMBER(H68),IF(H68&lt;0,"−","+")&amp;TEXT(ABS(H68)*100,"#,##0.0")&amp;"pt","不適用")&amp;IF(ISNUMBER(H43),"、較共識 "&amp;IF(ISNUMBER(H69),IF(H69&lt;0,"−","+")&amp;TEXT(ABS(H69)*100,"#,##0.0")&amp;"pt","不適用"),"")&amp;"）","")</f>
        <v>EBITDA 率：模型 61.1%</v>
      </c>
    </row>
    <row r="142" customFormat="false" ht="15" hidden="true" customHeight="false" outlineLevel="1" collapsed="false">
      <c r="A142" s="3" t="s">
        <v>898</v>
      </c>
      <c r="C142" s="42" t="str">
        <f aca="false">"調整後營業利益：模型 "&amp;IF(ISNUMBER(C30),IF(C30&lt;0,"−","")&amp;"$"&amp;TEXT(ABS(C30),"#,##0.00")&amp;"bn","不適用")&amp;IF(AND(ISNUMBER(C33),ISNUMBER(C34)),"｜指引 "&amp;"$"&amp;IF(C33&lt;0,"−","")&amp;TEXT(ABS(C33),"#,##0.00")&amp;"–"&amp;IF(C34&lt;0,"−","")&amp;TEXT(ABS(C34),"#,##0.00")&amp;"bn"&amp;"（中點 "&amp;IF(ISNUMBER(C72),IF(C72&lt;0,"−","+")&amp;IF(ABS(C72)&lt;0,"−","")&amp;"$"&amp;TEXT(ABS(ABS(C72)),"#,##0.00")&amp;"bn"&amp;IF(ISNUMBER(C77),"／"&amp;IF(C77&lt;0,"−","+")&amp;TEXT(ABS(C77)*100,"#,##0.0")&amp;"pt",""),"不適用")&amp;"，"&amp;IF(C30&gt;C34,"高於上緣",IF(C30&lt;C33,"低於下緣",IF(C30&gt;=(C33+C34)/2,"區間上半部","區間下半部")))&amp;"）",IF(C35&lt;&gt;"","｜指引（文字）"&amp;C35,""))&amp;IF(ISNUMBER(C48),"｜實際 "&amp;IF(C48&lt;0,"−","")&amp;"$"&amp;TEXT(ABS(C48),"#,##0.00")&amp;"bn"&amp;"（較模型 "&amp;IF(ISNUMBER(C73),IF(C73&lt;0,"−","+")&amp;IF(ABS(C73)&lt;0,"−","")&amp;"$"&amp;TEXT(ABS(ABS(C73)),"#,##0.00")&amp;"bn"&amp;IF(ISNUMBER(C78),"／"&amp;IF(C78&lt;0,"−","+")&amp;TEXT(ABS(C78)*100,"#,##0.0")&amp;"pt",""),"不適用")&amp;IF(AND(ISNUMBER(C33),ISNUMBER(C34)),"、"&amp;IF(C48&gt;C34,"高於上緣",IF(C48&lt;C33,"低於下緣",IF(C48&gt;=(C33+C34)/2,"區間上半部","區間下半部"))),"")&amp;"）","")&amp;C136</f>
        <v>調整後營業利益：模型 −$0.01bn｜指引 $0.20–0.26bn（中點 −$0.24bn／−6.9pt，低於下緣）〔已知限制〕</v>
      </c>
      <c r="D142" s="42" t="str">
        <f aca="false">"調整後營業利益：模型 "&amp;IF(ISNUMBER(D30),IF(D30&lt;0,"−","")&amp;"$"&amp;TEXT(ABS(D30),"#,##0.00")&amp;"bn","不適用")&amp;IF(AND(ISNUMBER(D33),ISNUMBER(D34)),"｜指引 "&amp;"$"&amp;IF(D33&lt;0,"−","")&amp;TEXT(ABS(D33),"#,##0.00")&amp;"–"&amp;IF(D34&lt;0,"−","")&amp;TEXT(ABS(D34),"#,##0.00")&amp;"bn"&amp;"（中點 "&amp;IF(ISNUMBER(D72),IF(D72&lt;0,"−","+")&amp;IF(ABS(D72)&lt;0,"−","")&amp;"$"&amp;TEXT(ABS(ABS(D72)),"#,##0.00")&amp;"bn"&amp;IF(ISNUMBER(D77),"／"&amp;IF(D77&lt;0,"−","+")&amp;TEXT(ABS(D77)*100,"#,##0.0")&amp;"pt",""),"不適用")&amp;"，"&amp;IF(D30&gt;D34,"高於上緣",IF(D30&lt;D33,"低於下緣",IF(D30&gt;=(D33+D34)/2,"區間上半部","區間下半部")))&amp;"）",IF(D35&lt;&gt;"","｜指引（文字）"&amp;D35,""))&amp;IF(ISNUMBER(D48),"｜實際 "&amp;IF(D48&lt;0,"−","")&amp;"$"&amp;TEXT(ABS(D48),"#,##0.00")&amp;"bn"&amp;"（較模型 "&amp;IF(ISNUMBER(D73),IF(D73&lt;0,"−","+")&amp;IF(ABS(D73)&lt;0,"−","")&amp;"$"&amp;TEXT(ABS(ABS(D73)),"#,##0.00")&amp;"bn"&amp;IF(ISNUMBER(D78),"／"&amp;IF(D78&lt;0,"−","+")&amp;TEXT(ABS(D78)*100,"#,##0.0")&amp;"pt",""),"不適用")&amp;IF(AND(ISNUMBER(D33),ISNUMBER(D34)),"、"&amp;IF(D48&gt;D34,"高於上緣",IF(D48&lt;D33,"低於下緣",IF(D48&gt;=(D33+D34)/2,"區間上半部","區間下半部"))),"")&amp;"）","")&amp;D136</f>
        <v>調整後營業利益：模型 $0.21bn｜指引（文字）調整後營業利益率 low teens</v>
      </c>
      <c r="E142" s="42" t="str">
        <f aca="false">"調整後營業利益：模型 "&amp;IF(ISNUMBER(E30),IF(E30&lt;0,"−","")&amp;"$"&amp;TEXT(ABS(E30),"#,##0.00")&amp;"bn","不適用")&amp;IF(AND(ISNUMBER(E33),ISNUMBER(E34)),"｜指引 "&amp;"$"&amp;IF(E33&lt;0,"−","")&amp;TEXT(ABS(E33),"#,##0.00")&amp;"–"&amp;IF(E34&lt;0,"−","")&amp;TEXT(ABS(E34),"#,##0.00")&amp;"bn"&amp;"（中點 "&amp;IF(ISNUMBER(E72),IF(E72&lt;0,"−","+")&amp;IF(ABS(E72)&lt;0,"−","")&amp;"$"&amp;TEXT(ABS(ABS(E72)),"#,##0.00")&amp;"bn"&amp;IF(ISNUMBER(E77),"／"&amp;IF(E77&lt;0,"−","+")&amp;TEXT(ABS(E77)*100,"#,##0.0")&amp;"pt",""),"不適用")&amp;"，"&amp;IF(E30&gt;E34,"高於上緣",IF(E30&lt;E33,"低於下緣",IF(E30&gt;=(E33+E34)/2,"區間上半部","區間下半部")))&amp;"）",IF(E35&lt;&gt;"","｜指引（文字）"&amp;E35,""))&amp;IF(ISNUMBER(E48),"｜實際 "&amp;IF(E48&lt;0,"−","")&amp;"$"&amp;TEXT(ABS(E48),"#,##0.00")&amp;"bn"&amp;"（較模型 "&amp;IF(ISNUMBER(E73),IF(E73&lt;0,"−","+")&amp;IF(ABS(E73)&lt;0,"−","")&amp;"$"&amp;TEXT(ABS(ABS(E73)),"#,##0.00")&amp;"bn"&amp;IF(ISNUMBER(E78),"／"&amp;IF(E78&lt;0,"−","+")&amp;TEXT(ABS(E78)*100,"#,##0.0")&amp;"pt",""),"不適用")&amp;IF(AND(ISNUMBER(E33),ISNUMBER(E34)),"、"&amp;IF(E48&gt;E34,"高於上緣",IF(E48&lt;E33,"低於下緣",IF(E48&gt;=(E33+E34)/2,"區間上半部","區間下半部"))),"")&amp;"）","")&amp;E136</f>
        <v>調整後營業利益：模型 $0.12bn</v>
      </c>
      <c r="F142" s="42" t="str">
        <f aca="false">"調整後營業利益：模型 "&amp;IF(ISNUMBER(F30),IF(F30&lt;0,"−","")&amp;"$"&amp;TEXT(ABS(F30),"#,##0.00")&amp;"bn","不適用")&amp;IF(AND(ISNUMBER(F33),ISNUMBER(F34)),"｜指引 "&amp;"$"&amp;IF(F33&lt;0,"−","")&amp;TEXT(ABS(F33),"#,##0.00")&amp;"–"&amp;IF(F34&lt;0,"−","")&amp;TEXT(ABS(F34),"#,##0.00")&amp;"bn"&amp;"（中點 "&amp;IF(ISNUMBER(F72),IF(F72&lt;0,"−","+")&amp;IF(ABS(F72)&lt;0,"−","")&amp;"$"&amp;TEXT(ABS(ABS(F72)),"#,##0.00")&amp;"bn"&amp;IF(ISNUMBER(F77),"／"&amp;IF(F77&lt;0,"−","+")&amp;TEXT(ABS(F77)*100,"#,##0.0")&amp;"pt",""),"不適用")&amp;"，"&amp;IF(F30&gt;F34,"高於上緣",IF(F30&lt;F33,"低於下緣",IF(F30&gt;=(F33+F34)/2,"區間上半部","區間下半部")))&amp;"）",IF(F35&lt;&gt;"","｜指引（文字）"&amp;F35,""))&amp;IF(ISNUMBER(F48),"｜實際 "&amp;IF(F48&lt;0,"−","")&amp;"$"&amp;TEXT(ABS(F48),"#,##0.00")&amp;"bn"&amp;"（較模型 "&amp;IF(ISNUMBER(F73),IF(F73&lt;0,"−","+")&amp;IF(ABS(F73)&lt;0,"−","")&amp;"$"&amp;TEXT(ABS(ABS(F73)),"#,##0.00")&amp;"bn"&amp;IF(ISNUMBER(F78),"／"&amp;IF(F78&lt;0,"−","+")&amp;TEXT(ABS(F78)*100,"#,##0.0")&amp;"pt",""),"不適用")&amp;IF(AND(ISNUMBER(F33),ISNUMBER(F34)),"、"&amp;IF(F48&gt;F34,"高於上緣",IF(F48&lt;F33,"低於下緣",IF(F48&gt;=(F33+F34)/2,"區間上半部","區間下半部"))),"")&amp;"）","")&amp;F136</f>
        <v>調整後營業利益：模型 $0.26bn</v>
      </c>
      <c r="G142" s="42" t="str">
        <f aca="false">"調整後營業利益：模型 "&amp;IF(ISNUMBER(G30),IF(G30&lt;0,"−","")&amp;"$"&amp;TEXT(ABS(G30),"#,##0.00")&amp;"bn","不適用")&amp;IF(AND(ISNUMBER(G33),ISNUMBER(G34)),"｜指引 "&amp;"$"&amp;IF(G33&lt;0,"−","")&amp;TEXT(ABS(G33),"#,##0.00")&amp;"–"&amp;IF(G34&lt;0,"−","")&amp;TEXT(ABS(G34),"#,##0.00")&amp;"bn"&amp;"（中點 "&amp;IF(ISNUMBER(G72),IF(G72&lt;0,"−","+")&amp;IF(ABS(G72)&lt;0,"−","")&amp;"$"&amp;TEXT(ABS(ABS(G72)),"#,##0.00")&amp;"bn"&amp;IF(ISNUMBER(G77),"／"&amp;IF(G77&lt;0,"−","+")&amp;TEXT(ABS(G77)*100,"#,##0.0")&amp;"pt",""),"不適用")&amp;"，"&amp;IF(G30&gt;G34,"高於上緣",IF(G30&lt;G33,"低於下緣",IF(G30&gt;=(G33+G34)/2,"區間上半部","區間下半部")))&amp;"）",IF(G35&lt;&gt;"","｜指引（文字）"&amp;G35,""))&amp;IF(ISNUMBER(G48),"｜實際 "&amp;IF(G48&lt;0,"−","")&amp;"$"&amp;TEXT(ABS(G48),"#,##0.00")&amp;"bn"&amp;"（較模型 "&amp;IF(ISNUMBER(G73),IF(G73&lt;0,"−","+")&amp;IF(ABS(G73)&lt;0,"−","")&amp;"$"&amp;TEXT(ABS(ABS(G73)),"#,##0.00")&amp;"bn"&amp;IF(ISNUMBER(G78),"／"&amp;IF(G78&lt;0,"−","+")&amp;TEXT(ABS(G78)*100,"#,##0.0")&amp;"pt",""),"不適用")&amp;IF(AND(ISNUMBER(G33),ISNUMBER(G34)),"、"&amp;IF(G48&gt;G34,"高於上緣",IF(G48&lt;G33,"低於下緣",IF(G48&gt;=(G33+G34)/2,"區間上半部","區間下半部"))),"")&amp;"）","")&amp;G136</f>
        <v>調整後營業利益：模型 $0.41bn</v>
      </c>
      <c r="H142" s="42" t="str">
        <f aca="false">"調整後營業利益：模型 "&amp;IF(ISNUMBER(H30),IF(H30&lt;0,"−","")&amp;"$"&amp;TEXT(ABS(H30),"#,##0.00")&amp;"bn","不適用")&amp;IF(AND(ISNUMBER(H33),ISNUMBER(H34)),"｜指引 "&amp;"$"&amp;IF(H33&lt;0,"−","")&amp;TEXT(ABS(H33),"#,##0.00")&amp;"–"&amp;IF(H34&lt;0,"−","")&amp;TEXT(ABS(H34),"#,##0.00")&amp;"bn"&amp;"（中點 "&amp;IF(ISNUMBER(H72),IF(H72&lt;0,"−","+")&amp;IF(ABS(H72)&lt;0,"−","")&amp;"$"&amp;TEXT(ABS(ABS(H72)),"#,##0.00")&amp;"bn"&amp;IF(ISNUMBER(H77),"／"&amp;IF(H77&lt;0,"−","+")&amp;TEXT(ABS(H77)*100,"#,##0.0")&amp;"pt",""),"不適用")&amp;"，"&amp;IF(H30&gt;H34,"高於上緣",IF(H30&lt;H33,"低於下緣",IF(H30&gt;=(H33+H34)/2,"區間上半部","區間下半部")))&amp;"）",IF(H35&lt;&gt;"","｜指引（文字）"&amp;H35,""))&amp;IF(ISNUMBER(H48),"｜實際 "&amp;IF(H48&lt;0,"−","")&amp;"$"&amp;TEXT(ABS(H48),"#,##0.00")&amp;"bn"&amp;"（較模型 "&amp;IF(ISNUMBER(H73),IF(H73&lt;0,"−","+")&amp;IF(ABS(H73)&lt;0,"−","")&amp;"$"&amp;TEXT(ABS(ABS(H73)),"#,##0.00")&amp;"bn"&amp;IF(ISNUMBER(H78),"／"&amp;IF(H78&lt;0,"−","+")&amp;TEXT(ABS(H78)*100,"#,##0.0")&amp;"pt",""),"不適用")&amp;IF(AND(ISNUMBER(H33),ISNUMBER(H34)),"、"&amp;IF(H48&gt;H34,"高於上緣",IF(H48&lt;H33,"低於下緣",IF(H48&gt;=(H33+H34)/2,"區間上半部","區間下半部"))),"")&amp;"）","")&amp;H136</f>
        <v>調整後營業利益：模型 $0.56bn</v>
      </c>
    </row>
    <row r="143" customFormat="false" ht="15" hidden="true" customHeight="false" outlineLevel="1" collapsed="false">
      <c r="A143" s="3" t="s">
        <v>899</v>
      </c>
      <c r="C143" s="42" t="str">
        <f aca="false">"CapEx（毛額）：模型 "&amp;IF(ISNUMBER(C40),IF(C40&lt;0,"−","")&amp;"$"&amp;TEXT(ABS(C40),"#,##0.00")&amp;"bn","不適用")&amp;IF(AND(ISNUMBER(C36),ISNUMBER(C37)),"｜指引 "&amp;"$"&amp;IF(C36&lt;0,"−","")&amp;TEXT(ABS(C36),"#,##0.00")&amp;"–"&amp;IF(C37&lt;0,"−","")&amp;TEXT(ABS(C37),"#,##0.00")&amp;"bn"&amp;"（中點 "&amp;IF(ISNUMBER(C82),IF(C82&lt;0,"−","+")&amp;TEXT(ABS(C82)*100,"#,##0.0")&amp;"%","不適用")&amp;"，"&amp;IF(C40&gt;C37,"高於上緣",IF(C40&lt;C36,"低於下緣",IF(C40&gt;=(C36+C37)/2,"區間上半部","區間下半部")))&amp;"）","")&amp;IF(ISNUMBER(C49),"｜實際 "&amp;IF(C49&lt;0,"−","")&amp;"$"&amp;TEXT(ABS(C49),"#,##0.00")&amp;"bn"&amp;"（較模型 "&amp;IF(ISNUMBER(C83),IF(C83&lt;0,"−","+")&amp;TEXT(ABS(C83)*100,"#,##0.0")&amp;"%","不適用")&amp;IF(AND(ISNUMBER(C36),ISNUMBER(C37)),"、"&amp;IF(C49&gt;C37,"高於上緣",IF(C49&lt;C36,"低於下緣",IF(C49&gt;=(C36+C37)/2,"區間上半部","區間下半部"))),"")&amp;"）","")&amp;C137</f>
        <v>CapEx（毛額）：模型 $12.50bn｜指引 $11.50–13.50bn（中點 +0.0%，區間上半部）</v>
      </c>
      <c r="D143" s="42" t="str">
        <f aca="false">"CapEx（毛額）：模型 "&amp;IF(ISNUMBER(D40),IF(D40&lt;0,"−","")&amp;"$"&amp;TEXT(ABS(D40),"#,##0.00")&amp;"bn","不適用")&amp;IF(AND(ISNUMBER(D36),ISNUMBER(D37)),"｜指引 "&amp;"$"&amp;IF(D36&lt;0,"−","")&amp;TEXT(ABS(D36),"#,##0.00")&amp;"–"&amp;IF(D37&lt;0,"−","")&amp;TEXT(ABS(D37),"#,##0.00")&amp;"bn"&amp;"（中點 "&amp;IF(ISNUMBER(D82),IF(D82&lt;0,"−","+")&amp;TEXT(ABS(D82)*100,"#,##0.0")&amp;"%","不適用")&amp;"，"&amp;IF(D40&gt;D37,"高於上緣",IF(D40&lt;D36,"低於下緣",IF(D40&gt;=(D36+D37)/2,"區間上半部","區間下半部")))&amp;"）","")&amp;IF(ISNUMBER(D49),"｜實際 "&amp;IF(D49&lt;0,"−","")&amp;"$"&amp;TEXT(ABS(D49),"#,##0.00")&amp;"bn"&amp;"（較模型 "&amp;IF(ISNUMBER(D83),IF(D83&lt;0,"−","+")&amp;TEXT(ABS(D83)*100,"#,##0.0")&amp;"%","不適用")&amp;IF(AND(ISNUMBER(D36),ISNUMBER(D37)),"、"&amp;IF(D49&gt;D37,"高於上緣",IF(D49&lt;D36,"低於下緣",IF(D49&gt;=(D36+D37)/2,"區間上半部","區間下半部"))),"")&amp;"）","")&amp;D137</f>
        <v>CapEx（毛額）：模型 $8.34bn</v>
      </c>
      <c r="E143" s="42" t="str">
        <f aca="false">"CapEx（毛額）：模型 "&amp;IF(ISNUMBER(E40),IF(E40&lt;0,"−","")&amp;"$"&amp;TEXT(ABS(E40),"#,##0.00")&amp;"bn","不適用")&amp;IF(AND(ISNUMBER(E36),ISNUMBER(E37)),"｜指引 "&amp;"$"&amp;IF(E36&lt;0,"−","")&amp;TEXT(ABS(E36),"#,##0.00")&amp;"–"&amp;IF(E37&lt;0,"−","")&amp;TEXT(ABS(E37),"#,##0.00")&amp;"bn"&amp;"（中點 "&amp;IF(ISNUMBER(E82),IF(E82&lt;0,"−","+")&amp;TEXT(ABS(E82)*100,"#,##0.0")&amp;"%","不適用")&amp;"，"&amp;IF(E40&gt;E37,"高於上緣",IF(E40&lt;E36,"低於下緣",IF(E40&gt;=(E36+E37)/2,"區間上半部","區間下半部")))&amp;"）","")&amp;IF(ISNUMBER(E49),"｜實際 "&amp;IF(E49&lt;0,"−","")&amp;"$"&amp;TEXT(ABS(E49),"#,##0.00")&amp;"bn"&amp;"（較模型 "&amp;IF(ISNUMBER(E83),IF(E83&lt;0,"−","+")&amp;TEXT(ABS(E83)*100,"#,##0.0")&amp;"%","不適用")&amp;IF(AND(ISNUMBER(E36),ISNUMBER(E37)),"、"&amp;IF(E49&gt;E37,"高於上緣",IF(E49&lt;E36,"低於下緣",IF(E49&gt;=(E36+E37)/2,"區間上半部","區間下半部"))),"")&amp;"）","")&amp;E137</f>
        <v>CapEx（毛額）：模型 $9.58bn</v>
      </c>
      <c r="F143" s="42" t="str">
        <f aca="false">"CapEx（毛額）：模型 "&amp;IF(ISNUMBER(F40),IF(F40&lt;0,"−","")&amp;"$"&amp;TEXT(ABS(F40),"#,##0.00")&amp;"bn","不適用")&amp;IF(AND(ISNUMBER(F36),ISNUMBER(F37)),"｜指引 "&amp;"$"&amp;IF(F36&lt;0,"−","")&amp;TEXT(ABS(F36),"#,##0.00")&amp;"–"&amp;IF(F37&lt;0,"−","")&amp;TEXT(ABS(F37),"#,##0.00")&amp;"bn"&amp;"（中點 "&amp;IF(ISNUMBER(F82),IF(F82&lt;0,"−","+")&amp;TEXT(ABS(F82)*100,"#,##0.0")&amp;"%","不適用")&amp;"，"&amp;IF(F40&gt;F37,"高於上緣",IF(F40&lt;F36,"低於下緣",IF(F40&gt;=(F36+F37)/2,"區間上半部","區間下半部")))&amp;"）","")&amp;IF(ISNUMBER(F49),"｜實際 "&amp;IF(F49&lt;0,"−","")&amp;"$"&amp;TEXT(ABS(F49),"#,##0.00")&amp;"bn"&amp;"（較模型 "&amp;IF(ISNUMBER(F83),IF(F83&lt;0,"−","+")&amp;TEXT(ABS(F83)*100,"#,##0.0")&amp;"%","不適用")&amp;IF(AND(ISNUMBER(F36),ISNUMBER(F37)),"、"&amp;IF(F49&gt;F37,"高於上緣",IF(F49&lt;F36,"低於下緣",IF(F49&gt;=(F36+F37)/2,"區間上半部","區間下半部"))),"")&amp;"）","")&amp;F137</f>
        <v>CapEx（毛額）：模型 $9.58bn</v>
      </c>
      <c r="G143" s="42" t="str">
        <f aca="false">"CapEx（毛額）：模型 "&amp;IF(ISNUMBER(G40),IF(G40&lt;0,"−","")&amp;"$"&amp;TEXT(ABS(G40),"#,##0.00")&amp;"bn","不適用")&amp;IF(AND(ISNUMBER(G36),ISNUMBER(G37)),"｜指引 "&amp;"$"&amp;IF(G36&lt;0,"−","")&amp;TEXT(ABS(G36),"#,##0.00")&amp;"–"&amp;IF(G37&lt;0,"−","")&amp;TEXT(ABS(G37),"#,##0.00")&amp;"bn"&amp;"（中點 "&amp;IF(ISNUMBER(G82),IF(G82&lt;0,"−","+")&amp;TEXT(ABS(G82)*100,"#,##0.0")&amp;"%","不適用")&amp;"，"&amp;IF(G40&gt;G37,"高於上緣",IF(G40&lt;G36,"低於下緣",IF(G40&gt;=(G36+G37)/2,"區間上半部","區間下半部")))&amp;"）","")&amp;IF(ISNUMBER(G49),"｜實際 "&amp;IF(G49&lt;0,"−","")&amp;"$"&amp;TEXT(ABS(G49),"#,##0.00")&amp;"bn"&amp;"（較模型 "&amp;IF(ISNUMBER(G83),IF(G83&lt;0,"−","+")&amp;TEXT(ABS(G83)*100,"#,##0.0")&amp;"%","不適用")&amp;IF(AND(ISNUMBER(G36),ISNUMBER(G37)),"、"&amp;IF(G49&gt;G37,"高於上緣",IF(G49&lt;G36,"低於下緣",IF(G49&gt;=(G36+G37)/2,"區間上半部","區間下半部"))),"")&amp;"）","")&amp;G137</f>
        <v>CapEx（毛額）：模型 $9.58bn</v>
      </c>
      <c r="H143" s="42" t="str">
        <f aca="false">"CapEx（毛額）：模型 "&amp;IF(ISNUMBER(H40),IF(H40&lt;0,"−","")&amp;"$"&amp;TEXT(ABS(H40),"#,##0.00")&amp;"bn","不適用")&amp;IF(AND(ISNUMBER(H36),ISNUMBER(H37)),"｜指引 "&amp;"$"&amp;IF(H36&lt;0,"−","")&amp;TEXT(ABS(H36),"#,##0.00")&amp;"–"&amp;IF(H37&lt;0,"−","")&amp;TEXT(ABS(H37),"#,##0.00")&amp;"bn"&amp;"（中點 "&amp;IF(ISNUMBER(H82),IF(H82&lt;0,"−","+")&amp;TEXT(ABS(H82)*100,"#,##0.0")&amp;"%","不適用")&amp;"，"&amp;IF(H40&gt;H37,"高於上緣",IF(H40&lt;H36,"低於下緣",IF(H40&gt;=(H36+H37)/2,"區間上半部","區間下半部")))&amp;"）","")&amp;IF(ISNUMBER(H49),"｜實際 "&amp;IF(H49&lt;0,"−","")&amp;"$"&amp;TEXT(ABS(H49),"#,##0.00")&amp;"bn"&amp;"（較模型 "&amp;IF(ISNUMBER(H83),IF(H83&lt;0,"−","+")&amp;TEXT(ABS(H83)*100,"#,##0.0")&amp;"%","不適用")&amp;IF(AND(ISNUMBER(H36),ISNUMBER(H37)),"、"&amp;IF(H49&gt;H37,"高於上緣",IF(H49&lt;H36,"低於下緣",IF(H49&gt;=(H36+H37)/2,"區間上半部","區間下半部"))),"")&amp;"）","")&amp;H137</f>
        <v>CapEx（毛額）：模型 $9.58bn</v>
      </c>
    </row>
    <row r="144" customFormat="false" ht="15" hidden="true" customHeight="false" outlineLevel="1" collapsed="false">
      <c r="A144" s="3" t="s">
        <v>900</v>
      </c>
      <c r="C144" s="42" t="str">
        <f aca="false">"季末 Accepted MW：模型 "&amp;IF(ISNUMBER(C19),IF(C19&lt;0,"−","")&amp;TEXT(ABS(C19),"#,##0")&amp;" MW","不適用")&amp;IF(ISNUMBER(C50),"｜實際 "&amp;IF(C50&lt;0,"−","")&amp;TEXT(ABS(C50),"#,##0")&amp;" MW"&amp;"（較模型 "&amp;IF(ISNUMBER(C88),IF(C88&lt;0,"−","+")&amp;IF(ABS(C88)&lt;0,"−","")&amp;TEXT(ABS(ABS(C88)),"#,##0")&amp;" MW","不適用")&amp;"）","")&amp;C138</f>
        <v>季末 Accepted MW：模型 1,675 MW</v>
      </c>
      <c r="D144" s="42" t="str">
        <f aca="false">"季末 Accepted MW：模型 "&amp;IF(ISNUMBER(D19),IF(D19&lt;0,"−","")&amp;TEXT(ABS(D19),"#,##0")&amp;" MW","不適用")&amp;IF(ISNUMBER(D50),"｜實際 "&amp;IF(D50&lt;0,"−","")&amp;TEXT(ABS(D50),"#,##0")&amp;" MW"&amp;"（較模型 "&amp;IF(ISNUMBER(D88),IF(D88&lt;0,"−","+")&amp;IF(ABS(D88)&lt;0,"−","")&amp;TEXT(ABS(ABS(D88)),"#,##0")&amp;" MW","不適用")&amp;"）","")&amp;D138</f>
        <v>季末 Accepted MW：模型 1,850 MW</v>
      </c>
      <c r="E144" s="42" t="str">
        <f aca="false">"季末 Accepted MW：模型 "&amp;IF(ISNUMBER(E19),IF(E19&lt;0,"−","")&amp;TEXT(ABS(E19),"#,##0")&amp;" MW","不適用")&amp;IF(ISNUMBER(E50),"｜實際 "&amp;IF(E50&lt;0,"−","")&amp;TEXT(ABS(E50),"#,##0")&amp;" MW"&amp;"（較模型 "&amp;IF(ISNUMBER(E88),IF(E88&lt;0,"−","+")&amp;IF(ABS(E88)&lt;0,"−","")&amp;TEXT(ABS(ABS(E88)),"#,##0")&amp;" MW","不適用")&amp;"）","")&amp;E138</f>
        <v>季末 Accepted MW：模型 2,163 MW</v>
      </c>
      <c r="F144" s="42" t="str">
        <f aca="false">"季末 Accepted MW：模型 "&amp;IF(ISNUMBER(F19),IF(F19&lt;0,"−","")&amp;TEXT(ABS(F19),"#,##0")&amp;" MW","不適用")&amp;IF(ISNUMBER(F50),"｜實際 "&amp;IF(F50&lt;0,"−","")&amp;TEXT(ABS(F50),"#,##0")&amp;" MW"&amp;"（較模型 "&amp;IF(ISNUMBER(F88),IF(F88&lt;0,"−","+")&amp;IF(ABS(F88)&lt;0,"−","")&amp;TEXT(ABS(ABS(F88)),"#,##0")&amp;" MW","不適用")&amp;"）","")&amp;F138</f>
        <v>季末 Accepted MW：模型 2,475 MW</v>
      </c>
      <c r="G144" s="42" t="str">
        <f aca="false">"季末 Accepted MW：模型 "&amp;IF(ISNUMBER(G19),IF(G19&lt;0,"−","")&amp;TEXT(ABS(G19),"#,##0")&amp;" MW","不適用")&amp;IF(ISNUMBER(G50),"｜實際 "&amp;IF(G50&lt;0,"−","")&amp;TEXT(ABS(G50),"#,##0")&amp;" MW"&amp;"（較模型 "&amp;IF(ISNUMBER(G88),IF(G88&lt;0,"−","+")&amp;IF(ABS(G88)&lt;0,"−","")&amp;TEXT(ABS(ABS(G88)),"#,##0")&amp;" MW","不適用")&amp;"）","")&amp;G138</f>
        <v>季末 Accepted MW：模型 2,788 MW</v>
      </c>
      <c r="H144" s="42" t="str">
        <f aca="false">"季末 Accepted MW：模型 "&amp;IF(ISNUMBER(H19),IF(H19&lt;0,"−","")&amp;TEXT(ABS(H19),"#,##0")&amp;" MW","不適用")&amp;IF(ISNUMBER(H50),"｜實際 "&amp;IF(H50&lt;0,"−","")&amp;TEXT(ABS(H50),"#,##0")&amp;" MW"&amp;"（較模型 "&amp;IF(ISNUMBER(H88),IF(H88&lt;0,"−","+")&amp;IF(ABS(H88)&lt;0,"−","")&amp;TEXT(ABS(ABS(H88)),"#,##0")&amp;" MW","不適用")&amp;"）","")&amp;H138</f>
        <v>季末 Accepted MW：模型 3,100 MW</v>
      </c>
    </row>
    <row r="145" customFormat="false" ht="15" hidden="true" customHeight="false" outlineLevel="1" collapsed="false"/>
    <row r="146" customFormat="false" ht="15" hidden="true" customHeight="false" outlineLevel="1" collapsed="false">
      <c r="A146" s="2" t="s">
        <v>901</v>
      </c>
    </row>
    <row r="147" customFormat="false" ht="15" hidden="true" customHeight="false" outlineLevel="1" collapsed="false">
      <c r="A147" s="3" t="s">
        <v>902</v>
      </c>
      <c r="C147" s="67" t="n">
        <f aca="false">C22+D22-損益!C8</f>
        <v>0</v>
      </c>
      <c r="D147" s="67" t="n">
        <f aca="false">E22+F22+G22+H22-損益!D8</f>
        <v>0</v>
      </c>
    </row>
    <row r="148" customFormat="false" ht="15" hidden="true" customHeight="false" outlineLevel="1" collapsed="false">
      <c r="A148" s="3" t="s">
        <v>903</v>
      </c>
      <c r="C148" s="67" t="n">
        <f aca="false">C28+D28-損益!C19</f>
        <v>0</v>
      </c>
      <c r="D148" s="67" t="n">
        <f aca="false">E28+F28+G28+H28-損益!D19</f>
        <v>0</v>
      </c>
    </row>
    <row r="149" customFormat="false" ht="15" hidden="true" customHeight="false" outlineLevel="1" collapsed="false">
      <c r="A149" s="3" t="s">
        <v>904</v>
      </c>
      <c r="C149" s="67" t="n">
        <f aca="false">C30+D30-損益!C10</f>
        <v>0</v>
      </c>
      <c r="D149" s="67" t="n">
        <f aca="false">E30+F30+G30+H30-損益!D10</f>
        <v>4.88498130835069E-015</v>
      </c>
    </row>
    <row r="150" customFormat="false" ht="15" hidden="true" customHeight="false" outlineLevel="1" collapsed="false">
      <c r="A150" s="3" t="s">
        <v>905</v>
      </c>
      <c r="C150" s="67" t="n">
        <f aca="false">C40+D40-輸入與假設!C$73</f>
        <v>0</v>
      </c>
      <c r="D150" s="67" t="n">
        <f aca="false">E40+F40+G40+H40-輸入與假設!D$73</f>
        <v>0</v>
      </c>
    </row>
    <row r="151" customFormat="false" ht="15" hidden="true" customHeight="false" outlineLevel="1" collapsed="false">
      <c r="A151" s="3" t="s">
        <v>906</v>
      </c>
      <c r="C151" s="67" t="n">
        <f aca="false">C29+D29-輸入與假設!C$74</f>
        <v>0</v>
      </c>
      <c r="D151" s="67" t="n">
        <f aca="false">E29+F29+G29+H29-輸入與假設!D$74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9.4" hidden="false" customHeight="false" outlineLevel="0" collapsed="false">
      <c r="A1" s="6" t="s">
        <v>907</v>
      </c>
    </row>
    <row r="2" customFormat="false" ht="15" hidden="false" customHeight="false" outlineLevel="0" collapsed="false">
      <c r="A2" s="7" t="s">
        <v>908</v>
      </c>
    </row>
    <row r="3" customFormat="false" ht="15" hidden="false" customHeight="false" outlineLevel="0" collapsed="false">
      <c r="A3" s="12" t="s">
        <v>909</v>
      </c>
    </row>
    <row r="5" customFormat="false" ht="15" hidden="false" customHeight="false" outlineLevel="0" collapsed="false">
      <c r="A5" s="15" t="s">
        <v>85</v>
      </c>
      <c r="B5" s="15" t="s">
        <v>86</v>
      </c>
      <c r="C5" s="27" t="s">
        <v>87</v>
      </c>
      <c r="D5" s="27" t="s">
        <v>88</v>
      </c>
      <c r="E5" s="27" t="s">
        <v>89</v>
      </c>
      <c r="F5" s="27" t="s">
        <v>169</v>
      </c>
      <c r="G5" s="27" t="s">
        <v>170</v>
      </c>
      <c r="I5" s="15" t="s">
        <v>602</v>
      </c>
    </row>
    <row r="6" customFormat="false" ht="15" hidden="false" customHeight="false" outlineLevel="0" collapsed="false">
      <c r="A6" s="3" t="s">
        <v>379</v>
      </c>
      <c r="B6" s="7"/>
      <c r="C6" s="64" t="str">
        <f aca="false">"2026-07-01~12-31"</f>
        <v>2026-07-01~12-31</v>
      </c>
      <c r="D6" s="64" t="str">
        <f aca="false">"2027 全年"</f>
        <v>2027 全年</v>
      </c>
      <c r="E6" s="64" t="str">
        <f aca="false">"2028 全年"</f>
        <v>2028 全年</v>
      </c>
      <c r="F6" s="64" t="str">
        <f aca="false">"2029 全年"</f>
        <v>2029 全年</v>
      </c>
      <c r="G6" s="64" t="str">
        <f aca="false">"2030 全年"</f>
        <v>2030 全年</v>
      </c>
      <c r="I6" s="12" t="s">
        <v>910</v>
      </c>
    </row>
    <row r="7" customFormat="false" ht="15" hidden="false" customHeight="false" outlineLevel="0" collapsed="false">
      <c r="A7" s="3" t="s">
        <v>201</v>
      </c>
      <c r="B7" s="7"/>
      <c r="C7" s="39" t="n">
        <f aca="false">輸入與假設!C$24</f>
        <v>0.5</v>
      </c>
      <c r="D7" s="39" t="n">
        <f aca="false">輸入與假設!D$24</f>
        <v>1</v>
      </c>
      <c r="E7" s="39" t="n">
        <f aca="false">輸入與假設!E$24</f>
        <v>1</v>
      </c>
      <c r="F7" s="39" t="n">
        <f aca="false">輸入與假設!F$24</f>
        <v>1</v>
      </c>
      <c r="G7" s="39" t="n">
        <f aca="false">輸入與假設!G$24</f>
        <v>1</v>
      </c>
      <c r="I7" s="7" t="s">
        <v>911</v>
      </c>
    </row>
    <row r="8" customFormat="false" ht="15" hidden="false" customHeight="false" outlineLevel="0" collapsed="false">
      <c r="A8" s="48" t="s">
        <v>912</v>
      </c>
      <c r="B8" s="9"/>
      <c r="C8" s="9"/>
      <c r="D8" s="9"/>
      <c r="E8" s="9"/>
      <c r="F8" s="9"/>
      <c r="G8" s="9"/>
      <c r="H8" s="9"/>
    </row>
    <row r="9" customFormat="false" ht="15" hidden="false" customHeight="false" outlineLevel="1" collapsed="false">
      <c r="A9" s="4" t="s">
        <v>913</v>
      </c>
      <c r="B9" s="12" t="s">
        <v>173</v>
      </c>
      <c r="C9" s="66" t="n">
        <f aca="false">MAX(0,輸入與假設!C$26)</f>
        <v>1850</v>
      </c>
      <c r="D9" s="66" t="n">
        <f aca="false">MAX(輸入與假設!D$26,C9)</f>
        <v>3100</v>
      </c>
      <c r="E9" s="66" t="n">
        <f aca="false">MAX(輸入與假設!E$26,D9)</f>
        <v>4000</v>
      </c>
      <c r="F9" s="66" t="n">
        <f aca="false">MAX(輸入與假設!F$26,E9)</f>
        <v>4800</v>
      </c>
      <c r="G9" s="66" t="n">
        <f aca="false">MAX(輸入與假設!G$26,F9)</f>
        <v>5600</v>
      </c>
      <c r="I9" s="7" t="s">
        <v>914</v>
      </c>
    </row>
    <row r="10" customFormat="false" ht="15" hidden="false" customHeight="false" outlineLevel="1" collapsed="false">
      <c r="A10" s="4" t="s">
        <v>915</v>
      </c>
      <c r="B10" s="12" t="s">
        <v>173</v>
      </c>
      <c r="C10" s="66" t="n">
        <f aca="false">MIN(MAX(0,輸入與假設!C$27),C9)</f>
        <v>1700</v>
      </c>
      <c r="D10" s="66" t="n">
        <f aca="false">MIN(MAX(0,輸入與假設!D$27),D9)</f>
        <v>2900</v>
      </c>
      <c r="E10" s="66" t="n">
        <f aca="false">MIN(MAX(0,輸入與假設!E$27),E9)</f>
        <v>3739</v>
      </c>
      <c r="F10" s="66" t="n">
        <f aca="false">MIN(MAX(0,輸入與假設!F$27),F9)</f>
        <v>4495</v>
      </c>
      <c r="G10" s="66" t="n">
        <f aca="false">MIN(MAX(0,輸入與假設!G$27),G9)</f>
        <v>5250</v>
      </c>
      <c r="I10" s="7" t="s">
        <v>916</v>
      </c>
    </row>
    <row r="11" customFormat="false" ht="15" hidden="false" customHeight="false" outlineLevel="1" collapsed="false">
      <c r="A11" s="3" t="s">
        <v>917</v>
      </c>
      <c r="B11" s="12" t="s">
        <v>173</v>
      </c>
      <c r="C11" s="66" t="n">
        <f aca="false">輸入與假設!$C$20</f>
        <v>1350</v>
      </c>
      <c r="D11" s="66" t="n">
        <f aca="false">C10</f>
        <v>1700</v>
      </c>
      <c r="E11" s="66" t="n">
        <f aca="false">D10</f>
        <v>2900</v>
      </c>
      <c r="F11" s="66" t="n">
        <f aca="false">E10</f>
        <v>3739</v>
      </c>
      <c r="G11" s="66" t="n">
        <f aca="false">F10</f>
        <v>4495</v>
      </c>
      <c r="I11" s="7" t="s">
        <v>918</v>
      </c>
    </row>
    <row r="12" customFormat="false" ht="15" hidden="false" customHeight="false" outlineLevel="1" collapsed="false">
      <c r="A12" s="3" t="s">
        <v>919</v>
      </c>
      <c r="B12" s="12" t="s">
        <v>173</v>
      </c>
      <c r="C12" s="66" t="n">
        <f aca="false">IF(輸入與假設!$C$21=1,(C11+C10)/2,C10)</f>
        <v>1525</v>
      </c>
      <c r="D12" s="66" t="n">
        <f aca="false">IF(輸入與假設!$C$21=1,(D11+D10)/2,D10)</f>
        <v>2300</v>
      </c>
      <c r="E12" s="66" t="n">
        <f aca="false">IF(輸入與假設!$C$21=1,(E11+E10)/2,E10)</f>
        <v>3319.5</v>
      </c>
      <c r="F12" s="66" t="n">
        <f aca="false">IF(輸入與假設!$C$21=1,(F11+F10)/2,F10)</f>
        <v>4117</v>
      </c>
      <c r="G12" s="66" t="n">
        <f aca="false">IF(輸入與假設!$C$21=1,(G11+G10)/2,G10)</f>
        <v>4872.5</v>
      </c>
      <c r="I12" s="7" t="s">
        <v>920</v>
      </c>
    </row>
    <row r="13" customFormat="false" ht="15" hidden="false" customHeight="false" outlineLevel="1" collapsed="false">
      <c r="A13" s="3" t="s">
        <v>209</v>
      </c>
      <c r="B13" s="12" t="s">
        <v>77</v>
      </c>
      <c r="C13" s="49" t="n">
        <f aca="false">輸入與假設!C$28</f>
        <v>0.95</v>
      </c>
      <c r="D13" s="49" t="n">
        <f aca="false">輸入與假設!D$28</f>
        <v>0.95</v>
      </c>
      <c r="E13" s="49" t="n">
        <f aca="false">輸入與假設!E$28</f>
        <v>0.94</v>
      </c>
      <c r="F13" s="49" t="n">
        <f aca="false">輸入與假設!F$28</f>
        <v>0.93</v>
      </c>
      <c r="G13" s="49" t="n">
        <f aca="false">輸入與假設!G$28</f>
        <v>0.92</v>
      </c>
    </row>
    <row r="14" customFormat="false" ht="15" hidden="false" customHeight="false" outlineLevel="1" collapsed="false">
      <c r="A14" s="3" t="s">
        <v>211</v>
      </c>
      <c r="B14" s="12" t="s">
        <v>212</v>
      </c>
      <c r="C14" s="68" t="n">
        <f aca="false">輸入與假設!C$29</f>
        <v>0.0112</v>
      </c>
      <c r="D14" s="68" t="n">
        <f aca="false">輸入與假設!D$29</f>
        <v>0.0115</v>
      </c>
      <c r="E14" s="68" t="n">
        <f aca="false">輸入與假設!E$29</f>
        <v>0.0115</v>
      </c>
      <c r="F14" s="68" t="n">
        <f aca="false">輸入與假設!F$29</f>
        <v>0.011</v>
      </c>
      <c r="G14" s="68" t="n">
        <f aca="false">輸入與假設!G$29</f>
        <v>0.0105</v>
      </c>
    </row>
    <row r="15" customFormat="false" ht="15" hidden="false" customHeight="false" outlineLevel="1" collapsed="false">
      <c r="A15" s="3" t="s">
        <v>921</v>
      </c>
      <c r="B15" s="12" t="s">
        <v>91</v>
      </c>
      <c r="C15" s="36" t="n">
        <f aca="false">C12*輸入與假設!C$29*輸入與假設!$C$22*輸入與假設!C$28*C7</f>
        <v>8.113</v>
      </c>
      <c r="D15" s="36" t="n">
        <f aca="false">D12*輸入與假設!D$29*輸入與假設!$C$22*輸入與假設!D$28*D7</f>
        <v>25.1275</v>
      </c>
      <c r="E15" s="36" t="n">
        <f aca="false">E12*輸入與假設!E$29*輸入與假設!$C$22*輸入與假設!E$28*E7</f>
        <v>35.883795</v>
      </c>
      <c r="F15" s="36" t="n">
        <f aca="false">F12*輸入與假設!F$29*輸入與假設!$C$22*輸入與假設!F$28*F7</f>
        <v>42.11691</v>
      </c>
      <c r="G15" s="36" t="n">
        <f aca="false">G12*輸入與假設!G$29*輸入與假設!$C$22*輸入與假設!G$28*G7</f>
        <v>47.06835</v>
      </c>
      <c r="I15" s="7" t="s">
        <v>922</v>
      </c>
    </row>
    <row r="16" customFormat="false" ht="15" hidden="false" customHeight="false" outlineLevel="0" collapsed="false">
      <c r="A16" s="48" t="s">
        <v>923</v>
      </c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1" collapsed="false">
      <c r="A17" s="3" t="s">
        <v>924</v>
      </c>
      <c r="B17" s="12" t="s">
        <v>91</v>
      </c>
      <c r="C17" s="64" t="n">
        <f aca="false">(輸入與假設!$C$15+輸入與假設!$C$16)*(輸入與假設!C$25/輸入與假設!$C$18)*輸入與假設!$C$17</f>
        <v>13.19175</v>
      </c>
      <c r="D17" s="64" t="n">
        <f aca="false">(輸入與假設!$C$15+輸入與假設!$C$16)*(輸入與假設!D$25/輸入與假設!$C$18)*輸入與假設!$C$17</f>
        <v>26.3835</v>
      </c>
      <c r="E17" s="64" t="n">
        <f aca="false">(輸入與假設!$C$15+輸入與假設!$C$16)*(輸入與假設!E$25/輸入與假設!$C$18)*輸入與假設!$C$17</f>
        <v>25.74</v>
      </c>
      <c r="F17" s="64" t="n">
        <f aca="false">(輸入與假設!$C$15+輸入與假設!$C$16)*(輸入與假設!F$25/輸入與假設!$C$18)*輸入與假設!$C$17</f>
        <v>25.0965</v>
      </c>
      <c r="G17" s="64" t="n">
        <f aca="false">(輸入與假設!$C$15+輸入與假設!$C$16)*(輸入與假設!G$25/輸入與假設!$C$18)*輸入與假設!$C$17</f>
        <v>17.69625</v>
      </c>
      <c r="I17" s="7" t="s">
        <v>925</v>
      </c>
    </row>
    <row r="18" customFormat="false" ht="15" hidden="false" customHeight="false" outlineLevel="0" collapsed="false">
      <c r="A18" s="48" t="s">
        <v>926</v>
      </c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1" collapsed="false">
      <c r="A19" s="3" t="s">
        <v>927</v>
      </c>
      <c r="B19" s="12" t="s">
        <v>91</v>
      </c>
      <c r="C19" s="36" t="n">
        <f aca="false">MAX(0,C17-C15)</f>
        <v>5.07875</v>
      </c>
      <c r="D19" s="36" t="n">
        <f aca="false">MAX(0,D17-D15)</f>
        <v>1.256</v>
      </c>
      <c r="E19" s="36" t="n">
        <f aca="false">MAX(0,E17-E15)</f>
        <v>0</v>
      </c>
      <c r="F19" s="36" t="n">
        <f aca="false">MAX(0,F17-F15)</f>
        <v>0</v>
      </c>
      <c r="G19" s="36" t="n">
        <f aca="false">MAX(0,G17-G15)</f>
        <v>0</v>
      </c>
      <c r="I19" s="7" t="s">
        <v>928</v>
      </c>
    </row>
    <row r="20" customFormat="false" ht="15" hidden="false" customHeight="false" outlineLevel="1" collapsed="false">
      <c r="A20" s="3" t="s">
        <v>929</v>
      </c>
      <c r="B20" s="12" t="s">
        <v>91</v>
      </c>
      <c r="C20" s="64" t="n">
        <f aca="false">C17-C19</f>
        <v>8.113</v>
      </c>
      <c r="D20" s="64" t="n">
        <f aca="false">D17-D19</f>
        <v>25.1275</v>
      </c>
      <c r="E20" s="64" t="n">
        <f aca="false">E17-E19</f>
        <v>25.74</v>
      </c>
      <c r="F20" s="64" t="n">
        <f aca="false">F17-F19</f>
        <v>25.0965</v>
      </c>
      <c r="G20" s="64" t="n">
        <f aca="false">G17-G19</f>
        <v>17.69625</v>
      </c>
      <c r="I20" s="7" t="s">
        <v>930</v>
      </c>
    </row>
    <row r="21" customFormat="false" ht="15" hidden="false" customHeight="false" outlineLevel="1" collapsed="false">
      <c r="A21" s="3" t="s">
        <v>931</v>
      </c>
      <c r="B21" s="12" t="s">
        <v>91</v>
      </c>
      <c r="C21" s="64" t="n">
        <f aca="false">MAX(0,C15-C17)</f>
        <v>0</v>
      </c>
      <c r="D21" s="64" t="n">
        <f aca="false">MAX(0,D15-D17)</f>
        <v>0</v>
      </c>
      <c r="E21" s="64" t="n">
        <f aca="false">MAX(0,E15-E17)</f>
        <v>10.143795</v>
      </c>
      <c r="F21" s="64" t="n">
        <f aca="false">MAX(0,F15-F17)</f>
        <v>17.02041</v>
      </c>
      <c r="G21" s="64" t="n">
        <f aca="false">MAX(0,G15-G17)</f>
        <v>29.3721</v>
      </c>
      <c r="I21" s="7" t="s">
        <v>932</v>
      </c>
    </row>
    <row r="22" customFormat="false" ht="15" hidden="false" customHeight="false" outlineLevel="1" collapsed="false">
      <c r="A22" s="3" t="s">
        <v>214</v>
      </c>
      <c r="B22" s="12" t="s">
        <v>77</v>
      </c>
      <c r="C22" s="49" t="n">
        <f aca="false">輸入與假設!C$30</f>
        <v>1</v>
      </c>
      <c r="D22" s="49" t="n">
        <f aca="false">輸入與假設!D$30</f>
        <v>1</v>
      </c>
      <c r="E22" s="49" t="n">
        <f aca="false">輸入與假設!E$30</f>
        <v>0.9</v>
      </c>
      <c r="F22" s="49" t="n">
        <f aca="false">輸入與假設!F$30</f>
        <v>0.85</v>
      </c>
      <c r="G22" s="49" t="n">
        <f aca="false">輸入與假設!G$30</f>
        <v>0.8</v>
      </c>
    </row>
    <row r="23" customFormat="false" ht="15" hidden="false" customHeight="false" outlineLevel="1" collapsed="false">
      <c r="A23" s="3" t="s">
        <v>933</v>
      </c>
      <c r="B23" s="12" t="s">
        <v>91</v>
      </c>
      <c r="C23" s="64" t="n">
        <f aca="false">C21*輸入與假設!C$30</f>
        <v>0</v>
      </c>
      <c r="D23" s="64" t="n">
        <f aca="false">D21*輸入與假設!D$30</f>
        <v>0</v>
      </c>
      <c r="E23" s="64" t="n">
        <f aca="false">E21*輸入與假設!E$30</f>
        <v>9.1294155</v>
      </c>
      <c r="F23" s="64" t="n">
        <f aca="false">F21*輸入與假設!F$30</f>
        <v>14.4673485</v>
      </c>
      <c r="G23" s="64" t="n">
        <f aca="false">G21*輸入與假設!G$30</f>
        <v>23.49768</v>
      </c>
      <c r="I23" s="7" t="s">
        <v>934</v>
      </c>
    </row>
    <row r="24" customFormat="false" ht="15" hidden="false" customHeight="false" outlineLevel="1" collapsed="false">
      <c r="A24" s="3" t="s">
        <v>935</v>
      </c>
      <c r="B24" s="12" t="s">
        <v>91</v>
      </c>
      <c r="C24" s="64" t="n">
        <f aca="false">MAX(0,C15-C20-C23)</f>
        <v>0</v>
      </c>
      <c r="D24" s="64" t="n">
        <f aca="false">MAX(0,D15-D20-D23)</f>
        <v>0</v>
      </c>
      <c r="E24" s="64" t="n">
        <f aca="false">MAX(0,E15-E20-E23)</f>
        <v>1.0143795</v>
      </c>
      <c r="F24" s="64" t="n">
        <f aca="false">MAX(0,F15-F20-F23)</f>
        <v>2.5530615</v>
      </c>
      <c r="G24" s="64" t="n">
        <f aca="false">MAX(0,G15-G20-G23)</f>
        <v>5.87442</v>
      </c>
      <c r="I24" s="7" t="s">
        <v>936</v>
      </c>
    </row>
    <row r="25" customFormat="false" ht="15" hidden="false" customHeight="false" outlineLevel="1" collapsed="false">
      <c r="A25" s="3" t="s">
        <v>937</v>
      </c>
      <c r="B25" s="12" t="s">
        <v>91</v>
      </c>
      <c r="C25" s="36" t="n">
        <f aca="false">C20+C23</f>
        <v>8.113</v>
      </c>
      <c r="D25" s="36" t="n">
        <f aca="false">D20+D23</f>
        <v>25.1275</v>
      </c>
      <c r="E25" s="36" t="n">
        <f aca="false">E20+E23</f>
        <v>34.8694155</v>
      </c>
      <c r="F25" s="36" t="n">
        <f aca="false">F20+F23</f>
        <v>39.5638485</v>
      </c>
      <c r="G25" s="36" t="n">
        <f aca="false">G20+G23</f>
        <v>41.19393</v>
      </c>
      <c r="I25" s="7" t="s">
        <v>938</v>
      </c>
    </row>
    <row r="26" customFormat="false" ht="15" hidden="false" customHeight="false" outlineLevel="1" collapsed="false">
      <c r="A26" s="4" t="s">
        <v>939</v>
      </c>
      <c r="B26" s="12" t="s">
        <v>91</v>
      </c>
      <c r="C26" s="39" t="n">
        <f aca="false">輸入與假設!$C$154</f>
        <v>4.653</v>
      </c>
      <c r="D26" s="39" t="n">
        <f aca="false">0</f>
        <v>0</v>
      </c>
      <c r="E26" s="39" t="n">
        <f aca="false">0</f>
        <v>0</v>
      </c>
      <c r="F26" s="39" t="n">
        <f aca="false">0</f>
        <v>0</v>
      </c>
      <c r="G26" s="39" t="n">
        <f aca="false">0</f>
        <v>0</v>
      </c>
      <c r="I26" s="12" t="s">
        <v>940</v>
      </c>
    </row>
    <row r="27" customFormat="false" ht="15" hidden="false" customHeight="false" outlineLevel="1" collapsed="false">
      <c r="A27" s="4" t="s">
        <v>941</v>
      </c>
      <c r="B27" s="12" t="s">
        <v>91</v>
      </c>
      <c r="C27" s="69" t="n">
        <f aca="false">C26+C25+輸入與假設!C$33</f>
        <v>13.066</v>
      </c>
      <c r="D27" s="36" t="n">
        <f aca="false">D26+D25+輸入與假設!D$33</f>
        <v>26.1275</v>
      </c>
      <c r="E27" s="36" t="n">
        <f aca="false">E26+E25+輸入與假設!E$33</f>
        <v>36.6694155</v>
      </c>
      <c r="F27" s="36" t="n">
        <f aca="false">F26+F25+輸入與假設!F$33</f>
        <v>42.3638485</v>
      </c>
      <c r="G27" s="36" t="n">
        <f aca="false">G26+G25+輸入與假設!G$33</f>
        <v>44.99393</v>
      </c>
      <c r="I27" s="12" t="s">
        <v>942</v>
      </c>
    </row>
    <row r="28" customFormat="false" ht="15" hidden="false" customHeight="false" outlineLevel="0" collapsed="false">
      <c r="A28" s="48" t="s">
        <v>943</v>
      </c>
      <c r="B28" s="9"/>
      <c r="C28" s="9"/>
      <c r="D28" s="9"/>
      <c r="E28" s="9"/>
      <c r="F28" s="9"/>
      <c r="G28" s="9"/>
      <c r="H28" s="9"/>
    </row>
    <row r="29" customFormat="false" ht="15" hidden="false" customHeight="false" outlineLevel="1" collapsed="false">
      <c r="A29" s="3" t="s">
        <v>216</v>
      </c>
      <c r="B29" s="12" t="s">
        <v>77</v>
      </c>
      <c r="C29" s="49" t="n">
        <f aca="false">輸入與假設!C$31</f>
        <v>0.005</v>
      </c>
      <c r="D29" s="49" t="n">
        <f aca="false">輸入與假設!D$31</f>
        <v>0.01</v>
      </c>
      <c r="E29" s="49" t="n">
        <f aca="false">輸入與假設!E$31</f>
        <v>0.015</v>
      </c>
      <c r="F29" s="49" t="n">
        <f aca="false">輸入與假設!F$31</f>
        <v>0.02</v>
      </c>
      <c r="G29" s="49" t="n">
        <f aca="false">輸入與假設!G$31</f>
        <v>0.025</v>
      </c>
    </row>
    <row r="30" customFormat="false" ht="15" hidden="false" customHeight="false" outlineLevel="1" collapsed="false">
      <c r="A30" s="3" t="s">
        <v>218</v>
      </c>
      <c r="B30" s="12" t="s">
        <v>77</v>
      </c>
      <c r="C30" s="49" t="n">
        <f aca="false">輸入與假設!C$32</f>
        <v>0.5</v>
      </c>
      <c r="D30" s="49" t="n">
        <f aca="false">輸入與假設!D$32</f>
        <v>0.5</v>
      </c>
      <c r="E30" s="49" t="n">
        <f aca="false">輸入與假設!E$32</f>
        <v>0.5</v>
      </c>
      <c r="F30" s="49" t="n">
        <f aca="false">輸入與假設!F$32</f>
        <v>0.5</v>
      </c>
      <c r="G30" s="49" t="n">
        <f aca="false">輸入與假設!G$32</f>
        <v>0.5</v>
      </c>
    </row>
    <row r="31" customFormat="false" ht="15" hidden="false" customHeight="false" outlineLevel="1" collapsed="false">
      <c r="A31" s="3" t="s">
        <v>944</v>
      </c>
      <c r="B31" s="12" t="s">
        <v>91</v>
      </c>
      <c r="C31" s="64" t="n">
        <f aca="false">C20*輸入與假設!C$31*(1-輸入與假設!C$32)</f>
        <v>0.0202825</v>
      </c>
      <c r="D31" s="64" t="n">
        <f aca="false">D20*輸入與假設!D$31*(1-輸入與假設!D$32)</f>
        <v>0.1256375</v>
      </c>
      <c r="E31" s="64" t="n">
        <f aca="false">E20*輸入與假設!E$31*(1-輸入與假設!E$32)</f>
        <v>0.19305</v>
      </c>
      <c r="F31" s="64" t="n">
        <f aca="false">F20*輸入與假設!F$31*(1-輸入與假設!F$32)</f>
        <v>0.250965</v>
      </c>
      <c r="G31" s="64" t="n">
        <f aca="false">G20*輸入與假設!G$31*(1-輸入與假設!G$32)</f>
        <v>0.221203125</v>
      </c>
      <c r="I31" s="7" t="s">
        <v>945</v>
      </c>
    </row>
    <row r="32" customFormat="false" ht="15" hidden="false" customHeight="false" outlineLevel="1" collapsed="false">
      <c r="A32" s="3" t="s">
        <v>946</v>
      </c>
      <c r="B32" s="12" t="s">
        <v>91</v>
      </c>
      <c r="C32" s="64" t="n">
        <f aca="false">C20-C31</f>
        <v>8.0927175</v>
      </c>
      <c r="D32" s="64" t="n">
        <f aca="false">D20-D31</f>
        <v>25.0018625</v>
      </c>
      <c r="E32" s="64" t="n">
        <f aca="false">E20-E31</f>
        <v>25.54695</v>
      </c>
      <c r="F32" s="64" t="n">
        <f aca="false">F20-F31</f>
        <v>24.845535</v>
      </c>
      <c r="G32" s="64" t="n">
        <f aca="false">G20-G31</f>
        <v>17.475046875</v>
      </c>
    </row>
    <row r="33" customFormat="false" ht="15" hidden="false" customHeight="false" outlineLevel="1" collapsed="false">
      <c r="A33" s="4" t="s">
        <v>947</v>
      </c>
      <c r="B33" s="12" t="s">
        <v>77</v>
      </c>
      <c r="C33" s="49" t="n">
        <f aca="false">輸入與假設!C$39</f>
        <v>0.59</v>
      </c>
      <c r="D33" s="49" t="n">
        <f aca="false">輸入與假設!D$39</f>
        <v>0.605</v>
      </c>
      <c r="E33" s="49" t="n">
        <f aca="false">輸入與假設!E$39</f>
        <v>0.62</v>
      </c>
      <c r="F33" s="49" t="n">
        <f aca="false">輸入與假設!F$39</f>
        <v>0.635</v>
      </c>
      <c r="G33" s="49" t="n">
        <f aca="false">輸入與假設!G$39</f>
        <v>0.65</v>
      </c>
      <c r="I33" s="7" t="s">
        <v>948</v>
      </c>
    </row>
    <row r="34" customFormat="false" ht="15" hidden="false" customHeight="false" outlineLevel="1" collapsed="false">
      <c r="A34" s="3" t="s">
        <v>949</v>
      </c>
      <c r="B34" s="12" t="s">
        <v>91</v>
      </c>
      <c r="C34" s="64" t="n">
        <f aca="false">C25+輸入與假設!C$33</f>
        <v>8.413</v>
      </c>
      <c r="D34" s="64" t="n">
        <f aca="false">D25+輸入與假設!D$33</f>
        <v>26.1275</v>
      </c>
      <c r="E34" s="64" t="n">
        <f aca="false">E25+輸入與假設!E$33</f>
        <v>36.6694155</v>
      </c>
      <c r="F34" s="64" t="n">
        <f aca="false">F25+輸入與假設!F$33</f>
        <v>42.3638485</v>
      </c>
      <c r="G34" s="64" t="n">
        <f aca="false">G25+輸入與假設!G$33</f>
        <v>44.99393</v>
      </c>
    </row>
    <row r="35" customFormat="false" ht="15" hidden="false" customHeight="false" outlineLevel="1" collapsed="false">
      <c r="A35" s="4" t="s">
        <v>950</v>
      </c>
      <c r="B35" s="12" t="s">
        <v>77</v>
      </c>
      <c r="C35" s="70" t="n">
        <f aca="false">輸入與假設!C$39+各期收支!C12/MAX(0.01,C34)</f>
        <v>0.749277308926661</v>
      </c>
      <c r="D35" s="70" t="n">
        <f aca="false">輸入與假設!D$39+各期收支!D12/MAX(0.01,D34)</f>
        <v>0.755760692756674</v>
      </c>
      <c r="E35" s="70" t="n">
        <f aca="false">輸入與假設!E$39+各期收支!E12/MAX(0.01,E34)</f>
        <v>0.748863653109215</v>
      </c>
      <c r="F35" s="70" t="n">
        <f aca="false">輸入與假設!F$39+各期收支!F12/MAX(0.01,F34)</f>
        <v>0.755928578998199</v>
      </c>
      <c r="G35" s="70" t="n">
        <f aca="false">輸入與假設!G$39+各期收支!G12/MAX(0.01,G34)</f>
        <v>0.765360860043532</v>
      </c>
      <c r="I35" s="7" t="s">
        <v>951</v>
      </c>
    </row>
    <row r="36" customFormat="false" ht="15" hidden="false" customHeight="false" outlineLevel="1" collapsed="false">
      <c r="A36" s="4" t="s">
        <v>952</v>
      </c>
      <c r="B36" s="12" t="s">
        <v>91</v>
      </c>
      <c r="C36" s="36" t="n">
        <f aca="false">C32*C35</f>
        <v>6.0636895903037</v>
      </c>
      <c r="D36" s="36" t="n">
        <f aca="false">D32*D35</f>
        <v>18.8954249232071</v>
      </c>
      <c r="E36" s="36" t="n">
        <f aca="false">E32*E35</f>
        <v>19.1311823027985</v>
      </c>
      <c r="F36" s="36" t="n">
        <f aca="false">F32*F35</f>
        <v>18.781449967</v>
      </c>
      <c r="G36" s="36" t="n">
        <f aca="false">G32*G35</f>
        <v>13.374716905551</v>
      </c>
      <c r="I36" s="12" t="s">
        <v>953</v>
      </c>
    </row>
    <row r="37" customFormat="false" ht="15" hidden="false" customHeight="false" outlineLevel="1" collapsed="false">
      <c r="A37" s="3" t="s">
        <v>954</v>
      </c>
      <c r="B37" s="12" t="s">
        <v>91</v>
      </c>
      <c r="C37" s="64" t="n">
        <f aca="false">C23*(1-輸入與假設!C$31*(1-輸入與假設!C$32))*C35</f>
        <v>0</v>
      </c>
      <c r="D37" s="64" t="n">
        <f aca="false">D23*(1-輸入與假設!D$31*(1-輸入與假設!D$32))*D35</f>
        <v>0</v>
      </c>
      <c r="E37" s="64" t="n">
        <f aca="false">E23*(1-輸入與假設!E$31*(1-輸入與假設!E$32))*E35</f>
        <v>6.78541228626628</v>
      </c>
      <c r="F37" s="64" t="n">
        <f aca="false">F23*(1-輸入與假設!F$31*(1-輸入與假設!F$32))*F35</f>
        <v>10.826919371542</v>
      </c>
      <c r="G37" s="64" t="n">
        <f aca="false">G23*(1-輸入與假設!G$31*(1-輸入與假設!G$32))*G35</f>
        <v>17.7594020166549</v>
      </c>
      <c r="I37" s="7" t="s">
        <v>955</v>
      </c>
    </row>
    <row r="38" customFormat="false" ht="15" hidden="false" customHeight="false" outlineLevel="1" collapsed="false"/>
    <row r="39" customFormat="false" ht="15" hidden="false" customHeight="false" outlineLevel="1" collapsed="false">
      <c r="A39" s="2" t="s">
        <v>956</v>
      </c>
    </row>
    <row r="40" customFormat="false" ht="15" hidden="false" customHeight="false" outlineLevel="1" collapsed="false">
      <c r="A40" s="7" t="s">
        <v>957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19.4" hidden="false" customHeight="false" outlineLevel="0" collapsed="false">
      <c r="A1" s="6" t="s">
        <v>958</v>
      </c>
    </row>
    <row r="2" customFormat="false" ht="15" hidden="false" customHeight="false" outlineLevel="0" collapsed="false">
      <c r="A2" s="12" t="s">
        <v>959</v>
      </c>
    </row>
    <row r="4" customFormat="false" ht="15" hidden="false" customHeight="false" outlineLevel="0" collapsed="false">
      <c r="A4" s="15" t="s">
        <v>960</v>
      </c>
      <c r="B4" s="15" t="s">
        <v>961</v>
      </c>
      <c r="C4" s="15" t="s">
        <v>962</v>
      </c>
      <c r="D4" s="15" t="s">
        <v>963</v>
      </c>
      <c r="E4" s="15" t="s">
        <v>964</v>
      </c>
      <c r="F4" s="15" t="s">
        <v>965</v>
      </c>
      <c r="G4" s="15" t="s">
        <v>966</v>
      </c>
      <c r="H4" s="15" t="s">
        <v>967</v>
      </c>
      <c r="I4" s="15" t="s">
        <v>968</v>
      </c>
      <c r="J4" s="16" t="s">
        <v>969</v>
      </c>
      <c r="K4" s="15" t="s">
        <v>465</v>
      </c>
    </row>
    <row r="5" customFormat="false" ht="15" hidden="false" customHeight="false" outlineLevel="0" collapsed="false">
      <c r="A5" s="4" t="s">
        <v>970</v>
      </c>
      <c r="B5" s="12" t="s">
        <v>971</v>
      </c>
      <c r="C5" s="22" t="n">
        <v>526</v>
      </c>
      <c r="D5" s="22" t="n">
        <v>133</v>
      </c>
      <c r="E5" s="34" t="n">
        <v>15</v>
      </c>
      <c r="F5" s="22" t="n">
        <v>15</v>
      </c>
      <c r="G5" s="56" t="n">
        <f aca="false">E5/F5</f>
        <v>1</v>
      </c>
      <c r="H5" s="56" t="n">
        <f aca="false">G5/C5*1000</f>
        <v>1.90114068441065</v>
      </c>
      <c r="I5" s="12" t="s">
        <v>972</v>
      </c>
      <c r="J5" s="7" t="s">
        <v>973</v>
      </c>
      <c r="K5" s="12" t="s">
        <v>974</v>
      </c>
    </row>
    <row r="6" customFormat="false" ht="15" hidden="false" customHeight="false" outlineLevel="0" collapsed="false">
      <c r="A6" s="4" t="s">
        <v>975</v>
      </c>
      <c r="B6" s="12" t="s">
        <v>976</v>
      </c>
      <c r="C6" s="22" t="n">
        <v>400</v>
      </c>
      <c r="D6" s="22" t="n">
        <v>250</v>
      </c>
      <c r="E6" s="34" t="n">
        <v>11</v>
      </c>
      <c r="F6" s="22" t="n">
        <v>15</v>
      </c>
      <c r="G6" s="56" t="n">
        <f aca="false">E6/F6</f>
        <v>0.733333333333333</v>
      </c>
      <c r="H6" s="56" t="n">
        <f aca="false">G6/C6*1000</f>
        <v>1.83333333333333</v>
      </c>
      <c r="I6" s="12" t="s">
        <v>977</v>
      </c>
      <c r="J6" s="7" t="s">
        <v>978</v>
      </c>
      <c r="K6" s="12" t="s">
        <v>979</v>
      </c>
    </row>
    <row r="7" customFormat="false" ht="15" hidden="false" customHeight="false" outlineLevel="0" collapsed="false">
      <c r="A7" s="4" t="s">
        <v>980</v>
      </c>
      <c r="B7" s="12" t="s">
        <v>981</v>
      </c>
      <c r="C7" s="22" t="n">
        <v>590</v>
      </c>
      <c r="D7" s="22" t="n">
        <v>250</v>
      </c>
      <c r="E7" s="34" t="n">
        <v>10.2</v>
      </c>
      <c r="F7" s="22" t="n">
        <v>12</v>
      </c>
      <c r="G7" s="56" t="n">
        <f aca="false">E7/F7</f>
        <v>0.85</v>
      </c>
      <c r="H7" s="56" t="n">
        <f aca="false">G7/C7*1000</f>
        <v>1.4406779661017</v>
      </c>
      <c r="I7" s="12" t="s">
        <v>982</v>
      </c>
      <c r="J7" s="7" t="s">
        <v>983</v>
      </c>
      <c r="K7" s="12" t="s">
        <v>984</v>
      </c>
    </row>
    <row r="8" customFormat="false" ht="15" hidden="false" customHeight="false" outlineLevel="0" collapsed="false">
      <c r="A8" s="4" t="s">
        <v>985</v>
      </c>
      <c r="B8" s="12" t="s">
        <v>986</v>
      </c>
      <c r="C8" s="71" t="s">
        <v>987</v>
      </c>
      <c r="D8" s="22" t="n">
        <v>0</v>
      </c>
      <c r="E8" s="71" t="s">
        <v>987</v>
      </c>
      <c r="F8" s="22" t="n">
        <v>15</v>
      </c>
      <c r="I8" s="7" t="s">
        <v>988</v>
      </c>
      <c r="J8" s="12" t="s">
        <v>989</v>
      </c>
      <c r="K8" s="12" t="s">
        <v>990</v>
      </c>
    </row>
    <row r="9" customFormat="false" ht="15" hidden="false" customHeight="false" outlineLevel="0" collapsed="false">
      <c r="A9" s="2" t="s">
        <v>991</v>
      </c>
      <c r="C9" s="72" t="n">
        <f aca="false">SUM(C5:C8)</f>
        <v>1516</v>
      </c>
      <c r="D9" s="72" t="n">
        <f aca="false">SUM(D5:D8)</f>
        <v>633</v>
      </c>
      <c r="E9" s="55" t="n">
        <f aca="false">SUM(E5:E8)</f>
        <v>36.2</v>
      </c>
      <c r="G9" s="55" t="n">
        <f aca="false">SUM(G5:G8)</f>
        <v>2.58333333333333</v>
      </c>
      <c r="H9" s="73" t="n">
        <f aca="false">G9/C9*1000</f>
        <v>1.70404573438874</v>
      </c>
      <c r="K9" s="7" t="s">
        <v>992</v>
      </c>
    </row>
    <row r="11" customFormat="false" ht="15" hidden="false" customHeight="false" outlineLevel="0" collapsed="false">
      <c r="A11" s="48" t="s">
        <v>993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customFormat="false" ht="15" hidden="false" customHeight="false" outlineLevel="1" collapsed="false">
      <c r="A12" s="4" t="s">
        <v>994</v>
      </c>
      <c r="E12" s="24" t="n">
        <v>29.37</v>
      </c>
      <c r="K12" s="7" t="s">
        <v>995</v>
      </c>
    </row>
    <row r="13" customFormat="false" ht="15" hidden="false" customHeight="false" outlineLevel="1" collapsed="false">
      <c r="A13" s="4" t="s">
        <v>996</v>
      </c>
      <c r="E13" s="24" t="n">
        <v>35.5</v>
      </c>
      <c r="K13" s="12" t="s">
        <v>997</v>
      </c>
    </row>
    <row r="14" customFormat="false" ht="15" hidden="false" customHeight="false" outlineLevel="1" collapsed="false">
      <c r="A14" s="4" t="s">
        <v>998</v>
      </c>
      <c r="E14" s="24" t="n">
        <v>14.7</v>
      </c>
      <c r="K14" s="7" t="s">
        <v>999</v>
      </c>
    </row>
    <row r="15" customFormat="false" ht="15" hidden="false" customHeight="false" outlineLevel="1" collapsed="false">
      <c r="A15" s="5" t="s">
        <v>1000</v>
      </c>
      <c r="E15" s="55" t="n">
        <f aca="false">SUM(E12:E14)</f>
        <v>79.57</v>
      </c>
      <c r="K15" s="7" t="s">
        <v>1001</v>
      </c>
    </row>
    <row r="16" customFormat="false" ht="15" hidden="false" customHeight="false" outlineLevel="1" collapsed="false">
      <c r="A16" s="3" t="s">
        <v>1002</v>
      </c>
      <c r="E16" s="54" t="n">
        <f aca="false">-E9</f>
        <v>-36.2</v>
      </c>
    </row>
    <row r="17" customFormat="false" ht="15" hidden="false" customHeight="false" outlineLevel="1" collapsed="false">
      <c r="A17" s="2" t="s">
        <v>1003</v>
      </c>
      <c r="E17" s="55" t="n">
        <f aca="false">E15+E16</f>
        <v>43.37</v>
      </c>
      <c r="K17" s="12" t="s">
        <v>1004</v>
      </c>
    </row>
    <row r="18" customFormat="false" ht="15" hidden="false" customHeight="false" outlineLevel="1" collapsed="false">
      <c r="A18" s="3" t="s">
        <v>1005</v>
      </c>
      <c r="E18" s="28" t="n">
        <f aca="false">E17/E15</f>
        <v>0.545054668845042</v>
      </c>
    </row>
    <row r="20" customFormat="false" ht="15" hidden="false" customHeight="false" outlineLevel="0" collapsed="false">
      <c r="A20" s="48" t="s">
        <v>1006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customFormat="false" ht="15" hidden="false" customHeight="false" outlineLevel="1" collapsed="false">
      <c r="A21" s="15" t="s">
        <v>85</v>
      </c>
      <c r="B21" s="15" t="s">
        <v>86</v>
      </c>
      <c r="C21" s="16" t="s">
        <v>87</v>
      </c>
      <c r="D21" s="16" t="s">
        <v>88</v>
      </c>
      <c r="E21" s="16" t="s">
        <v>89</v>
      </c>
      <c r="F21" s="16" t="s">
        <v>169</v>
      </c>
      <c r="G21" s="16" t="s">
        <v>170</v>
      </c>
    </row>
    <row r="22" customFormat="false" ht="15" hidden="false" customHeight="false" outlineLevel="1" collapsed="false">
      <c r="A22" s="3" t="s">
        <v>1007</v>
      </c>
      <c r="B22" s="12" t="s">
        <v>91</v>
      </c>
      <c r="C22" s="64" t="n">
        <f aca="false">各期收支!C12</f>
        <v>1.34</v>
      </c>
      <c r="D22" s="64" t="n">
        <f aca="false">各期收支!D12</f>
        <v>3.939</v>
      </c>
      <c r="E22" s="64" t="n">
        <f aca="false">各期收支!E12</f>
        <v>4.72535483870968</v>
      </c>
      <c r="F22" s="64" t="n">
        <f aca="false">各期收支!F12</f>
        <v>5.123</v>
      </c>
      <c r="G22" s="64" t="n">
        <f aca="false">各期收支!G12</f>
        <v>5.19053846153846</v>
      </c>
    </row>
    <row r="23" customFormat="false" ht="15" hidden="false" customHeight="false" outlineLevel="1" collapsed="false">
      <c r="A23" s="3" t="s">
        <v>1008</v>
      </c>
      <c r="B23" s="12" t="s">
        <v>173</v>
      </c>
      <c r="C23" s="66" t="n">
        <f aca="false">(輸入與假設!C$65+輸入與假設!C$26)/2</f>
        <v>1350</v>
      </c>
      <c r="D23" s="66" t="n">
        <f aca="false">(輸入與假設!D$65+輸入與假設!D$26)/2</f>
        <v>2475</v>
      </c>
      <c r="E23" s="66" t="n">
        <f aca="false">(輸入與假設!E$65+輸入與假設!E$26)/2</f>
        <v>3550</v>
      </c>
      <c r="F23" s="66" t="n">
        <f aca="false">(輸入與假設!F$65+輸入與假設!F$26)/2</f>
        <v>4400</v>
      </c>
      <c r="G23" s="66" t="n">
        <f aca="false">(輸入與假設!G$65+輸入與假設!G$26)/2</f>
        <v>5200</v>
      </c>
    </row>
    <row r="24" customFormat="false" ht="15" hidden="false" customHeight="false" outlineLevel="1" collapsed="false">
      <c r="A24" s="3" t="s">
        <v>201</v>
      </c>
      <c r="B24" s="7" t="s">
        <v>248</v>
      </c>
      <c r="C24" s="64" t="n">
        <f aca="false">輸入與假設!C$24</f>
        <v>0.5</v>
      </c>
      <c r="D24" s="64" t="n">
        <f aca="false">輸入與假設!D$24</f>
        <v>1</v>
      </c>
      <c r="E24" s="64" t="n">
        <f aca="false">輸入與假設!E$24</f>
        <v>1</v>
      </c>
      <c r="F24" s="64" t="n">
        <f aca="false">輸入與假設!F$24</f>
        <v>1</v>
      </c>
      <c r="G24" s="64" t="n">
        <f aca="false">輸入與假設!G$24</f>
        <v>1</v>
      </c>
    </row>
    <row r="25" customFormat="false" ht="15" hidden="false" customHeight="false" outlineLevel="1" collapsed="false">
      <c r="A25" s="2" t="s">
        <v>1009</v>
      </c>
      <c r="B25" s="12" t="s">
        <v>239</v>
      </c>
      <c r="C25" s="36" t="n">
        <f aca="false">C22/C24/C23*1000</f>
        <v>1.98518518518519</v>
      </c>
      <c r="D25" s="36" t="n">
        <f aca="false">D22/D24/D23*1000</f>
        <v>1.59151515151515</v>
      </c>
      <c r="E25" s="36" t="n">
        <f aca="false">E22/E24/E23*1000</f>
        <v>1.33108587005906</v>
      </c>
      <c r="F25" s="36" t="n">
        <f aca="false">F22/F24/F23*1000</f>
        <v>1.16431818181818</v>
      </c>
      <c r="G25" s="36" t="n">
        <f aca="false">G22/G24/G23*1000</f>
        <v>0.998180473372781</v>
      </c>
      <c r="K25" s="12" t="s">
        <v>1010</v>
      </c>
    </row>
    <row r="26" customFormat="false" ht="15" hidden="false" customHeight="false" outlineLevel="1" collapsed="false">
      <c r="A26" s="3" t="s">
        <v>1011</v>
      </c>
      <c r="C26" s="23" t="n">
        <v>0.85</v>
      </c>
      <c r="K26" s="7" t="s">
        <v>1012</v>
      </c>
    </row>
    <row r="27" customFormat="false" ht="15" hidden="false" customHeight="false" outlineLevel="1" collapsed="false">
      <c r="A27" s="3" t="s">
        <v>1013</v>
      </c>
      <c r="B27" s="12" t="s">
        <v>91</v>
      </c>
      <c r="C27" s="64" t="n">
        <f aca="false">C23*運營_站點!$H$9/1000*$C$26*C24</f>
        <v>0.977696240105541</v>
      </c>
      <c r="D27" s="64" t="n">
        <f aca="false">D23*運營_站點!$H$9/1000*$C$26*D24</f>
        <v>3.58488621372032</v>
      </c>
      <c r="E27" s="64" t="n">
        <f aca="false">E23*運營_站點!$H$9/1000*$C$26*E24</f>
        <v>5.14195800351803</v>
      </c>
      <c r="F27" s="64" t="n">
        <f aca="false">F23*運營_站點!$H$9/1000*$C$26*F24</f>
        <v>6.3731310466139</v>
      </c>
      <c r="G27" s="64" t="n">
        <f aca="false">G23*運營_站點!$H$9/1000*$C$26*G24</f>
        <v>7.53188214599824</v>
      </c>
      <c r="K27" s="7" t="s">
        <v>1014</v>
      </c>
    </row>
    <row r="28" customFormat="false" ht="15" hidden="false" customHeight="false" outlineLevel="1" collapsed="false">
      <c r="A28" s="2" t="s">
        <v>1015</v>
      </c>
      <c r="B28" s="12" t="s">
        <v>91</v>
      </c>
      <c r="C28" s="36" t="n">
        <f aca="false">C27-C22</f>
        <v>-0.362303759894459</v>
      </c>
      <c r="D28" s="36" t="n">
        <f aca="false">D27-D22</f>
        <v>-0.354113786279684</v>
      </c>
      <c r="E28" s="36" t="n">
        <f aca="false">E27-E22</f>
        <v>0.416603164808353</v>
      </c>
      <c r="F28" s="36" t="n">
        <f aca="false">F27-F22</f>
        <v>1.2501310466139</v>
      </c>
      <c r="G28" s="36" t="n">
        <f aca="false">G27-G22</f>
        <v>2.34134368445978</v>
      </c>
      <c r="K28" s="7" t="s">
        <v>1016</v>
      </c>
    </row>
    <row r="29" customFormat="false" ht="15" hidden="false" customHeight="false" outlineLevel="1" collapsed="false">
      <c r="A29" s="2" t="s">
        <v>1017</v>
      </c>
      <c r="C29" s="73" t="n">
        <f aca="false">SUM(C28:G28)</f>
        <v>3.29166034970789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19.4" hidden="false" customHeight="false" outlineLevel="0" collapsed="false">
      <c r="A1" s="6" t="s">
        <v>1018</v>
      </c>
    </row>
    <row r="2" customFormat="false" ht="15" hidden="false" customHeight="false" outlineLevel="0" collapsed="false">
      <c r="A2" s="7" t="s">
        <v>1019</v>
      </c>
    </row>
    <row r="4" customFormat="false" ht="15" hidden="false" customHeight="false" outlineLevel="0" collapsed="false">
      <c r="A4" s="15" t="s">
        <v>1020</v>
      </c>
      <c r="B4" s="15" t="s">
        <v>1021</v>
      </c>
      <c r="C4" s="15" t="s">
        <v>1022</v>
      </c>
      <c r="D4" s="15" t="s">
        <v>1023</v>
      </c>
      <c r="E4" s="16" t="s">
        <v>1024</v>
      </c>
      <c r="F4" s="15" t="s">
        <v>1025</v>
      </c>
      <c r="I4" s="15" t="s">
        <v>466</v>
      </c>
    </row>
    <row r="5" customFormat="false" ht="15" hidden="false" customHeight="false" outlineLevel="0" collapsed="false">
      <c r="A5" s="4" t="s">
        <v>1026</v>
      </c>
      <c r="B5" s="7" t="s">
        <v>1027</v>
      </c>
      <c r="C5" s="12" t="s">
        <v>1028</v>
      </c>
      <c r="D5" s="23" t="n">
        <v>0.15</v>
      </c>
      <c r="E5" s="24" t="n">
        <v>1.3</v>
      </c>
      <c r="F5" s="64" t="n">
        <f aca="false">D5*E5</f>
        <v>0.195</v>
      </c>
      <c r="I5" s="7" t="s">
        <v>1029</v>
      </c>
    </row>
    <row r="6" customFormat="false" ht="15" hidden="false" customHeight="false" outlineLevel="0" collapsed="false">
      <c r="A6" s="4" t="s">
        <v>1030</v>
      </c>
      <c r="B6" s="7" t="s">
        <v>1027</v>
      </c>
      <c r="C6" s="12" t="s">
        <v>1031</v>
      </c>
      <c r="D6" s="23" t="n">
        <v>0.11</v>
      </c>
      <c r="E6" s="24" t="n">
        <v>3.19</v>
      </c>
      <c r="F6" s="64" t="n">
        <f aca="false">D6*E6</f>
        <v>0.3509</v>
      </c>
      <c r="I6" s="12" t="s">
        <v>441</v>
      </c>
    </row>
    <row r="7" customFormat="false" ht="15" hidden="false" customHeight="false" outlineLevel="0" collapsed="false">
      <c r="A7" s="4" t="s">
        <v>1032</v>
      </c>
      <c r="B7" s="7" t="s">
        <v>1027</v>
      </c>
      <c r="C7" s="12" t="s">
        <v>1033</v>
      </c>
      <c r="D7" s="23" t="n">
        <v>0.09</v>
      </c>
      <c r="E7" s="24" t="n">
        <v>3</v>
      </c>
      <c r="F7" s="64" t="n">
        <f aca="false">D7*E7</f>
        <v>0.27</v>
      </c>
      <c r="I7" s="12" t="s">
        <v>441</v>
      </c>
    </row>
    <row r="8" customFormat="false" ht="15" hidden="false" customHeight="false" outlineLevel="0" collapsed="false">
      <c r="A8" s="4" t="s">
        <v>1034</v>
      </c>
      <c r="B8" s="7" t="s">
        <v>1027</v>
      </c>
      <c r="C8" s="12" t="s">
        <v>1031</v>
      </c>
      <c r="D8" s="23" t="n">
        <v>0.09</v>
      </c>
      <c r="E8" s="24" t="n">
        <v>2.215</v>
      </c>
      <c r="F8" s="64" t="n">
        <f aca="false">D8*E8</f>
        <v>0.19935</v>
      </c>
      <c r="I8" s="12" t="s">
        <v>441</v>
      </c>
    </row>
    <row r="9" customFormat="false" ht="15" hidden="false" customHeight="false" outlineLevel="0" collapsed="false">
      <c r="A9" s="4" t="s">
        <v>1035</v>
      </c>
      <c r="B9" s="7" t="s">
        <v>1027</v>
      </c>
      <c r="C9" s="12" t="s">
        <v>1036</v>
      </c>
      <c r="D9" s="23" t="n">
        <v>0.09</v>
      </c>
      <c r="E9" s="24" t="n">
        <v>1.101</v>
      </c>
      <c r="F9" s="64" t="n">
        <f aca="false">D9*E9</f>
        <v>0.09909</v>
      </c>
      <c r="I9" s="12" t="s">
        <v>1037</v>
      </c>
    </row>
    <row r="10" customFormat="false" ht="15" hidden="false" customHeight="false" outlineLevel="0" collapsed="false">
      <c r="A10" s="4" t="s">
        <v>1038</v>
      </c>
      <c r="B10" s="7" t="s">
        <v>1027</v>
      </c>
      <c r="C10" s="12" t="s">
        <v>1039</v>
      </c>
      <c r="D10" s="23" t="n">
        <v>0.1</v>
      </c>
      <c r="E10" s="24" t="n">
        <v>2</v>
      </c>
      <c r="F10" s="64" t="n">
        <f aca="false">D10*E10</f>
        <v>0.2</v>
      </c>
      <c r="I10" s="7" t="s">
        <v>1040</v>
      </c>
    </row>
    <row r="11" customFormat="false" ht="15" hidden="false" customHeight="false" outlineLevel="0" collapsed="false">
      <c r="A11" s="4" t="s">
        <v>1041</v>
      </c>
      <c r="B11" s="7" t="s">
        <v>1027</v>
      </c>
      <c r="C11" s="12" t="s">
        <v>1042</v>
      </c>
      <c r="D11" s="23" t="n">
        <v>0.1</v>
      </c>
      <c r="E11" s="24" t="n">
        <v>1.75</v>
      </c>
      <c r="F11" s="64" t="n">
        <f aca="false">D11*E11</f>
        <v>0.175</v>
      </c>
      <c r="I11" s="12" t="s">
        <v>441</v>
      </c>
    </row>
    <row r="12" customFormat="false" ht="15" hidden="false" customHeight="false" outlineLevel="0" collapsed="false">
      <c r="A12" s="4" t="s">
        <v>1043</v>
      </c>
      <c r="B12" s="7" t="s">
        <v>1027</v>
      </c>
      <c r="C12" s="12" t="s">
        <v>1044</v>
      </c>
      <c r="D12" s="23" t="n">
        <v>0.1</v>
      </c>
      <c r="E12" s="24" t="n">
        <v>2.75</v>
      </c>
      <c r="F12" s="64" t="n">
        <f aca="false">D12*E12</f>
        <v>0.275</v>
      </c>
      <c r="I12" s="12" t="s">
        <v>1045</v>
      </c>
    </row>
    <row r="13" customFormat="false" ht="15" hidden="false" customHeight="false" outlineLevel="0" collapsed="false">
      <c r="A13" s="4" t="s">
        <v>1046</v>
      </c>
      <c r="B13" s="7" t="s">
        <v>1027</v>
      </c>
      <c r="C13" s="12" t="s">
        <v>1047</v>
      </c>
      <c r="D13" s="23" t="n">
        <v>0.1</v>
      </c>
      <c r="E13" s="24" t="n">
        <v>1.25</v>
      </c>
      <c r="F13" s="64" t="n">
        <f aca="false">D13*E13</f>
        <v>0.125</v>
      </c>
      <c r="I13" s="12" t="s">
        <v>1048</v>
      </c>
    </row>
    <row r="14" customFormat="false" ht="15" hidden="false" customHeight="false" outlineLevel="0" collapsed="false">
      <c r="A14" s="4" t="s">
        <v>1049</v>
      </c>
      <c r="B14" s="7" t="s">
        <v>1027</v>
      </c>
      <c r="C14" s="12" t="s">
        <v>1047</v>
      </c>
      <c r="D14" s="23" t="n">
        <v>0.09</v>
      </c>
      <c r="E14" s="24" t="n">
        <v>2.279</v>
      </c>
      <c r="F14" s="64" t="n">
        <f aca="false">D14*E14</f>
        <v>0.20511</v>
      </c>
      <c r="I14" s="7" t="s">
        <v>1050</v>
      </c>
    </row>
    <row r="15" customFormat="false" ht="15" hidden="false" customHeight="false" outlineLevel="0" collapsed="false">
      <c r="A15" s="4" t="s">
        <v>1051</v>
      </c>
      <c r="B15" s="7" t="s">
        <v>1027</v>
      </c>
      <c r="C15" s="12" t="s">
        <v>1052</v>
      </c>
      <c r="D15" s="23" t="n">
        <v>0.02</v>
      </c>
      <c r="E15" s="24" t="n">
        <v>2.588</v>
      </c>
      <c r="F15" s="64" t="n">
        <f aca="false">D15*E15</f>
        <v>0.05176</v>
      </c>
      <c r="I15" s="12" t="s">
        <v>441</v>
      </c>
    </row>
    <row r="16" customFormat="false" ht="15" hidden="false" customHeight="false" outlineLevel="0" collapsed="false">
      <c r="A16" s="4" t="s">
        <v>1053</v>
      </c>
      <c r="B16" s="7" t="s">
        <v>1027</v>
      </c>
      <c r="C16" s="12" t="s">
        <v>1054</v>
      </c>
      <c r="D16" s="23" t="n">
        <v>0.02</v>
      </c>
      <c r="E16" s="24" t="n">
        <v>4</v>
      </c>
      <c r="F16" s="64" t="n">
        <f aca="false">D16*E16</f>
        <v>0.08</v>
      </c>
      <c r="I16" s="7" t="s">
        <v>1055</v>
      </c>
    </row>
    <row r="17" customFormat="false" ht="15" hidden="false" customHeight="false" outlineLevel="0" collapsed="false">
      <c r="A17" s="4" t="s">
        <v>1056</v>
      </c>
      <c r="B17" s="7" t="s">
        <v>1027</v>
      </c>
      <c r="C17" s="12" t="s">
        <v>1057</v>
      </c>
      <c r="D17" s="23" t="n">
        <v>0.11</v>
      </c>
      <c r="E17" s="24" t="n">
        <v>4.22</v>
      </c>
      <c r="F17" s="64" t="n">
        <f aca="false">D17*E17</f>
        <v>0.4642</v>
      </c>
      <c r="I17" s="7" t="s">
        <v>1058</v>
      </c>
    </row>
    <row r="18" customFormat="false" ht="15" hidden="false" customHeight="false" outlineLevel="0" collapsed="false">
      <c r="A18" s="4" t="s">
        <v>1059</v>
      </c>
      <c r="B18" s="7" t="s">
        <v>1027</v>
      </c>
      <c r="C18" s="12" t="s">
        <v>1060</v>
      </c>
      <c r="D18" s="23" t="n">
        <v>0.12</v>
      </c>
      <c r="E18" s="24" t="n">
        <v>0.189</v>
      </c>
      <c r="F18" s="64" t="n">
        <f aca="false">D18*E18</f>
        <v>0.02268</v>
      </c>
      <c r="I18" s="12" t="s">
        <v>441</v>
      </c>
    </row>
    <row r="19" customFormat="false" ht="15" hidden="false" customHeight="false" outlineLevel="0" collapsed="false">
      <c r="A19" s="4" t="s">
        <v>1061</v>
      </c>
      <c r="B19" s="7" t="s">
        <v>1062</v>
      </c>
      <c r="C19" s="12" t="s">
        <v>1063</v>
      </c>
      <c r="D19" s="23" t="n">
        <v>0.07</v>
      </c>
      <c r="E19" s="24" t="n">
        <v>2.837</v>
      </c>
      <c r="F19" s="64" t="n">
        <f aca="false">D19*E19</f>
        <v>0.19859</v>
      </c>
      <c r="I19" s="12" t="s">
        <v>1064</v>
      </c>
    </row>
    <row r="20" customFormat="false" ht="15" hidden="false" customHeight="false" outlineLevel="0" collapsed="false">
      <c r="A20" s="4" t="s">
        <v>1065</v>
      </c>
      <c r="B20" s="7" t="s">
        <v>1062</v>
      </c>
      <c r="C20" s="12" t="s">
        <v>1066</v>
      </c>
      <c r="D20" s="23" t="n">
        <v>0.09</v>
      </c>
      <c r="E20" s="24" t="n">
        <v>0.882</v>
      </c>
      <c r="F20" s="64" t="n">
        <f aca="false">D20*E20</f>
        <v>0.07938</v>
      </c>
      <c r="I20" s="12" t="s">
        <v>441</v>
      </c>
    </row>
    <row r="21" customFormat="false" ht="15" hidden="false" customHeight="false" outlineLevel="0" collapsed="false">
      <c r="A21" s="2" t="s">
        <v>1067</v>
      </c>
      <c r="E21" s="55" t="n">
        <f aca="false">SUM(E5:E20)</f>
        <v>35.551</v>
      </c>
      <c r="F21" s="55" t="n">
        <f aca="false">SUM(F5:F20)</f>
        <v>2.99106</v>
      </c>
      <c r="I21" s="7" t="s">
        <v>1068</v>
      </c>
    </row>
    <row r="22" customFormat="false" ht="15" hidden="false" customHeight="false" outlineLevel="0" collapsed="false">
      <c r="A22" s="2" t="s">
        <v>1069</v>
      </c>
      <c r="D22" s="74" t="n">
        <f aca="false">F21/E21</f>
        <v>0.084134342212596</v>
      </c>
      <c r="I22" s="7" t="s">
        <v>1070</v>
      </c>
    </row>
    <row r="24" customFormat="false" ht="15" hidden="false" customHeight="false" outlineLevel="0" collapsed="false">
      <c r="A24" s="4" t="s">
        <v>1071</v>
      </c>
      <c r="D24" s="75" t="n">
        <v>0.02875</v>
      </c>
      <c r="E24" s="24" t="n">
        <v>3.7</v>
      </c>
      <c r="F24" s="11" t="n">
        <f aca="false">D24*E24</f>
        <v>0.106375</v>
      </c>
      <c r="I24" s="7" t="s">
        <v>1072</v>
      </c>
    </row>
    <row r="26" customFormat="false" ht="15" hidden="false" customHeight="false" outlineLevel="0" collapsed="false">
      <c r="A26" s="48" t="s">
        <v>1073</v>
      </c>
      <c r="B26" s="9"/>
      <c r="C26" s="9"/>
      <c r="D26" s="9"/>
      <c r="E26" s="9"/>
      <c r="F26" s="9"/>
      <c r="G26" s="9"/>
      <c r="H26" s="9"/>
    </row>
    <row r="27" customFormat="false" ht="15" hidden="false" customHeight="false" outlineLevel="1" collapsed="false">
      <c r="A27" s="15" t="s">
        <v>85</v>
      </c>
      <c r="B27" s="15" t="s">
        <v>86</v>
      </c>
      <c r="C27" s="27" t="s">
        <v>87</v>
      </c>
      <c r="D27" s="27" t="s">
        <v>88</v>
      </c>
      <c r="E27" s="27" t="s">
        <v>89</v>
      </c>
      <c r="F27" s="27" t="s">
        <v>169</v>
      </c>
      <c r="G27" s="27" t="s">
        <v>170</v>
      </c>
      <c r="I27" s="15" t="s">
        <v>602</v>
      </c>
    </row>
    <row r="28" customFormat="false" ht="15" hidden="false" customHeight="false" outlineLevel="1" collapsed="false">
      <c r="A28" s="3" t="s">
        <v>1074</v>
      </c>
      <c r="B28" s="12" t="s">
        <v>91</v>
      </c>
      <c r="C28" s="64" t="n">
        <f aca="false">E21</f>
        <v>35.551</v>
      </c>
      <c r="D28" s="64" t="n">
        <f aca="false">C30</f>
        <v>31.138</v>
      </c>
      <c r="E28" s="64" t="n">
        <f aca="false">D30</f>
        <v>24.954</v>
      </c>
      <c r="F28" s="64" t="n">
        <f aca="false">E30</f>
        <v>20.538</v>
      </c>
      <c r="G28" s="64" t="n">
        <f aca="false">F30</f>
        <v>18.117</v>
      </c>
      <c r="I28" s="12" t="s">
        <v>1075</v>
      </c>
    </row>
    <row r="29" customFormat="false" ht="15" hidden="false" customHeight="false" outlineLevel="1" collapsed="false">
      <c r="A29" s="3" t="s">
        <v>1076</v>
      </c>
      <c r="B29" s="12" t="s">
        <v>91</v>
      </c>
      <c r="C29" s="39" t="n">
        <f aca="false">輸入與假設!C$93</f>
        <v>4.413</v>
      </c>
      <c r="D29" s="39" t="n">
        <f aca="false">輸入與假設!D$93</f>
        <v>6.184</v>
      </c>
      <c r="E29" s="39" t="n">
        <f aca="false">輸入與假設!E$93</f>
        <v>4.416</v>
      </c>
      <c r="F29" s="39" t="n">
        <f aca="false">輸入與假設!F$93</f>
        <v>2.421</v>
      </c>
      <c r="G29" s="39" t="n">
        <f aca="false">輸入與假設!G$93</f>
        <v>3.221</v>
      </c>
      <c r="I29" s="12" t="s">
        <v>1077</v>
      </c>
    </row>
    <row r="30" customFormat="false" ht="15" hidden="false" customHeight="false" outlineLevel="1" collapsed="false">
      <c r="A30" s="3" t="s">
        <v>1078</v>
      </c>
      <c r="B30" s="12" t="s">
        <v>91</v>
      </c>
      <c r="C30" s="64" t="n">
        <f aca="false">C28-C29</f>
        <v>31.138</v>
      </c>
      <c r="D30" s="64" t="n">
        <f aca="false">D28-D29</f>
        <v>24.954</v>
      </c>
      <c r="E30" s="64" t="n">
        <f aca="false">E28-E29</f>
        <v>20.538</v>
      </c>
      <c r="F30" s="64" t="n">
        <f aca="false">F28-F29</f>
        <v>18.117</v>
      </c>
      <c r="G30" s="64" t="n">
        <f aca="false">G28-G29</f>
        <v>14.896</v>
      </c>
    </row>
    <row r="31" customFormat="false" ht="15" hidden="false" customHeight="false" outlineLevel="1" collapsed="false">
      <c r="A31" s="3" t="s">
        <v>1079</v>
      </c>
      <c r="B31" s="12" t="s">
        <v>91</v>
      </c>
      <c r="C31" s="64" t="n">
        <f aca="false">(C28+C30)/2</f>
        <v>33.3445</v>
      </c>
      <c r="D31" s="64" t="n">
        <f aca="false">(D28+D30)/2</f>
        <v>28.046</v>
      </c>
      <c r="E31" s="64" t="n">
        <f aca="false">(E28+E30)/2</f>
        <v>22.746</v>
      </c>
      <c r="F31" s="64" t="n">
        <f aca="false">(F28+F30)/2</f>
        <v>19.3275</v>
      </c>
      <c r="G31" s="64" t="n">
        <f aca="false">(G28+G30)/2</f>
        <v>16.5065</v>
      </c>
    </row>
    <row r="32" customFormat="false" ht="15" hidden="false" customHeight="false" outlineLevel="1" collapsed="false">
      <c r="A32" s="3" t="s">
        <v>1080</v>
      </c>
      <c r="B32" s="12" t="s">
        <v>91</v>
      </c>
      <c r="C32" s="64" t="n">
        <f aca="false">C31*資產負債_既有債務!$D$22*輸入與假設!C$24</f>
        <v>1.40270878695395</v>
      </c>
      <c r="D32" s="64" t="n">
        <f aca="false">D31*資產負債_既有債務!$D$22*輸入與假設!D$24</f>
        <v>2.35963176169447</v>
      </c>
      <c r="E32" s="64" t="n">
        <f aca="false">E31*資產負債_既有債務!$D$22*輸入與假設!E$24</f>
        <v>1.91371974796771</v>
      </c>
      <c r="F32" s="64" t="n">
        <f aca="false">F31*資產負債_既有債務!$D$22*輸入與假設!F$24</f>
        <v>1.62610649911395</v>
      </c>
      <c r="G32" s="64" t="n">
        <f aca="false">G31*資產負債_既有債務!$D$22*輸入與假設!G$24</f>
        <v>1.38876351973222</v>
      </c>
      <c r="I32" s="7" t="s">
        <v>1081</v>
      </c>
    </row>
    <row r="33" customFormat="false" ht="15" hidden="false" customHeight="false" outlineLevel="1" collapsed="false">
      <c r="A33" s="4" t="s">
        <v>1082</v>
      </c>
      <c r="B33" s="12" t="s">
        <v>91</v>
      </c>
      <c r="C33" s="64" t="n">
        <f aca="false">資產負債_既有債務!$F$24*輸入與假設!C$24</f>
        <v>0.0531875</v>
      </c>
      <c r="D33" s="64" t="n">
        <f aca="false">資產負債_既有債務!$F$24*輸入與假設!D$24</f>
        <v>0.106375</v>
      </c>
      <c r="E33" s="64" t="n">
        <f aca="false">資產負債_既有債務!$F$24*輸入與假設!E$24</f>
        <v>0.106375</v>
      </c>
      <c r="F33" s="64" t="n">
        <f aca="false">資產負債_既有債務!$F$24*輸入與假設!F$24</f>
        <v>0.106375</v>
      </c>
      <c r="G33" s="64" t="n">
        <f aca="false">資產負債_既有債務!$F$24*輸入與假設!G$24</f>
        <v>0.106375</v>
      </c>
    </row>
    <row r="34" customFormat="false" ht="15" hidden="false" customHeight="false" outlineLevel="1" collapsed="false">
      <c r="A34" s="4" t="s">
        <v>1083</v>
      </c>
      <c r="B34" s="12" t="s">
        <v>91</v>
      </c>
      <c r="C34" s="24" t="n">
        <f aca="false">0.35</f>
        <v>0.35</v>
      </c>
      <c r="D34" s="24" t="n">
        <f aca="false">0</f>
        <v>0</v>
      </c>
      <c r="E34" s="24" t="n">
        <f aca="false">0</f>
        <v>0</v>
      </c>
      <c r="F34" s="24" t="n">
        <f aca="false">0</f>
        <v>0</v>
      </c>
      <c r="G34" s="24" t="n">
        <f aca="false">0</f>
        <v>0</v>
      </c>
      <c r="I34" s="12" t="s">
        <v>1084</v>
      </c>
    </row>
    <row r="35" customFormat="false" ht="15" hidden="false" customHeight="false" outlineLevel="1" collapsed="false">
      <c r="A35" s="2" t="s">
        <v>1085</v>
      </c>
      <c r="B35" s="12" t="s">
        <v>91</v>
      </c>
      <c r="C35" s="36" t="n">
        <f aca="false">C32+C33+C34</f>
        <v>1.80589628695395</v>
      </c>
      <c r="D35" s="36" t="n">
        <f aca="false">D32+D33+D34</f>
        <v>2.46600676169447</v>
      </c>
      <c r="E35" s="36" t="n">
        <f aca="false">E32+E33+E34</f>
        <v>2.02009474796771</v>
      </c>
      <c r="F35" s="36" t="n">
        <f aca="false">F32+F33+F34</f>
        <v>1.73248149911395</v>
      </c>
      <c r="G35" s="36" t="n">
        <f aca="false">G32+G33+G34</f>
        <v>1.49513851973222</v>
      </c>
      <c r="I35" s="12" t="s">
        <v>1086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6" t="s">
        <v>1087</v>
      </c>
    </row>
    <row r="2" customFormat="false" ht="15" hidden="false" customHeight="false" outlineLevel="0" collapsed="false">
      <c r="A2" s="7" t="s">
        <v>1088</v>
      </c>
    </row>
    <row r="4" customFormat="false" ht="15" hidden="false" customHeight="false" outlineLevel="0" collapsed="false">
      <c r="A4" s="15" t="s">
        <v>85</v>
      </c>
      <c r="B4" s="15" t="s">
        <v>86</v>
      </c>
      <c r="C4" s="27" t="s">
        <v>87</v>
      </c>
      <c r="D4" s="27" t="s">
        <v>88</v>
      </c>
      <c r="E4" s="27" t="s">
        <v>89</v>
      </c>
      <c r="F4" s="27" t="s">
        <v>169</v>
      </c>
      <c r="G4" s="27" t="s">
        <v>170</v>
      </c>
      <c r="I4" s="15" t="s">
        <v>602</v>
      </c>
    </row>
    <row r="5" customFormat="false" ht="15" hidden="false" customHeight="false" outlineLevel="0" collapsed="false">
      <c r="A5" s="48" t="s">
        <v>1089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1090</v>
      </c>
      <c r="B6" s="12" t="s">
        <v>91</v>
      </c>
      <c r="C6" s="64" t="n">
        <f aca="false">輸入與假設!$C$77</f>
        <v>5.5</v>
      </c>
      <c r="D6" s="64" t="n">
        <f aca="false">各期收支!C41</f>
        <v>2</v>
      </c>
      <c r="E6" s="64" t="n">
        <f aca="false">各期收支!D41</f>
        <v>2</v>
      </c>
      <c r="F6" s="64" t="n">
        <f aca="false">各期收支!E41</f>
        <v>2</v>
      </c>
      <c r="G6" s="64" t="n">
        <f aca="false">各期收支!F41</f>
        <v>2</v>
      </c>
      <c r="I6" s="12" t="s">
        <v>1091</v>
      </c>
    </row>
    <row r="7" customFormat="false" ht="15" hidden="false" customHeight="false" outlineLevel="1" collapsed="false">
      <c r="A7" s="3" t="s">
        <v>1092</v>
      </c>
      <c r="B7" s="12" t="s">
        <v>91</v>
      </c>
      <c r="C7" s="64" t="n">
        <f aca="false">各期收支!C71-輸入與假設!$C$77</f>
        <v>-15.4895435039723</v>
      </c>
      <c r="D7" s="64" t="n">
        <f aca="false">各期收支!D71-各期收支!C71</f>
        <v>-28.6060211457307</v>
      </c>
      <c r="E7" s="64" t="n">
        <f aca="false">各期收支!E71-各期收支!D71</f>
        <v>-11.2541004220161</v>
      </c>
      <c r="F7" s="64" t="n">
        <f aca="false">各期收支!F71-各期收支!E71</f>
        <v>-5.90351213937701</v>
      </c>
      <c r="G7" s="64" t="n">
        <f aca="false">各期收支!G71-各期收支!F71</f>
        <v>-5.93658679089938</v>
      </c>
      <c r="I7" s="7" t="s">
        <v>1093</v>
      </c>
    </row>
    <row r="8" customFormat="false" ht="15" hidden="false" customHeight="false" outlineLevel="1" collapsed="false">
      <c r="A8" s="3" t="s">
        <v>1094</v>
      </c>
      <c r="B8" s="12" t="s">
        <v>91</v>
      </c>
      <c r="C8" s="64" t="n">
        <f aca="false">各期收支!C58</f>
        <v>12.5544958156778</v>
      </c>
      <c r="D8" s="64" t="n">
        <f aca="false">各期收支!D58</f>
        <v>32.6768415045513</v>
      </c>
      <c r="E8" s="64" t="n">
        <f aca="false">各期收支!E58</f>
        <v>16.8405722866337</v>
      </c>
      <c r="F8" s="64" t="n">
        <f aca="false">各期收支!F58</f>
        <v>3.13931889313726</v>
      </c>
      <c r="G8" s="64" t="n">
        <f aca="false">各期收支!G58</f>
        <v>7.17872749999999</v>
      </c>
    </row>
    <row r="9" customFormat="false" ht="15" hidden="false" customHeight="false" outlineLevel="1" collapsed="false">
      <c r="A9" s="3" t="s">
        <v>1095</v>
      </c>
      <c r="B9" s="12" t="s">
        <v>91</v>
      </c>
      <c r="C9" s="64" t="n">
        <f aca="false">各期收支!C62</f>
        <v>0</v>
      </c>
      <c r="D9" s="64" t="n">
        <f aca="false">各期收支!D62</f>
        <v>0</v>
      </c>
      <c r="E9" s="64" t="n">
        <f aca="false">各期收支!E62</f>
        <v>0</v>
      </c>
      <c r="F9" s="64" t="n">
        <f aca="false">各期收支!F62</f>
        <v>0</v>
      </c>
      <c r="G9" s="64" t="n">
        <f aca="false">各期收支!G62</f>
        <v>0</v>
      </c>
    </row>
    <row r="10" customFormat="false" ht="15" hidden="false" customHeight="false" outlineLevel="1" collapsed="false">
      <c r="A10" s="3" t="s">
        <v>1096</v>
      </c>
      <c r="B10" s="12" t="s">
        <v>91</v>
      </c>
      <c r="C10" s="64" t="n">
        <f aca="false">各期收支!C61</f>
        <v>0</v>
      </c>
      <c r="D10" s="64" t="n">
        <f aca="false">各期收支!D61</f>
        <v>0</v>
      </c>
      <c r="E10" s="64" t="n">
        <f aca="false">各期收支!E61</f>
        <v>0</v>
      </c>
      <c r="F10" s="64" t="n">
        <f aca="false">各期收支!F61</f>
        <v>8.63320381123975</v>
      </c>
      <c r="G10" s="64" t="n">
        <f aca="false">各期收支!G61</f>
        <v>5.27295533089938</v>
      </c>
    </row>
    <row r="11" customFormat="false" ht="15" hidden="false" customHeight="false" outlineLevel="1" collapsed="false">
      <c r="A11" s="3" t="s">
        <v>1097</v>
      </c>
      <c r="B11" s="12" t="s">
        <v>91</v>
      </c>
      <c r="C11" s="64" t="n">
        <f aca="false">-各期收支!C63</f>
        <v>-0.564952311705499</v>
      </c>
      <c r="D11" s="64" t="n">
        <f aca="false">-各期收支!D63</f>
        <v>-4.07082035882062</v>
      </c>
      <c r="E11" s="64" t="n">
        <f aca="false">-各期收支!E63</f>
        <v>-5.58647186461765</v>
      </c>
      <c r="F11" s="64" t="n">
        <f aca="false">-各期收支!F63</f>
        <v>-5.869010565</v>
      </c>
      <c r="G11" s="64" t="n">
        <f aca="false">-各期收支!G63</f>
        <v>-6.51509604</v>
      </c>
    </row>
    <row r="12" customFormat="false" ht="15" hidden="false" customHeight="false" outlineLevel="1" collapsed="false">
      <c r="A12" s="2" t="s">
        <v>1098</v>
      </c>
      <c r="B12" s="12" t="s">
        <v>91</v>
      </c>
      <c r="C12" s="36" t="n">
        <f aca="false">SUM(C6:C11)</f>
        <v>2</v>
      </c>
      <c r="D12" s="36" t="n">
        <f aca="false">SUM(D6:D11)</f>
        <v>2</v>
      </c>
      <c r="E12" s="36" t="n">
        <f aca="false">SUM(E6:E11)</f>
        <v>2</v>
      </c>
      <c r="F12" s="36" t="n">
        <f aca="false">SUM(F6:F11)</f>
        <v>2</v>
      </c>
      <c r="G12" s="36" t="n">
        <f aca="false">SUM(G6:G11)</f>
        <v>2</v>
      </c>
      <c r="I12" s="7" t="s">
        <v>1099</v>
      </c>
    </row>
    <row r="13" customFormat="false" ht="15" hidden="false" customHeight="false" outlineLevel="1" collapsed="false">
      <c r="A13" s="3" t="s">
        <v>1100</v>
      </c>
      <c r="B13" s="12" t="s">
        <v>91</v>
      </c>
      <c r="C13" s="64" t="n">
        <f aca="false">C12-各期收支!C41</f>
        <v>0</v>
      </c>
      <c r="D13" s="64" t="n">
        <f aca="false">D12-各期收支!D41</f>
        <v>0</v>
      </c>
      <c r="E13" s="64" t="n">
        <f aca="false">E12-各期收支!E41</f>
        <v>0</v>
      </c>
      <c r="F13" s="64" t="n">
        <f aca="false">F12-各期收支!F41</f>
        <v>0</v>
      </c>
      <c r="G13" s="64" t="n">
        <f aca="false">G12-各期收支!G41</f>
        <v>0</v>
      </c>
      <c r="I13" s="7" t="s">
        <v>1101</v>
      </c>
    </row>
    <row r="14" customFormat="false" ht="15" hidden="false" customHeight="false" outlineLevel="0" collapsed="false">
      <c r="A14" s="48" t="s">
        <v>1102</v>
      </c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1" collapsed="false">
      <c r="A15" s="3" t="s">
        <v>1103</v>
      </c>
      <c r="B15" s="12" t="s">
        <v>91</v>
      </c>
      <c r="C15" s="64" t="n">
        <f aca="false">35.551</f>
        <v>35.551</v>
      </c>
      <c r="D15" s="64" t="n">
        <f aca="false">C17</f>
        <v>31.138</v>
      </c>
      <c r="E15" s="64" t="n">
        <f aca="false">D17</f>
        <v>24.954</v>
      </c>
      <c r="F15" s="64" t="n">
        <f aca="false">E17</f>
        <v>20.538</v>
      </c>
      <c r="G15" s="64" t="n">
        <f aca="false">F17</f>
        <v>18.117</v>
      </c>
    </row>
    <row r="16" customFormat="false" ht="15" hidden="false" customHeight="false" outlineLevel="1" collapsed="false">
      <c r="A16" s="3" t="s">
        <v>1104</v>
      </c>
      <c r="B16" s="12" t="s">
        <v>91</v>
      </c>
      <c r="C16" s="64" t="n">
        <f aca="false">-IF(輸入與假設!$C$82=1,輸入與假設!C$93,0)</f>
        <v>-4.413</v>
      </c>
      <c r="D16" s="64" t="n">
        <f aca="false">-IF(輸入與假設!$C$82=1,輸入與假設!D$93,0)</f>
        <v>-6.184</v>
      </c>
      <c r="E16" s="64" t="n">
        <f aca="false">-IF(輸入與假設!$C$82=1,輸入與假設!E$93,0)</f>
        <v>-4.416</v>
      </c>
      <c r="F16" s="64" t="n">
        <f aca="false">-IF(輸入與假設!$C$82=1,輸入與假設!F$93,0)</f>
        <v>-2.421</v>
      </c>
      <c r="G16" s="64" t="n">
        <f aca="false">-IF(輸入與假設!$C$82=1,輸入與假設!G$93,0)</f>
        <v>-3.221</v>
      </c>
    </row>
    <row r="17" customFormat="false" ht="15" hidden="false" customHeight="false" outlineLevel="1" collapsed="false">
      <c r="A17" s="3" t="s">
        <v>1105</v>
      </c>
      <c r="B17" s="12" t="s">
        <v>91</v>
      </c>
      <c r="C17" s="64" t="n">
        <f aca="false">各期收支!C54-3.7</f>
        <v>31.138</v>
      </c>
      <c r="D17" s="64" t="n">
        <f aca="false">各期收支!D54-3.7</f>
        <v>24.954</v>
      </c>
      <c r="E17" s="64" t="n">
        <f aca="false">各期收支!E54-3.7</f>
        <v>20.538</v>
      </c>
      <c r="F17" s="64" t="n">
        <f aca="false">各期收支!F54-3.7</f>
        <v>18.117</v>
      </c>
      <c r="G17" s="64" t="n">
        <f aca="false">各期收支!G54-3.7</f>
        <v>14.896</v>
      </c>
      <c r="I17" s="7" t="s">
        <v>1106</v>
      </c>
    </row>
    <row r="18" customFormat="false" ht="15" hidden="false" customHeight="false" outlineLevel="1" collapsed="false">
      <c r="A18" s="3" t="s">
        <v>1107</v>
      </c>
      <c r="B18" s="12" t="s">
        <v>91</v>
      </c>
      <c r="C18" s="64" t="n">
        <f aca="false">3.7</f>
        <v>3.7</v>
      </c>
      <c r="D18" s="64" t="n">
        <f aca="false">3.7</f>
        <v>3.7</v>
      </c>
      <c r="E18" s="64" t="n">
        <f aca="false">3.7</f>
        <v>3.7</v>
      </c>
      <c r="F18" s="64" t="n">
        <f aca="false">3.7</f>
        <v>3.7</v>
      </c>
      <c r="G18" s="64" t="n">
        <f aca="false">3.7</f>
        <v>3.7</v>
      </c>
    </row>
    <row r="19" customFormat="false" ht="15" hidden="false" customHeight="false" outlineLevel="1" collapsed="false">
      <c r="A19" s="3" t="s">
        <v>1108</v>
      </c>
      <c r="B19" s="12" t="s">
        <v>91</v>
      </c>
      <c r="C19" s="64" t="n">
        <f aca="false">各期收支!C67</f>
        <v>12.5544958156778</v>
      </c>
      <c r="D19" s="64" t="n">
        <f aca="false">各期收支!D67</f>
        <v>45.2313373202291</v>
      </c>
      <c r="E19" s="64" t="n">
        <f aca="false">各期收支!E67</f>
        <v>62.0719096068628</v>
      </c>
      <c r="F19" s="64" t="n">
        <f aca="false">各期收支!F67</f>
        <v>65.2112285</v>
      </c>
      <c r="G19" s="64" t="n">
        <f aca="false">各期收支!G67</f>
        <v>72.389956</v>
      </c>
    </row>
    <row r="20" customFormat="false" ht="15" hidden="false" customHeight="false" outlineLevel="1" collapsed="false">
      <c r="A20" s="3" t="s">
        <v>1109</v>
      </c>
      <c r="B20" s="12" t="s">
        <v>91</v>
      </c>
      <c r="C20" s="64" t="n">
        <f aca="false">各期收支!C69</f>
        <v>0</v>
      </c>
      <c r="D20" s="64" t="n">
        <f aca="false">各期收支!D69</f>
        <v>0</v>
      </c>
      <c r="E20" s="64" t="n">
        <f aca="false">各期收支!E69</f>
        <v>0</v>
      </c>
      <c r="F20" s="64" t="n">
        <f aca="false">各期收支!F69</f>
        <v>0</v>
      </c>
      <c r="G20" s="64" t="n">
        <f aca="false">各期收支!G69</f>
        <v>0</v>
      </c>
    </row>
    <row r="21" customFormat="false" ht="15" hidden="false" customHeight="false" outlineLevel="1" collapsed="false">
      <c r="A21" s="2" t="s">
        <v>1110</v>
      </c>
      <c r="B21" s="12" t="s">
        <v>91</v>
      </c>
      <c r="C21" s="36" t="n">
        <f aca="false">SUM(C17:C20)</f>
        <v>47.3924958156778</v>
      </c>
      <c r="D21" s="36" t="n">
        <f aca="false">SUM(D17:D20)</f>
        <v>73.8853373202291</v>
      </c>
      <c r="E21" s="36" t="n">
        <f aca="false">SUM(E17:E20)</f>
        <v>86.3099096068628</v>
      </c>
      <c r="F21" s="36" t="n">
        <f aca="false">SUM(F17:F20)</f>
        <v>87.0282285</v>
      </c>
      <c r="G21" s="36" t="n">
        <f aca="false">SUM(G17:G20)</f>
        <v>90.985956</v>
      </c>
      <c r="I21" s="7" t="s">
        <v>1111</v>
      </c>
    </row>
    <row r="22" customFormat="false" ht="15" hidden="false" customHeight="false" outlineLevel="1" collapsed="false">
      <c r="A22" s="2" t="s">
        <v>1112</v>
      </c>
      <c r="B22" s="12" t="s">
        <v>91</v>
      </c>
      <c r="C22" s="36" t="n">
        <f aca="false">C21-C12</f>
        <v>45.3924958156778</v>
      </c>
      <c r="D22" s="36" t="n">
        <f aca="false">D21-D12</f>
        <v>71.8853373202291</v>
      </c>
      <c r="E22" s="36" t="n">
        <f aca="false">E21-E12</f>
        <v>84.3099096068628</v>
      </c>
      <c r="F22" s="36" t="n">
        <f aca="false">F21-F12</f>
        <v>85.0282285</v>
      </c>
      <c r="G22" s="36" t="n">
        <f aca="false">G21-G12</f>
        <v>88.985956</v>
      </c>
    </row>
    <row r="23" customFormat="false" ht="15" hidden="false" customHeight="false" outlineLevel="0" collapsed="false">
      <c r="A23" s="48" t="s">
        <v>1113</v>
      </c>
      <c r="B23" s="9"/>
      <c r="C23" s="9"/>
      <c r="D23" s="9"/>
      <c r="E23" s="9"/>
      <c r="F23" s="9"/>
      <c r="G23" s="9"/>
      <c r="H23" s="9"/>
    </row>
    <row r="24" customFormat="false" ht="15" hidden="false" customHeight="false" outlineLevel="1" collapsed="false">
      <c r="A24" s="3" t="s">
        <v>1114</v>
      </c>
      <c r="B24" s="12" t="s">
        <v>332</v>
      </c>
      <c r="C24" s="52" t="n">
        <f aca="false">損益!C20</f>
        <v>0.587</v>
      </c>
      <c r="D24" s="52" t="n">
        <f aca="false">損益!D20</f>
        <v>0.59287</v>
      </c>
      <c r="E24" s="52" t="n">
        <f aca="false">損益!E20</f>
        <v>0.5987987</v>
      </c>
      <c r="F24" s="52" t="n">
        <f aca="false">損益!F20</f>
        <v>0.604786687</v>
      </c>
      <c r="G24" s="52" t="n">
        <f aca="false">損益!G20</f>
        <v>0.61083455387</v>
      </c>
    </row>
    <row r="25" customFormat="false" ht="15" hidden="false" customHeight="false" outlineLevel="1" collapsed="false">
      <c r="A25" s="3" t="s">
        <v>1115</v>
      </c>
      <c r="B25" s="12" t="s">
        <v>332</v>
      </c>
      <c r="C25" s="52" t="n">
        <f aca="false">各期收支!C65</f>
        <v>0</v>
      </c>
      <c r="D25" s="52" t="n">
        <f aca="false">各期收支!D65</f>
        <v>0</v>
      </c>
      <c r="E25" s="52" t="n">
        <f aca="false">各期收支!E65</f>
        <v>0</v>
      </c>
      <c r="F25" s="52" t="n">
        <f aca="false">各期收支!F65</f>
        <v>0.106429032277325</v>
      </c>
      <c r="G25" s="52" t="n">
        <f aca="false">各期收支!G65</f>
        <v>0.0650043188345154</v>
      </c>
    </row>
    <row r="26" customFormat="false" ht="15" hidden="false" customHeight="false" outlineLevel="1" collapsed="false">
      <c r="A26" s="2" t="s">
        <v>1116</v>
      </c>
      <c r="B26" s="12" t="s">
        <v>332</v>
      </c>
      <c r="C26" s="53" t="n">
        <f aca="false">損益!C21</f>
        <v>0.587</v>
      </c>
      <c r="D26" s="53" t="n">
        <f aca="false">損益!D21</f>
        <v>0.59287</v>
      </c>
      <c r="E26" s="53" t="n">
        <f aca="false">損益!E21</f>
        <v>0.5987987</v>
      </c>
      <c r="F26" s="53" t="n">
        <f aca="false">損益!F21</f>
        <v>0.711215719277325</v>
      </c>
      <c r="G26" s="53" t="n">
        <f aca="false">損益!G21</f>
        <v>0.78226790498184</v>
      </c>
      <c r="I26" s="7" t="s">
        <v>1117</v>
      </c>
    </row>
    <row r="27" customFormat="false" ht="15" hidden="false" customHeight="false" outlineLevel="0" collapsed="false">
      <c r="A27" s="48" t="s">
        <v>1118</v>
      </c>
      <c r="B27" s="9"/>
      <c r="C27" s="9"/>
      <c r="D27" s="9"/>
      <c r="E27" s="9"/>
      <c r="F27" s="9"/>
      <c r="G27" s="9"/>
      <c r="H27" s="9"/>
    </row>
    <row r="28" customFormat="false" ht="15" hidden="false" customHeight="false" outlineLevel="1" collapsed="false">
      <c r="A28" s="3" t="s">
        <v>674</v>
      </c>
      <c r="B28" s="12" t="s">
        <v>91</v>
      </c>
      <c r="C28" s="64" t="n">
        <f aca="false">各期收支!C53</f>
        <v>115.50825</v>
      </c>
      <c r="D28" s="64" t="n">
        <f aca="false">各期收支!D53</f>
        <v>89.12475</v>
      </c>
      <c r="E28" s="64" t="n">
        <f aca="false">各期收支!E53</f>
        <v>99.902412</v>
      </c>
      <c r="F28" s="64" t="n">
        <f aca="false">各期收支!F53</f>
        <v>87.0282285</v>
      </c>
      <c r="G28" s="64" t="n">
        <f aca="false">各期收支!G53</f>
        <v>90.985956</v>
      </c>
    </row>
    <row r="29" customFormat="false" ht="15" hidden="false" customHeight="false" outlineLevel="1" collapsed="false">
      <c r="A29" s="3" t="s">
        <v>678</v>
      </c>
      <c r="B29" s="12" t="s">
        <v>91</v>
      </c>
      <c r="C29" s="64" t="n">
        <f aca="false">各期收支!C55</f>
        <v>115.50825</v>
      </c>
      <c r="D29" s="64" t="n">
        <f aca="false">各期收支!D55</f>
        <v>89.12475</v>
      </c>
      <c r="E29" s="64" t="n">
        <f aca="false">各期收支!E55</f>
        <v>99.902412</v>
      </c>
      <c r="F29" s="64" t="n">
        <f aca="false">各期收支!F55</f>
        <v>87.0282285</v>
      </c>
      <c r="G29" s="64" t="n">
        <f aca="false">各期收支!G55</f>
        <v>90.985956</v>
      </c>
    </row>
    <row r="30" customFormat="false" ht="15" hidden="false" customHeight="false" outlineLevel="1" collapsed="false">
      <c r="A30" s="3" t="s">
        <v>1119</v>
      </c>
      <c r="B30" s="12" t="s">
        <v>133</v>
      </c>
      <c r="C30" s="76" t="n">
        <f aca="false">C21/MAX(0.01,C28)</f>
        <v>0.410295332287328</v>
      </c>
      <c r="D30" s="76" t="n">
        <f aca="false">D21/MAX(0.01,D28)</f>
        <v>0.829010317787473</v>
      </c>
      <c r="E30" s="76" t="n">
        <f aca="false">E21/MAX(0.01,E28)</f>
        <v>0.863942199982747</v>
      </c>
      <c r="F30" s="76" t="n">
        <f aca="false">F21/MAX(0.01,F28)</f>
        <v>1</v>
      </c>
      <c r="G30" s="76" t="n">
        <f aca="false">G21/MAX(0.01,G28)</f>
        <v>1</v>
      </c>
      <c r="I30" s="7" t="s">
        <v>1120</v>
      </c>
    </row>
    <row r="31" customFormat="false" ht="15" hidden="false" customHeight="false" outlineLevel="1" collapsed="false">
      <c r="A31" s="3" t="s">
        <v>1121</v>
      </c>
      <c r="B31" s="12" t="s">
        <v>133</v>
      </c>
      <c r="C31" s="77" t="n">
        <f aca="false">C21/MAX(0.01,損益!C19/輸入與假設!C$24)</f>
        <v>4.77393700786694</v>
      </c>
      <c r="D31" s="77" t="n">
        <f aca="false">D21/MAX(0.01,損益!D19/輸入與假設!D$24)</f>
        <v>4.67417565768812</v>
      </c>
      <c r="E31" s="77" t="n">
        <f aca="false">E21/MAX(0.01,損益!E19/輸入與假設!E$24)</f>
        <v>3.79633898511342</v>
      </c>
      <c r="F31" s="77" t="n">
        <f aca="false">F21/MAX(0.01,損益!F19/輸入與假設!F$24)</f>
        <v>3.2351245979566</v>
      </c>
      <c r="G31" s="77" t="n">
        <f aca="false">G21/MAX(0.01,損益!G19/輸入與假設!G$24)</f>
        <v>3.11105062052045</v>
      </c>
      <c r="I31" s="12" t="s">
        <v>1122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19.4" hidden="false" customHeight="false" outlineLevel="0" collapsed="false">
      <c r="A1" s="6" t="s">
        <v>1123</v>
      </c>
    </row>
    <row r="2" customFormat="false" ht="15" hidden="false" customHeight="false" outlineLevel="0" collapsed="false">
      <c r="A2" s="7" t="s">
        <v>1124</v>
      </c>
    </row>
    <row r="4" customFormat="false" ht="15" hidden="false" customHeight="false" outlineLevel="0" collapsed="false">
      <c r="A4" s="2" t="s">
        <v>1125</v>
      </c>
    </row>
    <row r="5" customFormat="false" ht="15" hidden="false" customHeight="false" outlineLevel="0" collapsed="false">
      <c r="A5" s="15" t="s">
        <v>85</v>
      </c>
      <c r="B5" s="15" t="s">
        <v>86</v>
      </c>
      <c r="C5" s="16" t="s">
        <v>1126</v>
      </c>
      <c r="D5" s="16" t="s">
        <v>1127</v>
      </c>
      <c r="E5" s="16" t="s">
        <v>1128</v>
      </c>
      <c r="F5" s="16" t="s">
        <v>1129</v>
      </c>
      <c r="G5" s="16" t="s">
        <v>1130</v>
      </c>
      <c r="H5" s="15" t="s">
        <v>1131</v>
      </c>
    </row>
    <row r="6" customFormat="false" ht="15" hidden="false" customHeight="false" outlineLevel="0" collapsed="false">
      <c r="A6" s="3" t="s">
        <v>1132</v>
      </c>
      <c r="B6" s="12" t="s">
        <v>91</v>
      </c>
      <c r="C6" s="24" t="n">
        <v>1.028</v>
      </c>
      <c r="D6" s="24" t="n">
        <v>2.116</v>
      </c>
      <c r="E6" s="24" t="n">
        <v>2.306</v>
      </c>
      <c r="F6" s="24" t="n">
        <v>2.373</v>
      </c>
      <c r="G6" s="24" t="n">
        <v>2.289</v>
      </c>
      <c r="H6" s="24" t="n">
        <v>19.023</v>
      </c>
    </row>
    <row r="7" customFormat="false" ht="15" hidden="false" customHeight="false" outlineLevel="0" collapsed="false">
      <c r="A7" s="3" t="s">
        <v>1133</v>
      </c>
      <c r="B7" s="12" t="s">
        <v>91</v>
      </c>
      <c r="C7" s="24" t="n">
        <v>0.012</v>
      </c>
      <c r="D7" s="24" t="n">
        <v>0.223</v>
      </c>
      <c r="E7" s="24" t="n">
        <v>0</v>
      </c>
      <c r="F7" s="24" t="n">
        <v>0</v>
      </c>
      <c r="G7" s="24" t="n">
        <v>0</v>
      </c>
      <c r="H7" s="24" t="n">
        <v>0</v>
      </c>
    </row>
    <row r="8" customFormat="false" ht="15" hidden="false" customHeight="false" outlineLevel="0" collapsed="false">
      <c r="A8" s="2" t="s">
        <v>1134</v>
      </c>
      <c r="C8" s="55" t="n">
        <f aca="false">SUM(C6:C7)</f>
        <v>1.04</v>
      </c>
      <c r="D8" s="55" t="n">
        <f aca="false">SUM(D6:D7)</f>
        <v>2.339</v>
      </c>
      <c r="E8" s="55" t="n">
        <f aca="false">SUM(E6:E7)</f>
        <v>2.306</v>
      </c>
      <c r="F8" s="55" t="n">
        <f aca="false">SUM(F6:F7)</f>
        <v>2.373</v>
      </c>
      <c r="G8" s="55" t="n">
        <f aca="false">SUM(G6:G7)</f>
        <v>2.289</v>
      </c>
      <c r="H8" s="55" t="n">
        <f aca="false">SUM(H6:H7)</f>
        <v>19.023</v>
      </c>
      <c r="I8" s="7" t="s">
        <v>1135</v>
      </c>
    </row>
    <row r="10" customFormat="false" ht="15" hidden="false" customHeight="false" outlineLevel="0" collapsed="false">
      <c r="A10" s="2" t="s">
        <v>1136</v>
      </c>
    </row>
    <row r="11" customFormat="false" ht="15" hidden="false" customHeight="false" outlineLevel="0" collapsed="false">
      <c r="A11" s="15" t="s">
        <v>85</v>
      </c>
      <c r="B11" s="15" t="s">
        <v>86</v>
      </c>
      <c r="C11" s="16" t="s">
        <v>1126</v>
      </c>
      <c r="D11" s="16" t="s">
        <v>1127</v>
      </c>
      <c r="E11" s="16" t="s">
        <v>1128</v>
      </c>
      <c r="F11" s="16" t="s">
        <v>1129</v>
      </c>
      <c r="G11" s="16" t="s">
        <v>1130</v>
      </c>
      <c r="H11" s="15" t="s">
        <v>1131</v>
      </c>
    </row>
    <row r="12" customFormat="false" ht="15" hidden="false" customHeight="false" outlineLevel="0" collapsed="false">
      <c r="A12" s="3" t="s">
        <v>1137</v>
      </c>
      <c r="B12" s="12" t="s">
        <v>91</v>
      </c>
      <c r="C12" s="24" t="n">
        <v>4.413</v>
      </c>
      <c r="D12" s="24" t="n">
        <v>6.184</v>
      </c>
      <c r="E12" s="24" t="n">
        <v>4.416</v>
      </c>
      <c r="F12" s="24" t="n">
        <v>2.421</v>
      </c>
      <c r="G12" s="24" t="n">
        <v>3.221</v>
      </c>
      <c r="H12" s="24" t="n">
        <v>14.896</v>
      </c>
      <c r="I12" s="7" t="s">
        <v>1138</v>
      </c>
    </row>
    <row r="13" customFormat="false" ht="15" hidden="false" customHeight="false" outlineLevel="0" collapsed="false">
      <c r="A13" s="2" t="s">
        <v>1139</v>
      </c>
      <c r="C13" s="55" t="n">
        <f aca="false">SUM(C12:H12)</f>
        <v>35.551</v>
      </c>
    </row>
    <row r="15" customFormat="false" ht="15" hidden="false" customHeight="false" outlineLevel="0" collapsed="false">
      <c r="A15" s="2" t="s">
        <v>1140</v>
      </c>
    </row>
    <row r="16" customFormat="false" ht="15" hidden="false" customHeight="false" outlineLevel="0" collapsed="false">
      <c r="A16" s="15" t="s">
        <v>85</v>
      </c>
      <c r="B16" s="15" t="s">
        <v>86</v>
      </c>
      <c r="C16" s="15" t="s">
        <v>1141</v>
      </c>
      <c r="D16" s="15" t="s">
        <v>1142</v>
      </c>
      <c r="E16" s="15" t="s">
        <v>1143</v>
      </c>
      <c r="F16" s="15" t="s">
        <v>1144</v>
      </c>
    </row>
    <row r="17" customFormat="false" ht="15" hidden="false" customHeight="false" outlineLevel="0" collapsed="false">
      <c r="A17" s="3" t="s">
        <v>1145</v>
      </c>
      <c r="B17" s="12" t="s">
        <v>91</v>
      </c>
      <c r="C17" s="78" t="n">
        <v>35.5</v>
      </c>
      <c r="D17" s="12" t="s">
        <v>1146</v>
      </c>
      <c r="E17" s="7" t="s">
        <v>1147</v>
      </c>
      <c r="F17" s="7" t="s">
        <v>1148</v>
      </c>
    </row>
    <row r="18" customFormat="false" ht="15" hidden="false" customHeight="false" outlineLevel="0" collapsed="false">
      <c r="A18" s="3" t="s">
        <v>1149</v>
      </c>
      <c r="B18" s="12" t="s">
        <v>91</v>
      </c>
      <c r="C18" s="78" t="n">
        <v>14.7</v>
      </c>
      <c r="D18" s="12" t="s">
        <v>1150</v>
      </c>
      <c r="E18" s="7" t="s">
        <v>1147</v>
      </c>
      <c r="F18" s="7" t="s">
        <v>1148</v>
      </c>
    </row>
    <row r="19" customFormat="false" ht="15" hidden="false" customHeight="false" outlineLevel="0" collapsed="false">
      <c r="A19" s="3" t="s">
        <v>1151</v>
      </c>
      <c r="B19" s="12" t="s">
        <v>91</v>
      </c>
      <c r="C19" s="79" t="s">
        <v>1152</v>
      </c>
      <c r="D19" s="12" t="s">
        <v>1153</v>
      </c>
      <c r="E19" s="7" t="s">
        <v>1147</v>
      </c>
      <c r="F19" s="7" t="s">
        <v>1148</v>
      </c>
    </row>
    <row r="20" customFormat="false" ht="15" hidden="false" customHeight="false" outlineLevel="0" collapsed="false">
      <c r="A20" s="3" t="s">
        <v>1154</v>
      </c>
      <c r="B20" s="12" t="s">
        <v>91</v>
      </c>
      <c r="C20" s="78" t="n">
        <v>1.2</v>
      </c>
      <c r="D20" s="12" t="s">
        <v>1155</v>
      </c>
      <c r="E20" s="7" t="s">
        <v>1147</v>
      </c>
      <c r="F20" s="7" t="s">
        <v>1156</v>
      </c>
    </row>
    <row r="21" customFormat="false" ht="15" hidden="false" customHeight="false" outlineLevel="0" collapsed="false">
      <c r="A21" s="4" t="s">
        <v>1157</v>
      </c>
      <c r="B21" s="12" t="s">
        <v>91</v>
      </c>
      <c r="C21" s="78" t="n">
        <v>1.7</v>
      </c>
      <c r="D21" s="7" t="s">
        <v>1158</v>
      </c>
      <c r="E21" s="7" t="s">
        <v>1147</v>
      </c>
      <c r="F21" s="12" t="s">
        <v>1159</v>
      </c>
    </row>
    <row r="22" customFormat="false" ht="15" hidden="false" customHeight="false" outlineLevel="0" collapsed="false">
      <c r="A22" s="4" t="s">
        <v>1160</v>
      </c>
      <c r="B22" s="12" t="s">
        <v>91</v>
      </c>
      <c r="C22" s="78" t="n">
        <v>0.108</v>
      </c>
      <c r="D22" s="12" t="s">
        <v>1161</v>
      </c>
      <c r="E22" s="7" t="s">
        <v>1147</v>
      </c>
      <c r="F22" s="7" t="s">
        <v>1162</v>
      </c>
    </row>
    <row r="23" customFormat="false" ht="15" hidden="false" customHeight="false" outlineLevel="0" collapsed="false">
      <c r="A23" s="3" t="s">
        <v>1163</v>
      </c>
      <c r="B23" s="12" t="s">
        <v>91</v>
      </c>
      <c r="C23" s="78" t="n">
        <v>10.014</v>
      </c>
      <c r="D23" s="12" t="s">
        <v>1164</v>
      </c>
      <c r="E23" s="7" t="s">
        <v>1165</v>
      </c>
      <c r="F23" s="7" t="s">
        <v>1166</v>
      </c>
    </row>
    <row r="24" customFormat="false" ht="15" hidden="false" customHeight="false" outlineLevel="0" collapsed="false">
      <c r="A24" s="2" t="s">
        <v>1167</v>
      </c>
      <c r="C24" s="55" t="n">
        <f aca="false">C17+C18</f>
        <v>50.2</v>
      </c>
    </row>
    <row r="25" customFormat="false" ht="15" hidden="false" customHeight="false" outlineLevel="0" collapsed="false">
      <c r="A25" s="3" t="s">
        <v>1168</v>
      </c>
      <c r="C25" s="80" t="n">
        <f aca="false">SUM(各期收支!C11:G11)</f>
        <v>9.97089330024814</v>
      </c>
    </row>
    <row r="26" customFormat="false" ht="15" hidden="false" customHeight="false" outlineLevel="0" collapsed="false">
      <c r="A26" s="3" t="s">
        <v>1169</v>
      </c>
      <c r="C26" s="54" t="n">
        <f aca="false">各期收支!G11*12</f>
        <v>34.8184615384615</v>
      </c>
    </row>
    <row r="27" customFormat="false" ht="15" hidden="false" customHeight="false" outlineLevel="0" collapsed="false">
      <c r="A27" s="2" t="s">
        <v>1170</v>
      </c>
      <c r="C27" s="81" t="n">
        <f aca="false">(C25+C26)/C24</f>
        <v>0.892218223878679</v>
      </c>
      <c r="I27" s="12" t="s">
        <v>1171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6" t="s">
        <v>1172</v>
      </c>
    </row>
    <row r="2" customFormat="false" ht="15" hidden="false" customHeight="false" outlineLevel="0" collapsed="false">
      <c r="A2" s="7" t="s">
        <v>1173</v>
      </c>
    </row>
    <row r="4" customFormat="false" ht="15" hidden="false" customHeight="false" outlineLevel="0" collapsed="false">
      <c r="A4" s="15" t="s">
        <v>85</v>
      </c>
      <c r="B4" s="15" t="s">
        <v>86</v>
      </c>
      <c r="C4" s="27" t="s">
        <v>87</v>
      </c>
      <c r="D4" s="27" t="s">
        <v>88</v>
      </c>
      <c r="E4" s="27" t="s">
        <v>89</v>
      </c>
      <c r="F4" s="27" t="s">
        <v>169</v>
      </c>
      <c r="G4" s="27" t="s">
        <v>170</v>
      </c>
      <c r="I4" s="15" t="s">
        <v>602</v>
      </c>
    </row>
    <row r="5" customFormat="false" ht="15" hidden="false" customHeight="false" outlineLevel="0" collapsed="false">
      <c r="A5" s="48" t="s">
        <v>1174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1175</v>
      </c>
      <c r="B6" s="12" t="s">
        <v>91</v>
      </c>
      <c r="C6" s="39" t="n">
        <f aca="false">運營_產能與收入!C25</f>
        <v>8.113</v>
      </c>
      <c r="D6" s="39" t="n">
        <f aca="false">運營_產能與收入!D25</f>
        <v>25.1275</v>
      </c>
      <c r="E6" s="39" t="n">
        <f aca="false">運營_產能與收入!E25</f>
        <v>34.8694155</v>
      </c>
      <c r="F6" s="39" t="n">
        <f aca="false">運營_產能與收入!F25</f>
        <v>39.5638485</v>
      </c>
      <c r="G6" s="39" t="n">
        <f aca="false">運營_產能與收入!G25</f>
        <v>41.19393</v>
      </c>
      <c r="I6" s="7" t="s">
        <v>1176</v>
      </c>
    </row>
    <row r="7" customFormat="false" ht="15" hidden="false" customHeight="false" outlineLevel="1" collapsed="false">
      <c r="A7" s="3" t="s">
        <v>1177</v>
      </c>
      <c r="B7" s="12" t="s">
        <v>91</v>
      </c>
      <c r="C7" s="39" t="n">
        <f aca="false">輸入與假設!C$33</f>
        <v>0.3</v>
      </c>
      <c r="D7" s="39" t="n">
        <f aca="false">輸入與假設!D$33</f>
        <v>1</v>
      </c>
      <c r="E7" s="39" t="n">
        <f aca="false">輸入與假設!E$33</f>
        <v>1.8</v>
      </c>
      <c r="F7" s="39" t="n">
        <f aca="false">輸入與假設!F$33</f>
        <v>2.8</v>
      </c>
      <c r="G7" s="39" t="n">
        <f aca="false">輸入與假設!G$33</f>
        <v>3.8</v>
      </c>
    </row>
    <row r="8" customFormat="false" ht="15" hidden="false" customHeight="false" outlineLevel="1" collapsed="false">
      <c r="A8" s="2" t="s">
        <v>1178</v>
      </c>
      <c r="B8" s="12" t="s">
        <v>91</v>
      </c>
      <c r="C8" s="36" t="n">
        <f aca="false">C6+C7</f>
        <v>8.413</v>
      </c>
      <c r="D8" s="36" t="n">
        <f aca="false">D6+D7</f>
        <v>26.1275</v>
      </c>
      <c r="E8" s="36" t="n">
        <f aca="false">E6+E7</f>
        <v>36.6694155</v>
      </c>
      <c r="F8" s="36" t="n">
        <f aca="false">F6+F7</f>
        <v>42.3638485</v>
      </c>
      <c r="G8" s="36" t="n">
        <f aca="false">G6+G7</f>
        <v>44.99393</v>
      </c>
    </row>
    <row r="9" customFormat="false" ht="15" hidden="false" customHeight="false" outlineLevel="1" collapsed="false">
      <c r="A9" s="4" t="s">
        <v>227</v>
      </c>
      <c r="B9" s="12" t="s">
        <v>77</v>
      </c>
      <c r="C9" s="49" t="n">
        <f aca="false">輸入與假設!C$39</f>
        <v>0.59</v>
      </c>
      <c r="D9" s="49" t="n">
        <f aca="false">輸入與假設!D$39</f>
        <v>0.605</v>
      </c>
      <c r="E9" s="49" t="n">
        <f aca="false">輸入與假設!E$39</f>
        <v>0.62</v>
      </c>
      <c r="F9" s="49" t="n">
        <f aca="false">輸入與假設!F$39</f>
        <v>0.635</v>
      </c>
      <c r="G9" s="49" t="n">
        <f aca="false">輸入與假設!G$39</f>
        <v>0.65</v>
      </c>
    </row>
    <row r="10" customFormat="false" ht="15" hidden="false" customHeight="false" outlineLevel="1" collapsed="false">
      <c r="A10" s="3" t="s">
        <v>1179</v>
      </c>
      <c r="B10" s="12" t="s">
        <v>91</v>
      </c>
      <c r="C10" s="64" t="n">
        <f aca="false">C8*輸入與假設!C$39-輸入與假設!C$74</f>
        <v>0.200836666666667</v>
      </c>
      <c r="D10" s="64" t="n">
        <f aca="false">D8*輸入與假設!D$39-輸入與假設!D$74</f>
        <v>1.35055416666666</v>
      </c>
      <c r="E10" s="64" t="n">
        <f aca="false">E8*輸入與假設!E$39-輸入與假設!E$74</f>
        <v>2.63303761</v>
      </c>
      <c r="F10" s="64" t="n">
        <f aca="false">F8*輸入與假設!F$39-輸入與假設!F$74</f>
        <v>2.0815437975</v>
      </c>
      <c r="G10" s="64" t="n">
        <f aca="false">G8*輸入與假設!G$39-輸入與假設!G$74</f>
        <v>0.19072116666667</v>
      </c>
      <c r="I10" s="7" t="s">
        <v>1180</v>
      </c>
    </row>
    <row r="11" customFormat="false" ht="15" hidden="false" customHeight="false" outlineLevel="1" collapsed="false">
      <c r="A11" s="3" t="s">
        <v>1181</v>
      </c>
      <c r="B11" s="12" t="s">
        <v>91</v>
      </c>
      <c r="C11" s="39" t="n">
        <f aca="false">各期收支!C17</f>
        <v>2.37084859865945</v>
      </c>
      <c r="D11" s="39" t="n">
        <f aca="false">各期收支!D17</f>
        <v>6.53682712051508</v>
      </c>
      <c r="E11" s="39" t="n">
        <f aca="false">各期收支!E17</f>
        <v>7.60656661258536</v>
      </c>
      <c r="F11" s="39" t="n">
        <f aca="false">各期收支!F17</f>
        <v>7.60149206411395</v>
      </c>
      <c r="G11" s="39" t="n">
        <f aca="false">各期收支!G17</f>
        <v>8.01023455973222</v>
      </c>
    </row>
    <row r="12" customFormat="false" ht="15" hidden="false" customHeight="false" outlineLevel="1" collapsed="false">
      <c r="A12" s="3" t="s">
        <v>1182</v>
      </c>
      <c r="B12" s="12" t="s">
        <v>91</v>
      </c>
      <c r="C12" s="64" t="n">
        <f aca="false">C10-C11</f>
        <v>-2.17001193199279</v>
      </c>
      <c r="D12" s="64" t="n">
        <f aca="false">D10-D11</f>
        <v>-5.18627295384842</v>
      </c>
      <c r="E12" s="64" t="n">
        <f aca="false">E10-E11</f>
        <v>-4.97352900258536</v>
      </c>
      <c r="F12" s="64" t="n">
        <f aca="false">F10-F11</f>
        <v>-5.51994826661395</v>
      </c>
      <c r="G12" s="64" t="n">
        <f aca="false">G10-G11</f>
        <v>-7.81951339306555</v>
      </c>
    </row>
    <row r="13" customFormat="false" ht="15" hidden="false" customHeight="false" outlineLevel="1" collapsed="false">
      <c r="A13" s="4" t="s">
        <v>1183</v>
      </c>
      <c r="B13" s="12" t="s">
        <v>91</v>
      </c>
      <c r="C13" s="64" t="n">
        <f aca="false">輸入與假設!$C$105</f>
        <v>4</v>
      </c>
      <c r="D13" s="64" t="n">
        <f aca="false">C15</f>
        <v>6.17001193199279</v>
      </c>
      <c r="E13" s="64" t="n">
        <f aca="false">D15</f>
        <v>11.3562848858412</v>
      </c>
      <c r="F13" s="64" t="n">
        <f aca="false">E15</f>
        <v>16.3298138884266</v>
      </c>
      <c r="G13" s="64" t="n">
        <f aca="false">F15</f>
        <v>21.8497621550405</v>
      </c>
      <c r="I13" s="12" t="s">
        <v>1184</v>
      </c>
    </row>
    <row r="14" customFormat="false" ht="15" hidden="false" customHeight="false" outlineLevel="1" collapsed="false">
      <c r="A14" s="3" t="s">
        <v>1185</v>
      </c>
      <c r="B14" s="12" t="s">
        <v>91</v>
      </c>
      <c r="C14" s="64" t="n">
        <f aca="false">MIN(C13,MAX(0,C12)*0.8)</f>
        <v>0</v>
      </c>
      <c r="D14" s="64" t="n">
        <f aca="false">MIN(D13,MAX(0,D12)*0.8)</f>
        <v>0</v>
      </c>
      <c r="E14" s="64" t="n">
        <f aca="false">MIN(E13,MAX(0,E12)*0.8)</f>
        <v>0</v>
      </c>
      <c r="F14" s="64" t="n">
        <f aca="false">MIN(F13,MAX(0,F12)*0.8)</f>
        <v>0</v>
      </c>
      <c r="G14" s="64" t="n">
        <f aca="false">MIN(G13,MAX(0,G12)*0.8)</f>
        <v>0</v>
      </c>
      <c r="I14" s="7" t="s">
        <v>1186</v>
      </c>
    </row>
    <row r="15" customFormat="false" ht="15" hidden="false" customHeight="false" outlineLevel="1" collapsed="false">
      <c r="A15" s="4" t="s">
        <v>1187</v>
      </c>
      <c r="B15" s="12" t="s">
        <v>91</v>
      </c>
      <c r="C15" s="64" t="n">
        <f aca="false">C13-C14+MAX(0,-C12)</f>
        <v>6.17001193199279</v>
      </c>
      <c r="D15" s="64" t="n">
        <f aca="false">D13-D14+MAX(0,-D12)</f>
        <v>11.3562848858412</v>
      </c>
      <c r="E15" s="64" t="n">
        <f aca="false">E13-E14+MAX(0,-E12)</f>
        <v>16.3298138884266</v>
      </c>
      <c r="F15" s="64" t="n">
        <f aca="false">F13-F14+MAX(0,-F12)</f>
        <v>21.8497621550405</v>
      </c>
      <c r="G15" s="64" t="n">
        <f aca="false">G13-G14+MAX(0,-G12)</f>
        <v>29.6692755481061</v>
      </c>
    </row>
    <row r="16" customFormat="false" ht="15" hidden="false" customHeight="false" outlineLevel="1" collapsed="false">
      <c r="A16" s="3" t="s">
        <v>1188</v>
      </c>
      <c r="B16" s="12" t="s">
        <v>91</v>
      </c>
      <c r="C16" s="64" t="n">
        <f aca="false">MAX(0,C12-C14)*輸入與假設!$C$104</f>
        <v>0</v>
      </c>
      <c r="D16" s="64" t="n">
        <f aca="false">MAX(0,D12-D14)*輸入與假設!$C$104</f>
        <v>0</v>
      </c>
      <c r="E16" s="64" t="n">
        <f aca="false">MAX(0,E12-E14)*輸入與假設!$C$104</f>
        <v>0</v>
      </c>
      <c r="F16" s="64" t="n">
        <f aca="false">MAX(0,F12-F14)*輸入與假設!$C$104</f>
        <v>0</v>
      </c>
      <c r="G16" s="64" t="n">
        <f aca="false">MAX(0,G12-G14)*輸入與假設!$C$104</f>
        <v>0</v>
      </c>
      <c r="I16" s="7" t="s">
        <v>1189</v>
      </c>
    </row>
    <row r="17" customFormat="false" ht="15" hidden="false" customHeight="false" outlineLevel="1" collapsed="false">
      <c r="A17" s="2" t="s">
        <v>1190</v>
      </c>
      <c r="B17" s="12" t="s">
        <v>91</v>
      </c>
      <c r="C17" s="36" t="n">
        <f aca="false">C12-C16</f>
        <v>-2.17001193199279</v>
      </c>
      <c r="D17" s="36" t="n">
        <f aca="false">D12-D16</f>
        <v>-5.18627295384842</v>
      </c>
      <c r="E17" s="36" t="n">
        <f aca="false">E12-E16</f>
        <v>-4.97352900258536</v>
      </c>
      <c r="F17" s="36" t="n">
        <f aca="false">F12-F16</f>
        <v>-5.51994826661395</v>
      </c>
      <c r="G17" s="36" t="n">
        <f aca="false">G12-G16</f>
        <v>-7.81951339306555</v>
      </c>
    </row>
    <row r="18" customFormat="false" ht="15" hidden="false" customHeight="false" outlineLevel="1" collapsed="false">
      <c r="A18" s="4" t="s">
        <v>444</v>
      </c>
      <c r="B18" s="12" t="s">
        <v>91</v>
      </c>
      <c r="C18" s="39" t="n">
        <f aca="false">輸入與假設!C$74</f>
        <v>4.76283333333333</v>
      </c>
      <c r="D18" s="39" t="n">
        <f aca="false">輸入與假設!D$74</f>
        <v>14.4565833333333</v>
      </c>
      <c r="E18" s="39" t="n">
        <f aca="false">輸入與假設!E$74</f>
        <v>20.102</v>
      </c>
      <c r="F18" s="39" t="n">
        <f aca="false">輸入與假設!F$74</f>
        <v>24.8195</v>
      </c>
      <c r="G18" s="39" t="n">
        <f aca="false">輸入與假設!G$74</f>
        <v>29.0553333333333</v>
      </c>
      <c r="I18" s="7" t="s">
        <v>1191</v>
      </c>
    </row>
    <row r="19" customFormat="false" ht="15" hidden="false" customHeight="false" outlineLevel="1" collapsed="false">
      <c r="A19" s="5" t="s">
        <v>1192</v>
      </c>
      <c r="B19" s="12" t="s">
        <v>91</v>
      </c>
      <c r="C19" s="36" t="n">
        <f aca="false">C10+C18</f>
        <v>4.96367</v>
      </c>
      <c r="D19" s="36" t="n">
        <f aca="false">D10+D18</f>
        <v>15.8071375</v>
      </c>
      <c r="E19" s="36" t="n">
        <f aca="false">E10+E18</f>
        <v>22.73503761</v>
      </c>
      <c r="F19" s="36" t="n">
        <f aca="false">F10+F18</f>
        <v>26.9010437975</v>
      </c>
      <c r="G19" s="36" t="n">
        <f aca="false">G10+G18</f>
        <v>29.2460545</v>
      </c>
    </row>
    <row r="20" customFormat="false" ht="15" hidden="false" customHeight="false" outlineLevel="1" collapsed="false">
      <c r="A20" s="3" t="s">
        <v>1193</v>
      </c>
      <c r="B20" s="12" t="s">
        <v>332</v>
      </c>
      <c r="C20" s="82" t="n">
        <f aca="false">輸入與假設!$C$99</f>
        <v>0.587</v>
      </c>
      <c r="D20" s="82" t="n">
        <f aca="false">C20*(1+輸入與假設!$C$112)</f>
        <v>0.59287</v>
      </c>
      <c r="E20" s="82" t="n">
        <f aca="false">D20*(1+輸入與假設!$C$112)</f>
        <v>0.5987987</v>
      </c>
      <c r="F20" s="82" t="n">
        <f aca="false">E20*(1+輸入與假設!$C$112)</f>
        <v>0.604786687</v>
      </c>
      <c r="G20" s="82" t="n">
        <f aca="false">F20*(1+輸入與假設!$C$112)</f>
        <v>0.61083455387</v>
      </c>
      <c r="I20" s="12" t="s">
        <v>1194</v>
      </c>
    </row>
    <row r="21" customFormat="false" ht="15" hidden="false" customHeight="false" outlineLevel="1" collapsed="false">
      <c r="A21" s="3" t="s">
        <v>1195</v>
      </c>
      <c r="B21" s="12" t="s">
        <v>332</v>
      </c>
      <c r="C21" s="82" t="n">
        <f aca="false">C20+各期收支!C66</f>
        <v>0.587</v>
      </c>
      <c r="D21" s="82" t="n">
        <f aca="false">D20+各期收支!D66</f>
        <v>0.59287</v>
      </c>
      <c r="E21" s="82" t="n">
        <f aca="false">E20+各期收支!E66</f>
        <v>0.5987987</v>
      </c>
      <c r="F21" s="82" t="n">
        <f aca="false">F20+各期收支!F66</f>
        <v>0.711215719277325</v>
      </c>
      <c r="G21" s="82" t="n">
        <f aca="false">G20+各期收支!G66</f>
        <v>0.78226790498184</v>
      </c>
      <c r="I21" s="7" t="s">
        <v>1196</v>
      </c>
    </row>
    <row r="22" customFormat="false" ht="15" hidden="false" customHeight="false" outlineLevel="1" collapsed="false">
      <c r="A22" s="3" t="s">
        <v>1197</v>
      </c>
      <c r="B22" s="12" t="s">
        <v>74</v>
      </c>
      <c r="C22" s="51" t="n">
        <f aca="false">C17/C21</f>
        <v>-3.69678352980032</v>
      </c>
      <c r="D22" s="51" t="n">
        <f aca="false">D17/D21</f>
        <v>-8.74774057356321</v>
      </c>
      <c r="E22" s="51" t="n">
        <f aca="false">E17/E21</f>
        <v>-8.30584468968513</v>
      </c>
      <c r="F22" s="51" t="n">
        <f aca="false">F17/F21</f>
        <v>-7.76128552420472</v>
      </c>
      <c r="G22" s="51" t="n">
        <f aca="false">G17/G21</f>
        <v>-9.99595323196479</v>
      </c>
      <c r="I22" s="12" t="s">
        <v>1198</v>
      </c>
    </row>
    <row r="24" customFormat="false" ht="15" hidden="false" customHeight="false" outlineLevel="0" collapsed="false">
      <c r="A24" s="48" t="s">
        <v>1199</v>
      </c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1" collapsed="false">
      <c r="A25" s="4" t="s">
        <v>1200</v>
      </c>
      <c r="B25" s="12" t="s">
        <v>91</v>
      </c>
      <c r="C25" s="39" t="n">
        <f aca="false">輸入與假設!$C$154</f>
        <v>4.653</v>
      </c>
      <c r="D25" s="39" t="n">
        <f aca="false">0</f>
        <v>0</v>
      </c>
      <c r="E25" s="39" t="n">
        <f aca="false">0</f>
        <v>0</v>
      </c>
      <c r="F25" s="39" t="n">
        <f aca="false">0</f>
        <v>0</v>
      </c>
      <c r="G25" s="39" t="n">
        <f aca="false">0</f>
        <v>0</v>
      </c>
    </row>
    <row r="26" customFormat="false" ht="15" hidden="false" customHeight="false" outlineLevel="1" collapsed="false">
      <c r="A26" s="2" t="s">
        <v>1201</v>
      </c>
      <c r="B26" s="12" t="s">
        <v>91</v>
      </c>
      <c r="C26" s="36" t="n">
        <f aca="false">C25+C8</f>
        <v>13.066</v>
      </c>
      <c r="D26" s="36" t="n">
        <f aca="false">D25+D8</f>
        <v>26.1275</v>
      </c>
      <c r="E26" s="36" t="n">
        <f aca="false">E25+E8</f>
        <v>36.6694155</v>
      </c>
      <c r="F26" s="36" t="n">
        <f aca="false">F25+F8</f>
        <v>42.3638485</v>
      </c>
      <c r="G26" s="36" t="n">
        <f aca="false">G25+G8</f>
        <v>44.99393</v>
      </c>
      <c r="I26" s="12" t="s">
        <v>1202</v>
      </c>
    </row>
    <row r="27" customFormat="false" ht="15" hidden="false" customHeight="false" outlineLevel="1" collapsed="false">
      <c r="A27" s="3" t="s">
        <v>1203</v>
      </c>
      <c r="B27" s="12" t="s">
        <v>77</v>
      </c>
      <c r="C27" s="65" t="n">
        <f aca="false">C26/5.131-1</f>
        <v>1.54648216721887</v>
      </c>
      <c r="D27" s="65" t="n">
        <f aca="false">D26/C26-1</f>
        <v>0.999655594673198</v>
      </c>
      <c r="E27" s="65" t="n">
        <f aca="false">E26/D26-1</f>
        <v>0.403479686154435</v>
      </c>
      <c r="F27" s="65" t="n">
        <f aca="false">F26/E26-1</f>
        <v>0.155291076292176</v>
      </c>
      <c r="G27" s="65" t="n">
        <f aca="false">G26/F26-1</f>
        <v>0.0620831580020405</v>
      </c>
      <c r="I27" s="12" t="s">
        <v>1204</v>
      </c>
    </row>
    <row r="28" customFormat="false" ht="15" hidden="false" customHeight="false" outlineLevel="1" collapsed="false">
      <c r="A28" s="3" t="s">
        <v>1205</v>
      </c>
      <c r="B28" s="12" t="s">
        <v>91</v>
      </c>
      <c r="C28" s="64" t="n">
        <f aca="false">輸入與假設!$C$155+C10</f>
        <v>0.00783666666666655</v>
      </c>
      <c r="D28" s="64" t="n">
        <f aca="false">D10</f>
        <v>1.35055416666666</v>
      </c>
      <c r="E28" s="64" t="n">
        <f aca="false">E10</f>
        <v>2.63303761</v>
      </c>
      <c r="F28" s="64" t="n">
        <f aca="false">F10</f>
        <v>2.0815437975</v>
      </c>
      <c r="G28" s="64" t="n">
        <f aca="false">G10</f>
        <v>0.19072116666667</v>
      </c>
    </row>
    <row r="29" customFormat="false" ht="15" hidden="false" customHeight="false" outlineLevel="1" collapsed="false">
      <c r="A29" s="3" t="s">
        <v>1206</v>
      </c>
      <c r="B29" s="12" t="s">
        <v>77</v>
      </c>
      <c r="C29" s="65" t="n">
        <f aca="false">C28/C26</f>
        <v>0.000599775498749927</v>
      </c>
      <c r="D29" s="65" t="n">
        <f aca="false">D28/D26</f>
        <v>0.0516909067712817</v>
      </c>
      <c r="E29" s="65" t="n">
        <f aca="false">E28/E26</f>
        <v>0.0718047335660422</v>
      </c>
      <c r="F29" s="65" t="n">
        <f aca="false">F28/F26</f>
        <v>0.0491349079746615</v>
      </c>
      <c r="G29" s="65" t="n">
        <f aca="false">G28/G26</f>
        <v>0.00423881991785714</v>
      </c>
    </row>
    <row r="30" customFormat="false" ht="15" hidden="false" customHeight="false" outlineLevel="1" collapsed="false">
      <c r="A30" s="3" t="s">
        <v>1207</v>
      </c>
      <c r="B30" s="12" t="s">
        <v>91</v>
      </c>
      <c r="C30" s="64" t="n">
        <f aca="false">輸入與假設!$C$158+C18</f>
        <v>7.30283333333333</v>
      </c>
      <c r="D30" s="64" t="n">
        <f aca="false">D18</f>
        <v>14.4565833333333</v>
      </c>
      <c r="E30" s="64" t="n">
        <f aca="false">E18</f>
        <v>20.102</v>
      </c>
      <c r="F30" s="64" t="n">
        <f aca="false">F18</f>
        <v>24.8195</v>
      </c>
      <c r="G30" s="64" t="n">
        <f aca="false">G18</f>
        <v>29.0553333333333</v>
      </c>
      <c r="I30" s="12" t="s">
        <v>1208</v>
      </c>
    </row>
    <row r="31" customFormat="false" ht="15" hidden="false" customHeight="false" outlineLevel="1" collapsed="false">
      <c r="A31" s="2" t="s">
        <v>1209</v>
      </c>
      <c r="B31" s="12" t="s">
        <v>91</v>
      </c>
      <c r="C31" s="36" t="n">
        <f aca="false">C28+C30</f>
        <v>7.31067</v>
      </c>
      <c r="D31" s="36" t="n">
        <f aca="false">D28+D30</f>
        <v>15.8071375</v>
      </c>
      <c r="E31" s="36" t="n">
        <f aca="false">E28+E30</f>
        <v>22.73503761</v>
      </c>
      <c r="F31" s="36" t="n">
        <f aca="false">F28+F30</f>
        <v>26.9010437975</v>
      </c>
      <c r="G31" s="36" t="n">
        <f aca="false">G28+G30</f>
        <v>29.2460545</v>
      </c>
    </row>
    <row r="32" customFormat="false" ht="15" hidden="false" customHeight="false" outlineLevel="1" collapsed="false">
      <c r="A32" s="3" t="s">
        <v>1210</v>
      </c>
      <c r="B32" s="12" t="s">
        <v>91</v>
      </c>
      <c r="C32" s="64" t="n">
        <f aca="false">輸入與假設!$C$152+C11</f>
        <v>3.54684859865945</v>
      </c>
      <c r="D32" s="64" t="n">
        <f aca="false">D11</f>
        <v>6.53682712051508</v>
      </c>
      <c r="E32" s="64" t="n">
        <f aca="false">E11</f>
        <v>7.60656661258536</v>
      </c>
      <c r="F32" s="64" t="n">
        <f aca="false">F11</f>
        <v>7.60149206411395</v>
      </c>
      <c r="G32" s="64" t="n">
        <f aca="false">G11</f>
        <v>8.01023455973222</v>
      </c>
      <c r="I32" s="12" t="s">
        <v>1211</v>
      </c>
    </row>
    <row r="33" customFormat="false" ht="15" hidden="false" customHeight="false" outlineLevel="1" collapsed="false">
      <c r="A33" s="2" t="s">
        <v>1212</v>
      </c>
      <c r="B33" s="12" t="s">
        <v>91</v>
      </c>
      <c r="C33" s="36" t="n">
        <f aca="false">輸入與假設!$C$156+C17</f>
        <v>-3.53601193199279</v>
      </c>
      <c r="D33" s="36" t="n">
        <f aca="false">D17</f>
        <v>-5.18627295384842</v>
      </c>
      <c r="E33" s="36" t="n">
        <f aca="false">E17</f>
        <v>-4.97352900258536</v>
      </c>
      <c r="F33" s="36" t="n">
        <f aca="false">F17</f>
        <v>-5.51994826661395</v>
      </c>
      <c r="G33" s="36" t="n">
        <f aca="false">G17</f>
        <v>-7.81951339306555</v>
      </c>
    </row>
    <row r="34" customFormat="false" ht="15" hidden="false" customHeight="false" outlineLevel="1" collapsed="false">
      <c r="A34" s="3" t="s">
        <v>1213</v>
      </c>
      <c r="B34" s="12" t="s">
        <v>77</v>
      </c>
      <c r="C34" s="65" t="n">
        <f aca="false">C33/C26</f>
        <v>-0.270626965558915</v>
      </c>
      <c r="D34" s="65" t="n">
        <f aca="false">D33/D26</f>
        <v>-0.198498629943486</v>
      </c>
      <c r="E34" s="65" t="n">
        <f aca="false">E33/E26</f>
        <v>-0.135631532021157</v>
      </c>
      <c r="F34" s="65" t="n">
        <f aca="false">F33/F26</f>
        <v>-0.130298555538786</v>
      </c>
      <c r="G34" s="65" t="n">
        <f aca="false">G33/G26</f>
        <v>-0.173790406685203</v>
      </c>
    </row>
    <row r="35" customFormat="false" ht="15" hidden="false" customHeight="false" outlineLevel="1" collapsed="false">
      <c r="A35" s="2" t="s">
        <v>1214</v>
      </c>
      <c r="B35" s="12" t="s">
        <v>74</v>
      </c>
      <c r="C35" s="83" t="n">
        <f aca="false">輸入與假設!$C$160+C17/C21</f>
        <v>-6.22678352980032</v>
      </c>
      <c r="D35" s="83" t="n">
        <f aca="false">D17/D21</f>
        <v>-8.74774057356321</v>
      </c>
      <c r="E35" s="83" t="n">
        <f aca="false">E17/E21</f>
        <v>-8.30584468968513</v>
      </c>
      <c r="F35" s="83" t="n">
        <f aca="false">F17/F21</f>
        <v>-7.76128552420472</v>
      </c>
      <c r="G35" s="83" t="n">
        <f aca="false">G17/G21</f>
        <v>-9.99595323196479</v>
      </c>
      <c r="I35" s="12" t="s">
        <v>1215</v>
      </c>
    </row>
    <row r="36" customFormat="false" ht="15" hidden="false" customHeight="false" outlineLevel="1" collapsed="false">
      <c r="A36" s="3" t="s">
        <v>1216</v>
      </c>
      <c r="B36" s="12" t="s">
        <v>74</v>
      </c>
      <c r="C36" s="51" t="n">
        <f aca="false">輸入與假設!$C$161+(C17+輸入與假設!$C$113*輸入與假設!C$24)/C21</f>
        <v>-5.04053140032843</v>
      </c>
      <c r="D36" s="51" t="n">
        <f aca="false">(D17+輸入與假設!$C$113*輸入與假設!D$24)/D21</f>
        <v>-7.56704328748026</v>
      </c>
      <c r="E36" s="51" t="n">
        <f aca="false">(E17+輸入與假設!$C$113*輸入與假設!E$24)/E21</f>
        <v>-7.13683747574161</v>
      </c>
      <c r="F36" s="51" t="n">
        <f aca="false">(F17+輸入與假設!$C$113*輸入與假設!F$24)/F21</f>
        <v>-6.77705530962049</v>
      </c>
      <c r="G36" s="51" t="n">
        <f aca="false">(G17+輸入與假設!$C$113*輸入與假設!G$24)/G21</f>
        <v>-9.1011191277633</v>
      </c>
      <c r="I36" s="7" t="s">
        <v>1217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9.4" hidden="false" customHeight="false" outlineLevel="0" collapsed="false">
      <c r="A1" s="6" t="s">
        <v>1218</v>
      </c>
    </row>
    <row r="2" customFormat="false" ht="15" hidden="false" customHeight="false" outlineLevel="0" collapsed="false">
      <c r="A2" s="7" t="s">
        <v>1219</v>
      </c>
    </row>
    <row r="4" customFormat="false" ht="15" hidden="false" customHeight="false" outlineLevel="0" collapsed="false">
      <c r="A4" s="15" t="s">
        <v>85</v>
      </c>
      <c r="B4" s="15" t="s">
        <v>86</v>
      </c>
      <c r="C4" s="27" t="s">
        <v>87</v>
      </c>
      <c r="D4" s="27" t="s">
        <v>88</v>
      </c>
      <c r="E4" s="27" t="s">
        <v>89</v>
      </c>
      <c r="F4" s="27" t="s">
        <v>169</v>
      </c>
      <c r="G4" s="27" t="s">
        <v>170</v>
      </c>
      <c r="I4" s="15" t="s">
        <v>602</v>
      </c>
    </row>
    <row r="5" customFormat="false" ht="15" hidden="false" customHeight="false" outlineLevel="0" collapsed="false">
      <c r="A5" s="8" t="s">
        <v>1220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1221</v>
      </c>
      <c r="B6" s="12" t="s">
        <v>91</v>
      </c>
      <c r="C6" s="64" t="n">
        <f aca="false">輸入與假設!C$73-各期收支!C8</f>
        <v>19.16912</v>
      </c>
      <c r="D6" s="64" t="n">
        <f aca="false">輸入與假設!D$73-各期收支!D8</f>
        <v>35.2682</v>
      </c>
      <c r="E6" s="64" t="n">
        <f aca="false">輸入與假設!E$73-各期收支!E8</f>
        <v>27.0572</v>
      </c>
      <c r="F6" s="64" t="n">
        <f aca="false">輸入與假設!F$73-各期收支!F8</f>
        <v>28.152</v>
      </c>
      <c r="G6" s="64" t="n">
        <f aca="false">輸入與假設!G$73-各期收支!G8</f>
        <v>29.8724</v>
      </c>
      <c r="I6" s="12" t="s">
        <v>1222</v>
      </c>
    </row>
    <row r="7" customFormat="false" ht="15" hidden="false" customHeight="false" outlineLevel="1" collapsed="false">
      <c r="A7" s="3" t="s">
        <v>1223</v>
      </c>
      <c r="B7" s="12" t="s">
        <v>91</v>
      </c>
      <c r="C7" s="64" t="n">
        <f aca="false">5.131</f>
        <v>5.131</v>
      </c>
      <c r="D7" s="64" t="n">
        <f aca="false">4.653+損益!C8</f>
        <v>13.066</v>
      </c>
      <c r="E7" s="64" t="n">
        <f aca="false">損益!D8</f>
        <v>26.1275</v>
      </c>
      <c r="F7" s="64" t="n">
        <f aca="false">損益!E8</f>
        <v>36.6694155</v>
      </c>
      <c r="G7" s="64" t="n">
        <f aca="false">損益!F8</f>
        <v>42.3638485</v>
      </c>
      <c r="I7" s="12" t="s">
        <v>1224</v>
      </c>
    </row>
    <row r="8" customFormat="false" ht="15" hidden="false" customHeight="false" outlineLevel="1" collapsed="false">
      <c r="A8" s="3" t="s">
        <v>1225</v>
      </c>
      <c r="B8" s="12" t="s">
        <v>91</v>
      </c>
      <c r="C8" s="64" t="n">
        <f aca="false">0.02*MAX(0,損益!C8-C7)</f>
        <v>0.06564</v>
      </c>
      <c r="D8" s="64" t="n">
        <f aca="false">0.02*MAX(0,損益!D8-D7)</f>
        <v>0.26123</v>
      </c>
      <c r="E8" s="64" t="n">
        <f aca="false">0.02*MAX(0,損益!E8-E7)</f>
        <v>0.21083831</v>
      </c>
      <c r="F8" s="64" t="n">
        <f aca="false">0.02*MAX(0,損益!F8-F7)</f>
        <v>0.11388866</v>
      </c>
      <c r="G8" s="64" t="n">
        <f aca="false">0.02*MAX(0,損益!G8-G7)</f>
        <v>0.0526016300000001</v>
      </c>
      <c r="I8" s="7" t="s">
        <v>1226</v>
      </c>
    </row>
    <row r="9" customFormat="false" ht="15" hidden="false" customHeight="false" outlineLevel="1" collapsed="false">
      <c r="A9" s="3" t="s">
        <v>1227</v>
      </c>
      <c r="B9" s="12" t="s">
        <v>91</v>
      </c>
      <c r="C9" s="64" t="n">
        <f aca="false">輸入與假設!$C$105</f>
        <v>4</v>
      </c>
      <c r="D9" s="64" t="n">
        <f aca="false">C11</f>
        <v>3.83933066666667</v>
      </c>
      <c r="E9" s="64" t="n">
        <f aca="false">D11</f>
        <v>2.75888733333334</v>
      </c>
      <c r="F9" s="64" t="n">
        <f aca="false">E11</f>
        <v>0.652457245333336</v>
      </c>
      <c r="G9" s="64" t="n">
        <f aca="false">F11</f>
        <v>0</v>
      </c>
      <c r="I9" s="12" t="s">
        <v>1228</v>
      </c>
    </row>
    <row r="10" customFormat="false" ht="15" hidden="false" customHeight="false" outlineLevel="1" collapsed="false">
      <c r="A10" s="3" t="s">
        <v>1229</v>
      </c>
      <c r="B10" s="12" t="s">
        <v>91</v>
      </c>
      <c r="C10" s="64" t="n">
        <f aca="false">MIN(C9,MAX(0,損益!C10)*0.8)</f>
        <v>0.160669333333333</v>
      </c>
      <c r="D10" s="64" t="n">
        <f aca="false">MIN(D9,MAX(0,損益!D10)*0.8)</f>
        <v>1.08044333333333</v>
      </c>
      <c r="E10" s="64" t="n">
        <f aca="false">MIN(E9,MAX(0,損益!E10)*0.8)</f>
        <v>2.106430088</v>
      </c>
      <c r="F10" s="64" t="n">
        <f aca="false">MIN(F9,MAX(0,損益!F10)*0.8)</f>
        <v>0.652457245333336</v>
      </c>
      <c r="G10" s="64" t="n">
        <f aca="false">MIN(G9,MAX(0,損益!G10)*0.8)</f>
        <v>0</v>
      </c>
    </row>
    <row r="11" customFormat="false" ht="15" hidden="false" customHeight="false" outlineLevel="1" collapsed="false">
      <c r="A11" s="3" t="s">
        <v>1230</v>
      </c>
      <c r="B11" s="12" t="s">
        <v>91</v>
      </c>
      <c r="C11" s="64" t="n">
        <f aca="false">C9-C10+MAX(0,-損益!C10)</f>
        <v>3.83933066666667</v>
      </c>
      <c r="D11" s="64" t="n">
        <f aca="false">D9-D10+MAX(0,-損益!D10)</f>
        <v>2.75888733333334</v>
      </c>
      <c r="E11" s="64" t="n">
        <f aca="false">E9-E10+MAX(0,-損益!E10)</f>
        <v>0.652457245333336</v>
      </c>
      <c r="F11" s="64" t="n">
        <f aca="false">F9-F10+MAX(0,-損益!F10)</f>
        <v>0</v>
      </c>
      <c r="G11" s="64" t="n">
        <f aca="false">G9-G10+MAX(0,-損益!G10)</f>
        <v>0</v>
      </c>
    </row>
    <row r="12" customFormat="false" ht="15" hidden="false" customHeight="false" outlineLevel="1" collapsed="false">
      <c r="A12" s="3" t="s">
        <v>1231</v>
      </c>
      <c r="B12" s="12" t="s">
        <v>91</v>
      </c>
      <c r="C12" s="64" t="n">
        <f aca="false">MAX(0,損益!C10-C10)*輸入與假設!$C$104</f>
        <v>0.00843513999999999</v>
      </c>
      <c r="D12" s="64" t="n">
        <f aca="false">MAX(0,損益!D10-D10)*輸入與假設!$C$104</f>
        <v>0.0567232749999999</v>
      </c>
      <c r="E12" s="64" t="n">
        <f aca="false">MAX(0,損益!E10-E10)*輸入與假設!$C$104</f>
        <v>0.11058757962</v>
      </c>
      <c r="F12" s="64" t="n">
        <f aca="false">MAX(0,損益!F10-F10)*輸入與假設!$C$104</f>
        <v>0.300108175954999</v>
      </c>
      <c r="G12" s="64" t="n">
        <f aca="false">MAX(0,損益!G10-G10)*輸入與假設!$C$104</f>
        <v>0.0400514450000006</v>
      </c>
      <c r="I12" s="7" t="s">
        <v>1232</v>
      </c>
    </row>
    <row r="13" customFormat="false" ht="15" hidden="false" customHeight="false" outlineLevel="1" collapsed="false">
      <c r="A13" s="5" t="s">
        <v>1233</v>
      </c>
      <c r="B13" s="12" t="s">
        <v>91</v>
      </c>
      <c r="C13" s="36" t="n">
        <f aca="false">損益!C10-C12+損益!C18-C6-C8</f>
        <v>-14.27952514</v>
      </c>
      <c r="D13" s="36" t="n">
        <f aca="false">損益!D10-D12+損益!D18-D6-D8</f>
        <v>-19.779015775</v>
      </c>
      <c r="E13" s="36" t="n">
        <f aca="false">損益!E10-E12+損益!E18-E6-E8</f>
        <v>-4.64358827962</v>
      </c>
      <c r="F13" s="36" t="n">
        <f aca="false">損益!F10-F12+損益!F18-F6-F8</f>
        <v>-1.664953038455</v>
      </c>
      <c r="G13" s="36" t="n">
        <f aca="false">損益!G10-G12+損益!G18-G6-G8</f>
        <v>-0.718998574999995</v>
      </c>
      <c r="I13" s="7" t="s">
        <v>1234</v>
      </c>
    </row>
    <row r="14" customFormat="false" ht="15" hidden="false" customHeight="false" outlineLevel="1" collapsed="false">
      <c r="A14" s="3" t="s">
        <v>1235</v>
      </c>
      <c r="B14" s="7" t="s">
        <v>248</v>
      </c>
      <c r="C14" s="84" t="n">
        <f aca="false">輸入與假設!$C$131</f>
        <v>0.5</v>
      </c>
      <c r="D14" s="84" t="n">
        <f aca="false">輸入與假設!$D$131</f>
        <v>1.5</v>
      </c>
      <c r="E14" s="84" t="n">
        <f aca="false">輸入與假設!$E$131</f>
        <v>2.5</v>
      </c>
      <c r="F14" s="84" t="n">
        <f aca="false">輸入與假設!$F$131</f>
        <v>3.5</v>
      </c>
      <c r="G14" s="84" t="n">
        <f aca="false">輸入與假設!$G$131</f>
        <v>4.5</v>
      </c>
      <c r="I14" s="7" t="s">
        <v>1236</v>
      </c>
    </row>
    <row r="15" customFormat="false" ht="15" hidden="false" customHeight="false" outlineLevel="1" collapsed="false">
      <c r="A15" s="3" t="s">
        <v>1237</v>
      </c>
      <c r="B15" s="7"/>
      <c r="C15" s="52" t="n">
        <f aca="false">1/(1+輸入與假設!$C$101)^C14</f>
        <v>0.949157995752499</v>
      </c>
      <c r="D15" s="52" t="n">
        <f aca="false">1/(1+輸入與假設!$C$101)^D14</f>
        <v>0.85509729347072</v>
      </c>
      <c r="E15" s="52" t="n">
        <f aca="false">1/(1+輸入與假設!$C$101)^E14</f>
        <v>0.770357922045693</v>
      </c>
      <c r="F15" s="52" t="n">
        <f aca="false">1/(1+輸入與假設!$C$101)^F14</f>
        <v>0.694016145987111</v>
      </c>
      <c r="G15" s="52" t="n">
        <f aca="false">1/(1+輸入與假設!$C$101)^G14</f>
        <v>0.62523977115956</v>
      </c>
    </row>
    <row r="16" customFormat="false" ht="15" hidden="false" customHeight="false" outlineLevel="1" collapsed="false">
      <c r="A16" s="4" t="s">
        <v>1238</v>
      </c>
      <c r="B16" s="12" t="s">
        <v>91</v>
      </c>
      <c r="C16" s="64" t="n">
        <f aca="false">C13*C15</f>
        <v>-13.5535254621798</v>
      </c>
      <c r="D16" s="64" t="n">
        <f aca="false">D13*D15</f>
        <v>-16.9129828567172</v>
      </c>
      <c r="E16" s="64" t="n">
        <f aca="false">E13*E15</f>
        <v>-3.5772250179238</v>
      </c>
      <c r="F16" s="64" t="n">
        <f aca="false">F13*F15</f>
        <v>-1.15550429099807</v>
      </c>
      <c r="G16" s="64" t="n">
        <f aca="false">G13*G15</f>
        <v>-0.449546504497047</v>
      </c>
    </row>
    <row r="17" customFormat="false" ht="15" hidden="false" customHeight="false" outlineLevel="1" collapsed="false"/>
    <row r="18" customFormat="false" ht="15" hidden="false" customHeight="false" outlineLevel="1" collapsed="false">
      <c r="A18" s="3" t="s">
        <v>1239</v>
      </c>
      <c r="C18" s="11" t="n">
        <f aca="false">SUM(C16:G16)</f>
        <v>-35.6487841323159</v>
      </c>
      <c r="I18" s="7" t="s">
        <v>1240</v>
      </c>
    </row>
    <row r="19" customFormat="false" ht="15" hidden="false" customHeight="false" outlineLevel="1" collapsed="false">
      <c r="A19" s="3" t="s">
        <v>1241</v>
      </c>
      <c r="C19" s="11" t="n">
        <f aca="false">損益!G10*(1-輸入與假設!$C$104)+損益!G18-損益!G18*輸入與假設!$C$103</f>
        <v>5.96173638833334</v>
      </c>
      <c r="I19" s="7" t="s">
        <v>1242</v>
      </c>
    </row>
    <row r="20" customFormat="false" ht="15" hidden="false" customHeight="false" outlineLevel="1" collapsed="false">
      <c r="A20" s="3" t="s">
        <v>1243</v>
      </c>
      <c r="C20" s="54" t="n">
        <f aca="false">IF(C29=1,0,C19*(1+輸入與假設!$C$102)/(輸入與假設!$C$101-輸入與假設!$C$102))</f>
        <v>76.7573559997917</v>
      </c>
      <c r="I20" s="7" t="s">
        <v>1244</v>
      </c>
    </row>
    <row r="21" customFormat="false" ht="15" hidden="false" customHeight="false" outlineLevel="1" collapsed="false">
      <c r="A21" s="3" t="s">
        <v>1245</v>
      </c>
      <c r="C21" s="54" t="n">
        <f aca="false">C20*G15</f>
        <v>47.9917517001226</v>
      </c>
    </row>
    <row r="22" customFormat="false" ht="15" hidden="false" customHeight="false" outlineLevel="1" collapsed="false">
      <c r="A22" s="3" t="s">
        <v>1246</v>
      </c>
      <c r="C22" s="54" t="n">
        <f aca="false">C18+C21</f>
        <v>12.3429675678067</v>
      </c>
    </row>
    <row r="23" customFormat="false" ht="15" hidden="false" customHeight="false" outlineLevel="1" collapsed="false">
      <c r="A23" s="3" t="s">
        <v>1247</v>
      </c>
      <c r="C23" s="11" t="n">
        <f aca="false">-輸入與假設!$C$100</f>
        <v>-30</v>
      </c>
      <c r="I23" s="12" t="s">
        <v>1248</v>
      </c>
    </row>
    <row r="24" customFormat="false" ht="15" hidden="false" customHeight="false" outlineLevel="1" collapsed="false">
      <c r="A24" s="3" t="s">
        <v>1249</v>
      </c>
      <c r="C24" s="54" t="n">
        <f aca="false">C22+C23</f>
        <v>-17.6570324321933</v>
      </c>
    </row>
    <row r="25" customFormat="false" ht="15" hidden="false" customHeight="false" outlineLevel="1" collapsed="false">
      <c r="A25" s="5" t="s">
        <v>1250</v>
      </c>
      <c r="C25" s="85" t="n">
        <f aca="false">IF(C29=1,0,IF(輸入與假設!$C$115=2,C31,C30))</f>
        <v>0</v>
      </c>
      <c r="I25" s="7" t="s">
        <v>1251</v>
      </c>
    </row>
    <row r="26" customFormat="false" ht="15" hidden="false" customHeight="false" outlineLevel="1" collapsed="false">
      <c r="A26" s="3" t="s">
        <v>1252</v>
      </c>
      <c r="C26" s="28" t="n">
        <f aca="false">C21/C22</f>
        <v>3.88818583833082</v>
      </c>
      <c r="I26" s="7" t="str">
        <f aca="false">"超過 "&amp;IF(ROUND(ABS(輸入與假設!$C$140)*100,4)=INT(ROUND(ABS(輸入與假設!$C$140)*100,4)),TEXT(ROUND(ABS(輸入與假設!$C$140)*100,4),"0"),TEXT(ROUND(ABS(輸入與假設!$C$140)*100,4),"0.0"))&amp;"%"&amp;" 表示結論由終值假設決定，不由現金流決定"</f>
        <v>超過 85% 表示結論由終值假設決定，不由現金流決定</v>
      </c>
    </row>
    <row r="27" customFormat="false" ht="15" hidden="false" customHeight="false" outlineLevel="1" collapsed="false">
      <c r="A27" s="3" t="s">
        <v>1253</v>
      </c>
      <c r="C27" s="54" t="n">
        <f aca="false">各期收支!C61/(1+輸入與假設!$C$101)^輸入與假設!$C$132+各期收支!D61/(1+輸入與假設!$C$101)^輸入與假設!$D$132+各期收支!E61/(1+輸入與假設!$C$101)^輸入與假設!$E$132+各期收支!F61/(1+輸入與假設!$C$101)^輸入與假設!$F$132+各期收支!G61/(1+輸入與假設!$C$101)^輸入與假設!$G$132</f>
        <v>10.3101730853366</v>
      </c>
      <c r="I27" s="7" t="s">
        <v>1254</v>
      </c>
    </row>
    <row r="28" customFormat="false" ht="15" hidden="false" customHeight="false" outlineLevel="1" collapsed="false">
      <c r="A28" s="3" t="s">
        <v>1255</v>
      </c>
      <c r="C28" s="86" t="n">
        <f aca="false">輸入與假設!$C$99+各期收支!G66</f>
        <v>0.75843335111184</v>
      </c>
    </row>
    <row r="29" customFormat="false" ht="15" hidden="false" customHeight="false" outlineLevel="1" collapsed="false">
      <c r="A29" s="4" t="s">
        <v>1256</v>
      </c>
      <c r="C29" s="44" t="n">
        <f aca="false">IF(OR(輸入與假設!$C$101&lt;=輸入與假設!$C$102,C19&lt;=0),1,0)</f>
        <v>0</v>
      </c>
      <c r="I29" s="12" t="s">
        <v>1257</v>
      </c>
    </row>
    <row r="30" customFormat="false" ht="15" hidden="false" customHeight="false" outlineLevel="1" collapsed="false">
      <c r="A30" s="5" t="s">
        <v>1258</v>
      </c>
      <c r="C30" s="43" t="n">
        <f aca="false">MAX(0,(C24+C27)/C28)</f>
        <v>0</v>
      </c>
    </row>
    <row r="31" customFormat="false" ht="15" hidden="false" customHeight="false" outlineLevel="1" collapsed="false">
      <c r="A31" s="5" t="s">
        <v>1259</v>
      </c>
      <c r="C31" s="43" t="n">
        <f aca="false">IF((C22+C27)&lt;=0,0,((C22+C27)*NORMSDIST(C32)-輸入與假設!$C$100*EXP(-輸入與假設!$C$117*輸入與假設!$C$118)*NORMSDIST(C33))/C28)</f>
        <v>11.177762922225</v>
      </c>
      <c r="I31" s="12" t="s">
        <v>1260</v>
      </c>
    </row>
    <row r="32" customFormat="false" ht="15" hidden="false" customHeight="false" outlineLevel="1" collapsed="false">
      <c r="A32" s="3" t="s">
        <v>1261</v>
      </c>
      <c r="C32" s="86" t="n">
        <f aca="false">IF((C22+C27)&lt;=0,0,(LN((C22+C27)/輸入與假設!$C$100)+(輸入與假設!$C$117+輸入與假設!$C$116^2/2)*輸入與假設!$C$118)/(輸入與假設!$C$116*SQRT(輸入與假設!$C$118)))</f>
        <v>0.435201710329897</v>
      </c>
    </row>
    <row r="33" customFormat="false" ht="15" hidden="false" customHeight="false" outlineLevel="1" collapsed="false">
      <c r="A33" s="3" t="s">
        <v>1262</v>
      </c>
      <c r="C33" s="86" t="n">
        <f aca="false">C32-輸入與假設!$C$116*SQRT(輸入與假設!$C$118)</f>
        <v>-0.625458461449925</v>
      </c>
    </row>
    <row r="35" customFormat="false" ht="15" hidden="false" customHeight="false" outlineLevel="0" collapsed="false">
      <c r="A35" s="48" t="s">
        <v>1263</v>
      </c>
      <c r="B35" s="9"/>
      <c r="C35" s="9"/>
      <c r="D35" s="9"/>
      <c r="E35" s="9"/>
      <c r="F35" s="9"/>
      <c r="G35" s="9"/>
      <c r="H35" s="9"/>
    </row>
    <row r="36" customFormat="false" ht="15" hidden="false" customHeight="false" outlineLevel="1" collapsed="false">
      <c r="A36" s="3" t="s">
        <v>1264</v>
      </c>
      <c r="C36" s="87" t="str">
        <f aca="false">CHOOSE(輸入與假設!$C$107,"FY27","FY28","FY29","FY30")</f>
        <v>FY29</v>
      </c>
      <c r="I36" s="7" t="s">
        <v>1265</v>
      </c>
    </row>
    <row r="37" customFormat="false" ht="15" hidden="false" customHeight="false" outlineLevel="1" collapsed="false">
      <c r="A37" s="3" t="s">
        <v>1266</v>
      </c>
      <c r="C37" s="11" t="n">
        <f aca="false">INDEX(損益!$D$19:$G$19,1,輸入與假設!$C$107)</f>
        <v>26.9010437975</v>
      </c>
    </row>
    <row r="38" customFormat="false" ht="15" hidden="false" customHeight="false" outlineLevel="1" collapsed="false">
      <c r="A38" s="3" t="s">
        <v>1267</v>
      </c>
      <c r="C38" s="54" t="n">
        <f aca="false">C37*輸入與假設!$C$106</f>
        <v>161.406262785</v>
      </c>
    </row>
    <row r="39" customFormat="false" ht="15" hidden="false" customHeight="false" outlineLevel="1" collapsed="false">
      <c r="A39" s="3" t="s">
        <v>1268</v>
      </c>
      <c r="C39" s="11" t="n">
        <f aca="false">INDEX(各期收支!$D$70:$G$70,1,輸入與假設!$C$107)-INDEX(各期收支!$D$41:$G$41,1,輸入與假設!$C$107)</f>
        <v>85.0282285</v>
      </c>
      <c r="I39" s="7" t="s">
        <v>1269</v>
      </c>
    </row>
    <row r="40" customFormat="false" ht="15" hidden="false" customHeight="false" outlineLevel="1" collapsed="false">
      <c r="A40" s="3" t="s">
        <v>1270</v>
      </c>
      <c r="C40" s="88" t="n">
        <f aca="false">INDEX(損益!$D$21:$G$21,1,輸入與假設!$C$107)</f>
        <v>0.711215719277325</v>
      </c>
      <c r="I40" s="7" t="s">
        <v>1271</v>
      </c>
    </row>
    <row r="41" customFormat="false" ht="15" hidden="false" customHeight="false" outlineLevel="1" collapsed="false">
      <c r="A41" s="3" t="s">
        <v>1272</v>
      </c>
      <c r="C41" s="88" t="n">
        <f aca="false">1/(1+輸入與假設!$C$101)^(輸入與假設!$C$107-輸入與假設!$C$128)</f>
        <v>0.770357922045693</v>
      </c>
      <c r="I41" s="7" t="s">
        <v>1273</v>
      </c>
    </row>
    <row r="42" customFormat="false" ht="15" hidden="false" customHeight="false" outlineLevel="1" collapsed="false">
      <c r="A42" s="4" t="s">
        <v>1274</v>
      </c>
      <c r="C42" s="43" t="n">
        <f aca="false">MAX(0,(C38-C39)/C40)*C41</f>
        <v>82.7293635206964</v>
      </c>
      <c r="I42" s="7" t="s">
        <v>1275</v>
      </c>
    </row>
    <row r="44" customFormat="false" ht="15" hidden="false" customHeight="false" outlineLevel="0" collapsed="false">
      <c r="A44" s="48" t="s">
        <v>1276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1" collapsed="false">
      <c r="A45" s="4" t="s">
        <v>1277</v>
      </c>
      <c r="C45" s="13" t="n">
        <f aca="false">C25*(1+輸入與假設!$C$101)^輸入與假設!$C$124</f>
        <v>0</v>
      </c>
      <c r="I45" s="7" t="s">
        <v>1278</v>
      </c>
    </row>
    <row r="46" customFormat="false" ht="15" hidden="false" customHeight="false" outlineLevel="1" collapsed="false">
      <c r="A46" s="4" t="s">
        <v>1279</v>
      </c>
      <c r="C46" s="13" t="n">
        <f aca="false">C45*IF(C29=1,0,輸入與假設!$C$108)</f>
        <v>0</v>
      </c>
    </row>
    <row r="47" customFormat="false" ht="15" hidden="false" customHeight="false" outlineLevel="1" collapsed="false">
      <c r="A47" s="4" t="s">
        <v>1280</v>
      </c>
      <c r="C47" s="13" t="n">
        <f aca="false">C42*IF(C29=1,1,1-輸入與假設!$C$108)</f>
        <v>45.501149936383</v>
      </c>
    </row>
    <row r="48" customFormat="false" ht="15" hidden="false" customHeight="false" outlineLevel="1" collapsed="false">
      <c r="A48" s="2" t="s">
        <v>1276</v>
      </c>
      <c r="C48" s="89" t="n">
        <f aca="false">SUM(C46:C47)</f>
        <v>45.501149936383</v>
      </c>
      <c r="I48" s="7" t="s">
        <v>1281</v>
      </c>
    </row>
    <row r="49" customFormat="false" ht="15" hidden="false" customHeight="false" outlineLevel="1" collapsed="false">
      <c r="A49" s="3" t="s">
        <v>1282</v>
      </c>
      <c r="C49" s="13" t="n">
        <f aca="false">輸入與假設!$C$98</f>
        <v>90.13</v>
      </c>
    </row>
    <row r="50" customFormat="false" ht="15" hidden="false" customHeight="false" outlineLevel="1" collapsed="false">
      <c r="A50" s="3" t="s">
        <v>1283</v>
      </c>
      <c r="C50" s="28" t="n">
        <f aca="false">C48/C49-1</f>
        <v>-0.495160879436558</v>
      </c>
    </row>
    <row r="51" customFormat="false" ht="15" hidden="false" customHeight="false" outlineLevel="1" collapsed="false">
      <c r="A51" s="4" t="s">
        <v>1284</v>
      </c>
      <c r="C51" s="3" t="str">
        <f aca="false">IF(C29=1,"DCF 失效，已以 EV/EBITDA 100% 計。",IF(AND(輸入與假設!$C$115&lt;&gt;2,C66&lt;0),"DCF 為 $0 仍計 "&amp;TEXT(輸入與假設!$C$108,"0%")&amp;" 權重的原因：DCF 沒有失效，而是算出的股權價值為負（每股約 −$"&amp;TEXT(ABS(C66),"0.0")&amp;"），代表自由現金流折現後的企業價值不足以償還淨負債。EV/EBITDA 沒有扣除 GPU 汰換與擴張支出，保留 DCF 權重，是為了讓目標價反映「EBITDA 付不起資本成本」。若不計 DCF，目標價為 $"&amp;TEXT(C42,"0.0")&amp;"（"&amp;CHOOSE(D65+2,"賣出","中立","買進")&amp;"）；"&amp;TEXT(輸入與假設!$C$108,"0%")&amp;"／"&amp;TEXT(1-輸入與假設!$C$108,"0%")&amp;" 為判斷值。",""))</f>
        <v>DCF 為 $0 仍計 45% 權重的原因：DCF 沒有失效，而是算出的股權價值為負（每股約 −$9.7），代表自由現金流折現後的企業價值不足以償還淨負債。EV/EBITDA 沒有扣除 GPU 汰換與擴張支出，保留 DCF 權重，是為了讓目標價反映「EBITDA 付不起資本成本」。若不計 DCF，目標價為 $82.7（中立）；45%／55% 為判斷值。</v>
      </c>
      <c r="I51" s="7" t="s">
        <v>1285</v>
      </c>
    </row>
    <row r="53" customFormat="false" ht="15" hidden="false" customHeight="false" outlineLevel="0" collapsed="false">
      <c r="A53" s="48" t="s">
        <v>1286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1" collapsed="false">
      <c r="A54" s="3" t="s">
        <v>1287</v>
      </c>
      <c r="C54" s="13" t="n">
        <f aca="false">C48</f>
        <v>45.501149936383</v>
      </c>
      <c r="I54" s="7" t="str">
        <f aca="false">"評等規則不變：空間 ≥"&amp;IF(ROUND(ABS(輸入與假設!$C$134)*100,4)=INT(ROUND(ABS(輸入與假設!$C$134)*100,4)),TEXT(ROUND(ABS(輸入與假設!$C$134)*100,4),"0"),TEXT(ROUND(ABS(輸入與假設!$C$134)*100,4),"0.0"))&amp;"%"&amp;" 且終值占比 &lt;"&amp;IF(ROUND(ABS(輸入與假設!$C$135)*100,4)=INT(ROUND(ABS(輸入與假設!$C$135)*100,4)),TEXT(ROUND(ABS(輸入與假設!$C$135)*100,4),"0"),TEXT(ROUND(ABS(輸入與假設!$C$135)*100,4),"0.0"))&amp;"%"&amp;"、股權募資 ≤"&amp;IF(輸入與假設!$C$137=INT(輸入與假設!$C$137),TEXT(輸入與假設!$C$137,"0"),TEXT(輸入與假設!$C$137,"0.0"))&amp;" 倍現市值 → 買進；空間 ≤−"&amp;IF(ROUND(ABS(輸入與假設!$C$136)*100,4)=INT(ROUND(ABS(輸入與假設!$C$136)*100,4)),TEXT(ROUND(ABS(輸入與假設!$C$136)*100,4),"0"),TEXT(ROUND(ABS(輸入與假設!$C$136)*100,4),"0.0"))&amp;"%"&amp;"，或股權募資 &gt;"&amp;IF(輸入與假設!$C$137=INT(輸入與假設!$C$137),TEXT(輸入與假設!$C$137,"0"),TEXT(輸入與假設!$C$137,"0.0"))&amp;" 倍且空間 ≤−"&amp;IF(ROUND(ABS(輸入與假設!$C$138)*100,4)=INT(ROUND(ABS(輸入與假設!$C$138)*100,4)),TEXT(ROUND(ABS(輸入與假設!$C$138)*100,4),"0"),TEXT(ROUND(ABS(輸入與假設!$C$138)*100,4),"0.0"))&amp;"%"&amp;"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55" customFormat="false" ht="15" hidden="false" customHeight="false" outlineLevel="1" collapsed="false">
      <c r="A55" s="3" t="s">
        <v>1288</v>
      </c>
      <c r="C55" s="14" t="n">
        <f aca="false">C21/MAX(ABS(C22),1)*IF(C22=0,1,SIGN(C22))</f>
        <v>3.88818583833082</v>
      </c>
    </row>
    <row r="56" customFormat="false" ht="15" hidden="false" customHeight="false" outlineLevel="1" collapsed="false">
      <c r="A56" s="3" t="s">
        <v>1289</v>
      </c>
      <c r="C56" s="17" t="n">
        <f aca="false">SUM(各期收支!C61:G61)/(輸入與假設!$C$98*輸入與假設!$C$99)</f>
        <v>0.262845001704695</v>
      </c>
    </row>
    <row r="57" customFormat="false" ht="15" hidden="false" customHeight="false" outlineLevel="1" collapsed="false">
      <c r="A57" s="3" t="s">
        <v>1290</v>
      </c>
      <c r="C57" s="10" t="n">
        <f aca="false">IF(AND((C48/MAX(輸入與假設!$C$98,0.01)-1)&gt;=輸入與假設!$C$134,$C$55&lt;輸入與假設!$C$135,$C$56&lt;=輸入與假設!$C$137),1,IF(OR((C48/MAX(輸入與假設!$C$98,0.01)-1)&lt;=輸入與假設!$C$136,AND($C$56&gt;輸入與假設!$C$137,(C48/MAX(輸入與假設!$C$98,0.01)-1)&lt;=輸入與假設!$C$138)),-1,0))</f>
        <v>-1</v>
      </c>
      <c r="D57" s="10" t="str">
        <f aca="false">CHOOSE(C57+2,"賣出","中立","買進")</f>
        <v>賣出</v>
      </c>
    </row>
    <row r="58" customFormat="false" ht="15" hidden="false" customHeight="false" outlineLevel="1" collapsed="false">
      <c r="A58" s="3" t="s">
        <v>1291</v>
      </c>
      <c r="C58" s="13" t="n">
        <f aca="false">輸入與假設!$C$98*(1+輸入與假設!$C$136)</f>
        <v>76.6105</v>
      </c>
    </row>
    <row r="59" customFormat="false" ht="15" hidden="false" customHeight="false" outlineLevel="1" collapsed="false">
      <c r="A59" s="3" t="s">
        <v>1292</v>
      </c>
      <c r="C59" s="13" t="n">
        <f aca="false">輸入與假設!D166</f>
        <v>69.741656925025</v>
      </c>
      <c r="D59" s="10" t="n">
        <f aca="false">輸入與假設!E166</f>
        <v>-1</v>
      </c>
      <c r="E59" s="13" t="n">
        <f aca="false">C59-$C$58</f>
        <v>-6.86884307497496</v>
      </c>
      <c r="I59" s="7" t="s">
        <v>1293</v>
      </c>
    </row>
    <row r="60" customFormat="false" ht="15" hidden="false" customHeight="false" outlineLevel="1" collapsed="false">
      <c r="A60" s="3" t="s">
        <v>1294</v>
      </c>
      <c r="C60" s="13" t="n">
        <f aca="false">輸入與假設!D167</f>
        <v>45.501149936383</v>
      </c>
      <c r="D60" s="10" t="n">
        <f aca="false">輸入與假設!E167</f>
        <v>-1</v>
      </c>
      <c r="E60" s="13" t="n">
        <f aca="false">C60-$C$58</f>
        <v>-31.109350063617</v>
      </c>
    </row>
    <row r="61" customFormat="false" ht="15" hidden="false" customHeight="false" outlineLevel="1" collapsed="false">
      <c r="A61" s="3" t="s">
        <v>1295</v>
      </c>
      <c r="C61" s="13" t="n">
        <f aca="false">輸入與假設!D168</f>
        <v>30.953265648845</v>
      </c>
      <c r="D61" s="10" t="n">
        <f aca="false">輸入與假設!E168</f>
        <v>-1</v>
      </c>
      <c r="E61" s="13" t="n">
        <f aca="false">C61-$C$58</f>
        <v>-45.657234351155</v>
      </c>
    </row>
    <row r="62" customFormat="false" ht="15" hidden="false" customHeight="false" outlineLevel="1" collapsed="false">
      <c r="A62" s="3" t="s">
        <v>1296</v>
      </c>
      <c r="C62" s="13" t="n">
        <f aca="false">MIN(C59,C61)</f>
        <v>30.953265648845</v>
      </c>
      <c r="D62" s="13" t="n">
        <f aca="false">MAX(C59,C61)</f>
        <v>69.741656925025</v>
      </c>
    </row>
    <row r="63" customFormat="false" ht="15" hidden="false" customHeight="false" outlineLevel="1" collapsed="false">
      <c r="A63" s="3" t="s">
        <v>1297</v>
      </c>
      <c r="C63" s="17" t="n">
        <f aca="false">MIN(輸入與假設!$C$110,輸入與假設!$C$111)</f>
        <v>5</v>
      </c>
      <c r="D63" s="17" t="n">
        <f aca="false">MAX(輸入與假設!$C$110,輸入與假設!$C$111)</f>
        <v>6</v>
      </c>
    </row>
    <row r="64" customFormat="false" ht="15" hidden="false" customHeight="false" outlineLevel="1" collapsed="false">
      <c r="A64" s="3" t="s">
        <v>1298</v>
      </c>
      <c r="C64" s="13" t="n">
        <f aca="false">MIN(C45*IF(C29=1,0,輸入與假設!$C$108)+MAX(0,(C37*C63-C39)/C40)*C41*IF(C29=1,1,1-輸入與假設!$C$108),C45*IF(C29=1,0,輸入與假設!$C$108)+MAX(0,(C37*D63-C39)/C40)*C41*IF(C29=1,1,1-輸入與假設!$C$108))</f>
        <v>29.4752278406681</v>
      </c>
      <c r="D64" s="13" t="n">
        <f aca="false">MAX(C45*IF(C29=1,0,輸入與假設!$C$108)+MAX(0,(C37*C63-C39)/C40)*C41*IF(C29=1,1,1-輸入與假設!$C$108),C45*IF(C29=1,0,輸入與假設!$C$108)+MAX(0,(C37*D63-C39)/C40)*C41*IF(C29=1,1,1-輸入與假設!$C$108))</f>
        <v>45.501149936383</v>
      </c>
      <c r="I64" s="7" t="s">
        <v>1299</v>
      </c>
    </row>
    <row r="65" customFormat="false" ht="15" hidden="false" customHeight="false" outlineLevel="1" collapsed="false">
      <c r="A65" s="3" t="s">
        <v>1300</v>
      </c>
      <c r="C65" s="13" t="n">
        <f aca="false">C42</f>
        <v>82.7293635206964</v>
      </c>
      <c r="D65" s="10" t="n">
        <f aca="false">IF(AND((C42/MAX(輸入與假設!$C$98,0.01)-1)&gt;=輸入與假設!$C$134,$C$55&lt;輸入與假設!$C$135,$C$56&lt;=輸入與假設!$C$137),1,IF(OR((C42/MAX(輸入與假設!$C$98,0.01)-1)&lt;=輸入與假設!$C$136,AND($C$56&gt;輸入與假設!$C$137,(C42/MAX(輸入與假設!$C$98,0.01)-1)&lt;=輸入與假設!$C$138)),-1,0))</f>
        <v>0</v>
      </c>
      <c r="E65" s="13" t="str">
        <f aca="false">CHOOSE(D65+2,"賣出","中立","買進")</f>
        <v>中立</v>
      </c>
    </row>
    <row r="66" customFormat="false" ht="15" hidden="false" customHeight="false" outlineLevel="1" collapsed="false">
      <c r="A66" s="3" t="s">
        <v>1301</v>
      </c>
      <c r="C66" s="13" t="n">
        <f aca="false">(C24+C27)/C28</f>
        <v>-9.6868885526809</v>
      </c>
    </row>
    <row r="67" customFormat="false" ht="15" hidden="false" customHeight="false" outlineLevel="1" collapsed="false">
      <c r="A67" s="3" t="s">
        <v>1302</v>
      </c>
      <c r="C67" s="3" t="str">
        <f aca="false">"目標價 $"&amp;TEXT(C48,"0.0")&amp;"（情境區間 $"&amp;TEXT(C62,"0.0")&amp;"–$"&amp;TEXT(D62,"0.0")&amp;"）"</f>
        <v>目標價 $45.5（情境區間 $31.0–$69.7）</v>
      </c>
    </row>
    <row r="68" customFormat="false" ht="15" hidden="false" customHeight="false" outlineLevel="1" collapsed="false">
      <c r="A68" s="3" t="s">
        <v>1303</v>
      </c>
      <c r="C68" s="3" t="str">
        <f aca="false">"方法區間（目前情境，"&amp;IF(C63=INT(C63),TEXT(C63,"0"),TEXT(C63,"0.0"))&amp;"–"&amp;IF(D63=INT(D63),TEXT(D63,"0"),TEXT(D63,"0.0"))&amp;"x）"</f>
        <v>方法區間（目前情境，5–6x）</v>
      </c>
    </row>
    <row r="69" customFormat="false" ht="15" hidden="false" customHeight="false" outlineLevel="1" collapsed="false">
      <c r="A69" s="3" t="s">
        <v>1304</v>
      </c>
      <c r="C69" s="3" t="str">
        <f aca="false">IF(ABS(輸入與假設!$C$106-D63)&lt;0.000000001,"目前點位位於方法區間上緣（"&amp;IF(D63=INT(D63),TEXT(D63,"0"),TEXT(D63,"0.0"))&amp;"x 為穩態倍數上緣）",IF(ABS(輸入與假設!$C$106-C63)&lt;0.000000001,"目前點位位於方法區間下緣（"&amp;IF(C63=INT(C63),TEXT(C63,"0"),TEXT(C63,"0.0"))&amp;"x）","目前點位"&amp;IF(AND(輸入與假設!$C$106&gt;C63,輸入與假設!$C$106&lt;D63),"位於方法區間內",IF(輸入與假設!$C$106&gt;D63,"高於方法區間上緣","低於方法區間下緣"))&amp;"（目前倍數 "&amp;IF(輸入與假設!$C$106=INT(輸入與假設!$C$106),TEXT(輸入與假設!$C$106,"0"),TEXT(輸入與假設!$C$106,"0.0"))&amp;"x）"))</f>
        <v>目前點位位於方法區間上緣（6x 為穩態倍數上緣）</v>
      </c>
    </row>
    <row r="70" customFormat="false" ht="15" hidden="false" customHeight="false" outlineLevel="1" collapsed="false">
      <c r="A70" s="2" t="s">
        <v>1305</v>
      </c>
      <c r="C70" s="3" t="str">
        <f aca="false">IF(D62&lt;輸入與假設!$C$98,"情境區間上緣 $"&amp;TEXT(D62,"0.0")&amp;" 低於現價 $"&amp;TEXT(輸入與假設!$C$98,"0.00")&amp;IF((D59&lt;&gt;-1)+(D60&lt;&gt;-1)+(D61&lt;&gt;-1)&gt;0,"，但"&amp;SUBSTITUTE(TRIM(IF(D59&lt;&gt;-1,"保守","")&amp;" "&amp;IF(D60&lt;&gt;-1,"基準","")&amp;" "&amp;IF(D61&lt;&gt;-1,"積極",""))," ","、")&amp;"情境未達賣出門檻 $"&amp;TEXT($C$58,"0.0"),"：賣出在三個擴張情境下都成立"),"情境區間上緣 $"&amp;TEXT(D62,"0.0")&amp;" 不低於現價 $"&amp;TEXT(輸入與假設!$C$98,"0.00")&amp;"：賣出並非在三個擴張情境下都成立")&amp;"。"&amp;IF(ABS(E59)&lt;輸入與假設!$C$139*輸入與假設!$C$98,"保守情境 $"&amp;TEXT(C59,"0.0")&amp;"，"&amp;IF(E59&lt;0,"距賣出門檻","高於賣出門檻")&amp;" $"&amp;TEXT($C$58,"0.0")&amp;" 僅 $"&amp;TEXT(ABS(E59),"0.0")&amp;"。","")&amp;IF(ABS(E60)&lt;輸入與假設!$C$139*輸入與假設!$C$98,"基準情境 $"&amp;TEXT(C60,"0.0")&amp;"，"&amp;IF(E60&lt;0,"距賣出門檻","高於賣出門檻")&amp;" $"&amp;TEXT($C$58,"0.0")&amp;" 僅 $"&amp;TEXT(ABS(E60),"0.0")&amp;"。","")&amp;IF(ABS(E61)&lt;輸入與假設!$C$139*輸入與假設!$C$98,"積極情境 $"&amp;TEXT(C61,"0.0")&amp;"，"&amp;IF(E61&lt;0,"距賣出門檻","高於賣出門檻")&amp;" $"&amp;TEXT($C$58,"0.0")&amp;" 僅 $"&amp;TEXT(ABS(E61),"0.0")&amp;"。","")</f>
        <v>情境區間上緣 $69.7 低於現價 $90.13：賣出在三個擴張情境下都成立。</v>
      </c>
    </row>
    <row r="72" customFormat="false" ht="15" hidden="false" customHeight="false" outlineLevel="0" collapsed="false">
      <c r="A72" s="48" t="s">
        <v>1306</v>
      </c>
      <c r="B72" s="9"/>
      <c r="C72" s="9"/>
      <c r="D72" s="9"/>
      <c r="E72" s="9"/>
      <c r="F72" s="9"/>
      <c r="G72" s="9"/>
      <c r="H72" s="9"/>
    </row>
    <row r="73" customFormat="false" ht="15" hidden="false" customHeight="false" outlineLevel="1" collapsed="false">
      <c r="A73" s="15" t="s">
        <v>1307</v>
      </c>
      <c r="B73" s="15" t="s">
        <v>1308</v>
      </c>
      <c r="C73" s="16" t="s">
        <v>88</v>
      </c>
      <c r="D73" s="16" t="s">
        <v>89</v>
      </c>
      <c r="E73" s="16" t="s">
        <v>169</v>
      </c>
      <c r="F73" s="16" t="s">
        <v>170</v>
      </c>
      <c r="I73" s="12" t="s">
        <v>1309</v>
      </c>
    </row>
    <row r="74" customFormat="false" ht="15" hidden="false" customHeight="false" outlineLevel="1" collapsed="false">
      <c r="A74" s="3" t="s">
        <v>1310</v>
      </c>
      <c r="B74" s="90" t="n">
        <v>3.4</v>
      </c>
      <c r="C74" s="13" t="n">
        <f aca="false">MAX(0,(INDEX(損益!$D$19:$G$19,1,1)*$B74-(INDEX(各期收支!$D$70:$G$70,1,1)-INDEX(各期收支!$D$41:$G$41,1,1)))/INDEX(損益!$D$21:$G$21,1,1))/(1+輸入與假設!$C$101)^(1-輸入與假設!$C$128)</f>
        <v>0</v>
      </c>
      <c r="D74" s="13" t="n">
        <f aca="false">MAX(0,(INDEX(損益!$D$19:$G$19,1,2)*$B74-(INDEX(各期收支!$D$70:$G$70,1,2)-INDEX(各期收支!$D$41:$G$41,1,2)))/INDEX(損益!$D$21:$G$21,1,2))/(1+輸入與假設!$C$101)^(2-輸入與假設!$C$128)</f>
        <v>0</v>
      </c>
      <c r="E74" s="13" t="n">
        <f aca="false">MAX(0,(INDEX(損益!$D$19:$G$19,1,3)*$B74-(INDEX(各期收支!$D$70:$G$70,1,3)-INDEX(各期收支!$D$41:$G$41,1,3)))/INDEX(損益!$D$21:$G$21,1,3))/(1+輸入與假設!$C$101)^(3-輸入與假設!$C$128)</f>
        <v>6.9704590682258</v>
      </c>
      <c r="F74" s="13" t="n">
        <f aca="false">MAX(0,(INDEX(損益!$D$19:$G$19,1,4)*$B74-(INDEX(各期收支!$D$70:$G$70,1,4)-INDEX(各期收支!$D$41:$G$41,1,4)))/INDEX(損益!$D$21:$G$21,1,4))/(1+輸入與假設!$C$101)^(4-輸入與假設!$C$128)</f>
        <v>9.27163881291326</v>
      </c>
    </row>
    <row r="75" customFormat="false" ht="15" hidden="false" customHeight="false" outlineLevel="1" collapsed="false">
      <c r="A75" s="3" t="s">
        <v>1311</v>
      </c>
      <c r="B75" s="90" t="n">
        <v>4.5</v>
      </c>
      <c r="C75" s="13" t="n">
        <f aca="false">MAX(0,(INDEX(損益!$D$19:$G$19,1,1)*$B75-(INDEX(各期收支!$D$70:$G$70,1,1)-INDEX(各期收支!$D$41:$G$41,1,1)))/INDEX(損益!$D$21:$G$21,1,1))/(1+輸入與假設!$C$101)^(1-輸入與假設!$C$128)</f>
        <v>0</v>
      </c>
      <c r="D75" s="13" t="n">
        <f aca="false">MAX(0,(INDEX(損益!$D$19:$G$19,1,2)*$B75-(INDEX(各期收支!$D$70:$G$70,1,2)-INDEX(各期收支!$D$41:$G$41,1,2)))/INDEX(損益!$D$21:$G$21,1,2))/(1+輸入與假設!$C$101)^(2-輸入與假設!$C$128)</f>
        <v>25.7011839790362</v>
      </c>
      <c r="E75" s="13" t="n">
        <f aca="false">MAX(0,(INDEX(損益!$D$19:$G$19,1,3)*$B75-(INDEX(各期收支!$D$70:$G$70,1,3)-INDEX(各期收支!$D$41:$G$41,1,3)))/INDEX(損益!$D$21:$G$21,1,3))/(1+輸入與假設!$C$101)^(3-輸入與假設!$C$128)</f>
        <v>39.0223032596557</v>
      </c>
      <c r="F75" s="13" t="n">
        <f aca="false">MAX(0,(INDEX(損益!$D$19:$G$19,1,4)*$B75-(INDEX(各期收支!$D$70:$G$70,1,4)-INDEX(各期收支!$D$41:$G$41,1,4)))/INDEX(損益!$D$21:$G$21,1,4))/(1+輸入與假設!$C$101)^(4-輸入與假設!$C$128)</f>
        <v>37.8129573179582</v>
      </c>
    </row>
    <row r="76" customFormat="false" ht="15" hidden="false" customHeight="false" outlineLevel="1" collapsed="false">
      <c r="A76" s="3" t="s">
        <v>1312</v>
      </c>
      <c r="B76" s="90" t="n">
        <v>5</v>
      </c>
      <c r="C76" s="13" t="n">
        <f aca="false">MAX(0,(INDEX(損益!$D$19:$G$19,1,1)*$B76-(INDEX(各期收支!$D$70:$G$70,1,1)-INDEX(各期收支!$D$41:$G$41,1,1)))/INDEX(損益!$D$21:$G$21,1,1))/(1+輸入與假設!$C$101)^(1-輸入與假設!$C$128)</f>
        <v>11.4473865190681</v>
      </c>
      <c r="D76" s="13" t="n">
        <f aca="false">MAX(0,(INDEX(損益!$D$19:$G$19,1,2)*$B76-(INDEX(各期收支!$D$70:$G$70,1,2)-INDEX(各期收支!$D$41:$G$41,1,2)))/INDEX(損益!$D$21:$G$21,1,2))/(1+輸入與假設!$C$101)^(2-輸入與假設!$C$128)</f>
        <v>41.9342428745098</v>
      </c>
      <c r="E76" s="13" t="n">
        <f aca="false">MAX(0,(INDEX(損益!$D$19:$G$19,1,3)*$B76-(INDEX(各期收支!$D$70:$G$70,1,3)-INDEX(各期收支!$D$41:$G$41,1,3)))/INDEX(損益!$D$21:$G$21,1,3))/(1+輸入與假設!$C$101)^(3-輸入與假設!$C$128)</f>
        <v>53.5913233466692</v>
      </c>
      <c r="F76" s="13" t="n">
        <f aca="false">MAX(0,(INDEX(損益!$D$19:$G$19,1,4)*$B76-(INDEX(各期收支!$D$70:$G$70,1,4)-INDEX(各期收支!$D$41:$G$41,1,4)))/INDEX(損益!$D$21:$G$21,1,4))/(1+輸入與假設!$C$101)^(4-輸入與假設!$C$128)</f>
        <v>50.7862839111604</v>
      </c>
    </row>
    <row r="77" customFormat="false" ht="15" hidden="false" customHeight="false" outlineLevel="1" collapsed="false">
      <c r="A77" s="3" t="s">
        <v>1313</v>
      </c>
      <c r="B77" s="90" t="n">
        <v>6</v>
      </c>
      <c r="C77" s="13" t="n">
        <f aca="false">MAX(0,(INDEX(損益!$D$19:$G$19,1,1)*$B77-(INDEX(各期收支!$D$70:$G$70,1,1)-INDEX(各期收支!$D$41:$G$41,1,1)))/INDEX(損益!$D$21:$G$21,1,1))/(1+輸入與假設!$C$101)^(1-輸入與假設!$C$128)</f>
        <v>36.7538971336787</v>
      </c>
      <c r="D77" s="13" t="n">
        <f aca="false">MAX(0,(INDEX(損益!$D$19:$G$19,1,2)*$B77-(INDEX(各期收支!$D$70:$G$70,1,2)-INDEX(各期收支!$D$41:$G$41,1,2)))/INDEX(損益!$D$21:$G$21,1,2))/(1+輸入與假設!$C$101)^(2-輸入與假設!$C$128)</f>
        <v>74.4003606654569</v>
      </c>
      <c r="E77" s="13" t="n">
        <f aca="false">MAX(0,(INDEX(損益!$D$19:$G$19,1,3)*$B77-(INDEX(各期收支!$D$70:$G$70,1,3)-INDEX(各期收支!$D$41:$G$41,1,3)))/INDEX(損益!$D$21:$G$21,1,3))/(1+輸入與假設!$C$101)^(3-輸入與假設!$C$128)</f>
        <v>82.7293635206964</v>
      </c>
      <c r="F77" s="13" t="n">
        <f aca="false">MAX(0,(INDEX(損益!$D$19:$G$19,1,4)*$B77-(INDEX(各期收支!$D$70:$G$70,1,4)-INDEX(各期收支!$D$41:$G$41,1,4)))/INDEX(損益!$D$21:$G$21,1,4))/(1+輸入與假設!$C$101)^(4-輸入與假設!$C$128)</f>
        <v>76.7329370975649</v>
      </c>
    </row>
    <row r="78" customFormat="false" ht="15" hidden="false" customHeight="false" outlineLevel="1" collapsed="false">
      <c r="A78" s="3" t="s">
        <v>1314</v>
      </c>
      <c r="B78" s="90" t="n">
        <v>7</v>
      </c>
      <c r="C78" s="13" t="n">
        <f aca="false">MAX(0,(INDEX(損益!$D$19:$G$19,1,1)*$B78-(INDEX(各期收支!$D$70:$G$70,1,1)-INDEX(各期收支!$D$41:$G$41,1,1)))/INDEX(損益!$D$21:$G$21,1,1))/(1+輸入與假設!$C$101)^(1-輸入與假設!$C$128)</f>
        <v>62.0604077482892</v>
      </c>
      <c r="D78" s="13" t="n">
        <f aca="false">MAX(0,(INDEX(損益!$D$19:$G$19,1,2)*$B78-(INDEX(各期收支!$D$70:$G$70,1,2)-INDEX(各期收支!$D$41:$G$41,1,2)))/INDEX(損益!$D$21:$G$21,1,2))/(1+輸入與假設!$C$101)^(2-輸入與假設!$C$128)</f>
        <v>106.866478456404</v>
      </c>
      <c r="E78" s="13" t="n">
        <f aca="false">MAX(0,(INDEX(損益!$D$19:$G$19,1,3)*$B78-(INDEX(各期收支!$D$70:$G$70,1,3)-INDEX(各期收支!$D$41:$G$41,1,3)))/INDEX(損益!$D$21:$G$21,1,3))/(1+輸入與假設!$C$101)^(3-輸入與假設!$C$128)</f>
        <v>111.867403694723</v>
      </c>
      <c r="F78" s="13" t="n">
        <f aca="false">MAX(0,(INDEX(損益!$D$19:$G$19,1,4)*$B78-(INDEX(各期收支!$D$70:$G$70,1,4)-INDEX(各期收支!$D$41:$G$41,1,4)))/INDEX(損益!$D$21:$G$21,1,4))/(1+輸入與假設!$C$101)^(4-輸入與假設!$C$128)</f>
        <v>102.679590283969</v>
      </c>
    </row>
    <row r="79" customFormat="false" ht="15" hidden="false" customHeight="false" outlineLevel="1" collapsed="false"/>
    <row r="80" customFormat="false" ht="15" hidden="false" customHeight="false" outlineLevel="1" collapsed="false">
      <c r="A80" s="15" t="s">
        <v>1315</v>
      </c>
      <c r="B80" s="15" t="s">
        <v>1308</v>
      </c>
      <c r="C80" s="16" t="s">
        <v>88</v>
      </c>
      <c r="D80" s="16" t="s">
        <v>89</v>
      </c>
      <c r="E80" s="16" t="s">
        <v>169</v>
      </c>
      <c r="F80" s="16" t="s">
        <v>170</v>
      </c>
    </row>
    <row r="81" customFormat="false" ht="15" hidden="false" customHeight="false" outlineLevel="1" collapsed="false">
      <c r="A81" s="3" t="s">
        <v>1316</v>
      </c>
      <c r="B81" s="90" t="n">
        <v>3.4</v>
      </c>
      <c r="C81" s="13" t="n">
        <f aca="false">C45*IF(C29=1,0,輸入與假設!$C$108)+C74*IF(C29=1,1,1-輸入與假設!$C$108)</f>
        <v>0</v>
      </c>
      <c r="D81" s="13" t="n">
        <f aca="false">C45*IF(C29=1,0,輸入與假設!$C$108)+D74*IF(C29=1,1,1-輸入與假設!$C$108)</f>
        <v>0</v>
      </c>
      <c r="E81" s="13" t="n">
        <f aca="false">C45*IF(C29=1,0,輸入與假設!$C$108)+E74*IF(C29=1,1,1-輸入與假設!$C$108)</f>
        <v>3.83375248752419</v>
      </c>
      <c r="F81" s="13" t="n">
        <f aca="false">C45*IF(C29=1,0,輸入與假設!$C$108)+F74*IF(C29=1,1,1-輸入與假設!$C$108)</f>
        <v>5.09940134710229</v>
      </c>
    </row>
    <row r="82" customFormat="false" ht="15" hidden="false" customHeight="false" outlineLevel="1" collapsed="false">
      <c r="A82" s="3" t="s">
        <v>1317</v>
      </c>
      <c r="B82" s="90" t="n">
        <v>4.5</v>
      </c>
      <c r="C82" s="13" t="n">
        <f aca="false">C45*IF(C29=1,0,輸入與假設!$C$108)+C75*IF(C29=1,1,1-輸入與假設!$C$108)</f>
        <v>0</v>
      </c>
      <c r="D82" s="13" t="n">
        <f aca="false">C45*IF(C29=1,0,輸入與假設!$C$108)+D75*IF(C29=1,1,1-輸入與假設!$C$108)</f>
        <v>14.1356511884699</v>
      </c>
      <c r="E82" s="13" t="n">
        <f aca="false">C45*IF(C29=1,0,輸入與假設!$C$108)+E75*IF(C29=1,1,1-輸入與假設!$C$108)</f>
        <v>21.4622667928106</v>
      </c>
      <c r="F82" s="13" t="n">
        <f aca="false">C45*IF(C29=1,0,輸入與假設!$C$108)+F75*IF(C29=1,1,1-輸入與假設!$C$108)</f>
        <v>20.797126524877</v>
      </c>
    </row>
    <row r="83" customFormat="false" ht="15" hidden="false" customHeight="false" outlineLevel="1" collapsed="false">
      <c r="A83" s="3" t="s">
        <v>1318</v>
      </c>
      <c r="B83" s="90" t="n">
        <v>5</v>
      </c>
      <c r="C83" s="13" t="n">
        <f aca="false">C45*IF(C29=1,0,輸入與假設!$C$108)+C76*IF(C29=1,1,1-輸入與假設!$C$108)</f>
        <v>6.29606258548746</v>
      </c>
      <c r="D83" s="13" t="n">
        <f aca="false">C45*IF(C29=1,0,輸入與假設!$C$108)+D76*IF(C29=1,1,1-輸入與假設!$C$108)</f>
        <v>23.0638335809804</v>
      </c>
      <c r="E83" s="13" t="n">
        <f aca="false">C45*IF(C29=1,0,輸入與假設!$C$108)+E76*IF(C29=1,1,1-輸入與假設!$C$108)</f>
        <v>29.4752278406681</v>
      </c>
      <c r="F83" s="13" t="n">
        <f aca="false">C45*IF(C29=1,0,輸入與假設!$C$108)+F76*IF(C29=1,1,1-輸入與假設!$C$108)</f>
        <v>27.9324561511382</v>
      </c>
    </row>
    <row r="84" customFormat="false" ht="15" hidden="false" customHeight="false" outlineLevel="1" collapsed="false">
      <c r="A84" s="3" t="s">
        <v>1319</v>
      </c>
      <c r="B84" s="90" t="n">
        <v>6</v>
      </c>
      <c r="C84" s="13" t="n">
        <f aca="false">C45*IF(C29=1,0,輸入與假設!$C$108)+C77*IF(C29=1,1,1-輸入與假設!$C$108)</f>
        <v>20.2146434235233</v>
      </c>
      <c r="D84" s="13" t="n">
        <f aca="false">C45*IF(C29=1,0,輸入與假設!$C$108)+D77*IF(C29=1,1,1-輸入與假設!$C$108)</f>
        <v>40.9201983660013</v>
      </c>
      <c r="E84" s="13" t="n">
        <f aca="false">C45*IF(C29=1,0,輸入與假設!$C$108)+E77*IF(C29=1,1,1-輸入與假設!$C$108)</f>
        <v>45.501149936383</v>
      </c>
      <c r="F84" s="13" t="n">
        <f aca="false">C45*IF(C29=1,0,輸入與假設!$C$108)+F77*IF(C29=1,1,1-輸入與假設!$C$108)</f>
        <v>42.2031154036607</v>
      </c>
    </row>
    <row r="85" customFormat="false" ht="15" hidden="false" customHeight="false" outlineLevel="1" collapsed="false">
      <c r="A85" s="3" t="s">
        <v>1320</v>
      </c>
      <c r="B85" s="90" t="n">
        <v>7</v>
      </c>
      <c r="C85" s="13" t="n">
        <f aca="false">C45*IF(C29=1,0,輸入與假設!$C$108)+C78*IF(C29=1,1,1-輸入與假設!$C$108)</f>
        <v>34.1332242615591</v>
      </c>
      <c r="D85" s="13" t="n">
        <f aca="false">C45*IF(C29=1,0,輸入與假設!$C$108)+D78*IF(C29=1,1,1-輸入與假設!$C$108)</f>
        <v>58.7765631510222</v>
      </c>
      <c r="E85" s="13" t="n">
        <f aca="false">C45*IF(C29=1,0,輸入與假設!$C$108)+E78*IF(C29=1,1,1-輸入與假設!$C$108)</f>
        <v>61.5270720320979</v>
      </c>
      <c r="F85" s="13" t="n">
        <f aca="false">C45*IF(C29=1,0,輸入與假設!$C$108)+F78*IF(C29=1,1,1-輸入與假設!$C$108)</f>
        <v>56.4737746561831</v>
      </c>
    </row>
  </sheetData>
  <conditionalFormatting sqref="C74:F78">
    <cfRule type="cellIs" priority="2" operator="greaterThanOrEqual" aboveAverage="0" equalAverage="0" bottom="0" percent="0" rank="0" text="" dxfId="0">
      <formula>輸入與假設!$C$98</formula>
    </cfRule>
  </conditionalFormatting>
  <conditionalFormatting sqref="C81:F85">
    <cfRule type="cellIs" priority="3" operator="greaterThanOrEqual" aboveAverage="0" equalAverage="0" bottom="0" percent="0" rank="0" text="" dxfId="0">
      <formula>輸入與假設!$C$98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19.4" hidden="false" customHeight="false" outlineLevel="0" collapsed="false">
      <c r="A1" s="6" t="s">
        <v>1321</v>
      </c>
    </row>
    <row r="2" customFormat="false" ht="15" hidden="false" customHeight="false" outlineLevel="0" collapsed="false">
      <c r="A2" s="7" t="s">
        <v>1322</v>
      </c>
    </row>
    <row r="4" customFormat="false" ht="15" hidden="false" customHeight="false" outlineLevel="0" collapsed="false">
      <c r="A4" s="48" t="s">
        <v>1323</v>
      </c>
      <c r="B4" s="9"/>
      <c r="C4" s="9"/>
      <c r="D4" s="9"/>
      <c r="E4" s="9"/>
      <c r="F4" s="9"/>
      <c r="G4" s="9"/>
    </row>
    <row r="5" customFormat="false" ht="15" hidden="false" customHeight="false" outlineLevel="1" collapsed="false">
      <c r="A5" s="3" t="s">
        <v>1282</v>
      </c>
      <c r="B5" s="91" t="n">
        <f aca="false">輸入與假設!$C$98</f>
        <v>90.13</v>
      </c>
    </row>
    <row r="6" customFormat="false" ht="15" hidden="false" customHeight="false" outlineLevel="1" collapsed="false">
      <c r="A6" s="3" t="s">
        <v>1324</v>
      </c>
      <c r="B6" s="91" t="n">
        <f aca="false">評價_DCF與目標價!C25</f>
        <v>0</v>
      </c>
    </row>
    <row r="7" customFormat="false" ht="15" hidden="false" customHeight="false" outlineLevel="1" collapsed="false">
      <c r="A7" s="2" t="s">
        <v>1325</v>
      </c>
      <c r="B7" s="89" t="n">
        <f aca="false">B6-B5</f>
        <v>-90.13</v>
      </c>
    </row>
    <row r="8" customFormat="false" ht="15" hidden="false" customHeight="false" outlineLevel="1" collapsed="false">
      <c r="A8" s="3" t="s">
        <v>1326</v>
      </c>
      <c r="B8" s="92" t="n">
        <f aca="false">輸入與假設!$C$22</f>
        <v>1</v>
      </c>
      <c r="C8" s="92" t="n">
        <f aca="false">輸入與假設!$C$55</f>
        <v>1</v>
      </c>
    </row>
    <row r="10" customFormat="false" ht="15" hidden="false" customHeight="false" outlineLevel="0" collapsed="false">
      <c r="A10" s="48" t="s">
        <v>1327</v>
      </c>
      <c r="B10" s="9"/>
      <c r="C10" s="9"/>
      <c r="D10" s="9"/>
      <c r="E10" s="9"/>
      <c r="F10" s="9"/>
      <c r="G10" s="9"/>
    </row>
    <row r="11" customFormat="false" ht="15" hidden="false" customHeight="false" outlineLevel="1" collapsed="false">
      <c r="A11" s="7" t="s">
        <v>1328</v>
      </c>
    </row>
    <row r="12" customFormat="false" ht="15" hidden="false" customHeight="false" outlineLevel="1" collapsed="false">
      <c r="A12" s="7" t="s">
        <v>1329</v>
      </c>
    </row>
    <row r="13" customFormat="false" ht="15" hidden="false" customHeight="false" outlineLevel="1" collapsed="false">
      <c r="A13" s="7" t="s">
        <v>1330</v>
      </c>
    </row>
    <row r="14" customFormat="false" ht="15" hidden="false" customHeight="false" outlineLevel="1" collapsed="false">
      <c r="A14" s="7" t="s">
        <v>1331</v>
      </c>
    </row>
    <row r="16" customFormat="false" ht="15" hidden="false" customHeight="false" outlineLevel="0" collapsed="false">
      <c r="A16" s="48" t="s">
        <v>1332</v>
      </c>
      <c r="B16" s="9"/>
      <c r="C16" s="9"/>
      <c r="D16" s="9"/>
      <c r="E16" s="9"/>
      <c r="F16" s="9"/>
      <c r="G16" s="9"/>
    </row>
    <row r="17" customFormat="false" ht="15" hidden="false" customHeight="false" outlineLevel="1" collapsed="false">
      <c r="A17" s="15" t="s">
        <v>1333</v>
      </c>
      <c r="B17" s="15" t="s">
        <v>1334</v>
      </c>
      <c r="C17" s="15" t="s">
        <v>1335</v>
      </c>
      <c r="D17" s="15" t="s">
        <v>1336</v>
      </c>
      <c r="G17" s="15" t="s">
        <v>1337</v>
      </c>
    </row>
    <row r="18" customFormat="false" ht="15" hidden="false" customHeight="false" outlineLevel="1" collapsed="false">
      <c r="A18" s="4" t="s">
        <v>1338</v>
      </c>
      <c r="B18" s="93" t="n">
        <v>10.5</v>
      </c>
      <c r="C18" s="93" t="n">
        <v>14.0989</v>
      </c>
      <c r="D18" s="57" t="n">
        <v>0.3428</v>
      </c>
      <c r="G18" s="7" t="s">
        <v>1339</v>
      </c>
    </row>
    <row r="19" customFormat="false" ht="15" hidden="false" customHeight="false" outlineLevel="1" collapsed="false">
      <c r="A19" s="3" t="s">
        <v>1340</v>
      </c>
      <c r="B19" s="93" t="n">
        <v>34</v>
      </c>
      <c r="C19" s="93" t="n">
        <v>20.2994</v>
      </c>
      <c r="D19" s="57" t="n">
        <v>-0.403</v>
      </c>
      <c r="G19" s="12" t="s">
        <v>1341</v>
      </c>
    </row>
    <row r="20" customFormat="false" ht="15" hidden="false" customHeight="false" outlineLevel="1" collapsed="false">
      <c r="A20" s="3" t="s">
        <v>225</v>
      </c>
      <c r="B20" s="57" t="n">
        <v>0.65</v>
      </c>
      <c r="C20" s="57" t="n">
        <v>0.8566</v>
      </c>
      <c r="D20" s="57" t="n">
        <v>0.2066</v>
      </c>
      <c r="G20" s="12" t="s">
        <v>1342</v>
      </c>
    </row>
    <row r="21" customFormat="false" ht="15" hidden="false" customHeight="false" outlineLevel="1" collapsed="false">
      <c r="A21" s="3" t="s">
        <v>1343</v>
      </c>
      <c r="B21" s="93" t="n">
        <v>10.5</v>
      </c>
      <c r="C21" s="93" t="n">
        <v>12.3908</v>
      </c>
      <c r="D21" s="57" t="n">
        <v>0.1801</v>
      </c>
      <c r="G21" s="7" t="s">
        <v>1344</v>
      </c>
    </row>
    <row r="23" customFormat="false" ht="15" hidden="false" customHeight="false" outlineLevel="0" collapsed="false">
      <c r="A23" s="48" t="s">
        <v>1345</v>
      </c>
      <c r="B23" s="9"/>
      <c r="C23" s="9"/>
      <c r="D23" s="9"/>
      <c r="E23" s="9"/>
      <c r="F23" s="9"/>
      <c r="G23" s="9"/>
    </row>
    <row r="24" customFormat="false" ht="15" hidden="false" customHeight="false" outlineLevel="1" collapsed="false">
      <c r="A24" s="15" t="s">
        <v>1346</v>
      </c>
      <c r="B24" s="94" t="n">
        <v>0.59</v>
      </c>
      <c r="C24" s="94" t="n">
        <v>0.65</v>
      </c>
      <c r="D24" s="94" t="n">
        <v>0.7</v>
      </c>
      <c r="E24" s="94" t="n">
        <v>0.75</v>
      </c>
    </row>
    <row r="25" customFormat="false" ht="15" hidden="false" customHeight="false" outlineLevel="1" collapsed="false">
      <c r="A25" s="4" t="s">
        <v>1347</v>
      </c>
      <c r="B25" s="93" t="n">
        <v>12.6</v>
      </c>
      <c r="C25" s="93" t="n">
        <v>11.38</v>
      </c>
      <c r="D25" s="93" t="n">
        <v>10.51</v>
      </c>
      <c r="E25" s="93" t="n">
        <v>9.74</v>
      </c>
    </row>
    <row r="26" customFormat="false" ht="15" hidden="false" customHeight="false" outlineLevel="1" collapsed="false">
      <c r="A26" s="4" t="s">
        <v>1348</v>
      </c>
      <c r="B26" s="93" t="n">
        <v>13.53</v>
      </c>
      <c r="C26" s="93" t="n">
        <v>12.23</v>
      </c>
      <c r="D26" s="93" t="n">
        <v>11.31</v>
      </c>
      <c r="E26" s="93" t="n">
        <v>10.49</v>
      </c>
    </row>
    <row r="27" customFormat="false" ht="15" hidden="false" customHeight="false" outlineLevel="1" collapsed="false">
      <c r="A27" s="4" t="s">
        <v>1349</v>
      </c>
      <c r="B27" s="93" t="n">
        <v>14.46</v>
      </c>
      <c r="C27" s="93" t="n">
        <v>13.09</v>
      </c>
      <c r="D27" s="93" t="n">
        <v>12.1</v>
      </c>
      <c r="E27" s="93" t="n">
        <v>11.24</v>
      </c>
    </row>
    <row r="28" customFormat="false" ht="15" hidden="false" customHeight="false" outlineLevel="1" collapsed="false">
      <c r="A28" s="4" t="s">
        <v>1350</v>
      </c>
      <c r="B28" s="93" t="n">
        <v>15.57</v>
      </c>
      <c r="C28" s="95" t="n">
        <v>14.1</v>
      </c>
      <c r="D28" s="93" t="n">
        <v>13.05</v>
      </c>
      <c r="E28" s="93" t="n">
        <v>12.13</v>
      </c>
    </row>
    <row r="29" customFormat="false" ht="15" hidden="false" customHeight="false" outlineLevel="1" collapsed="false">
      <c r="A29" s="4" t="s">
        <v>1351</v>
      </c>
      <c r="B29" s="93" t="n">
        <v>16.82</v>
      </c>
      <c r="C29" s="93" t="n">
        <v>15.25</v>
      </c>
      <c r="D29" s="93" t="n">
        <v>14.12</v>
      </c>
      <c r="E29" s="93" t="n">
        <v>13.14</v>
      </c>
    </row>
    <row r="30" customFormat="false" ht="15" hidden="false" customHeight="false" outlineLevel="1" collapsed="false">
      <c r="A30" s="7" t="s">
        <v>1352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19.4" hidden="false" customHeight="false" outlineLevel="0" collapsed="false">
      <c r="A1" s="6" t="s">
        <v>1353</v>
      </c>
    </row>
    <row r="2" customFormat="false" ht="15" hidden="false" customHeight="false" outlineLevel="0" collapsed="false">
      <c r="A2" s="12" t="s">
        <v>1354</v>
      </c>
    </row>
    <row r="4" customFormat="false" ht="15" hidden="false" customHeight="false" outlineLevel="0" collapsed="false">
      <c r="A4" s="15" t="s">
        <v>1355</v>
      </c>
      <c r="B4" s="15" t="s">
        <v>1356</v>
      </c>
      <c r="C4" s="15" t="s">
        <v>1357</v>
      </c>
      <c r="D4" s="16" t="s">
        <v>1358</v>
      </c>
      <c r="E4" s="16" t="s">
        <v>1359</v>
      </c>
      <c r="F4" s="96" t="s">
        <v>1360</v>
      </c>
      <c r="G4" s="15" t="s">
        <v>1361</v>
      </c>
      <c r="H4" s="16" t="s">
        <v>1362</v>
      </c>
      <c r="I4" s="16" t="s">
        <v>1363</v>
      </c>
      <c r="J4" s="15" t="s">
        <v>1364</v>
      </c>
      <c r="K4" s="15" t="s">
        <v>466</v>
      </c>
    </row>
    <row r="5" customFormat="false" ht="15" hidden="false" customHeight="false" outlineLevel="0" collapsed="false">
      <c r="A5" s="4" t="s">
        <v>1365</v>
      </c>
      <c r="B5" s="24" t="n">
        <v>63.81</v>
      </c>
      <c r="C5" s="24" t="n">
        <v>2.16</v>
      </c>
      <c r="D5" s="56" t="n">
        <f aca="false">B5+C5</f>
        <v>65.97</v>
      </c>
      <c r="E5" s="24" t="n">
        <v>1.36</v>
      </c>
      <c r="F5" s="97" t="n">
        <f aca="false">D5/E5</f>
        <v>48.5073529411765</v>
      </c>
      <c r="G5" s="98" t="n">
        <f aca="false">(D5+0)/E5</f>
        <v>48.5073529411765</v>
      </c>
      <c r="H5" s="24" t="n">
        <f aca="false">-0.612+0.418</f>
        <v>-0.194</v>
      </c>
      <c r="I5" s="98" t="str">
        <f aca="false">IF(H5&gt;0,D5/H5,"n/m")</f>
        <v>n/m</v>
      </c>
      <c r="J5" s="12" t="s">
        <v>1366</v>
      </c>
      <c r="K5" s="7" t="s">
        <v>1367</v>
      </c>
    </row>
    <row r="6" customFormat="false" ht="15" hidden="false" customHeight="false" outlineLevel="0" collapsed="false">
      <c r="A6" s="4" t="s">
        <v>1368</v>
      </c>
      <c r="B6" s="24" t="n">
        <v>18.61</v>
      </c>
      <c r="C6" s="24" t="n">
        <v>1.7</v>
      </c>
      <c r="D6" s="56" t="n">
        <f aca="false">B6+C6</f>
        <v>20.31</v>
      </c>
      <c r="E6" s="24" t="n">
        <v>0.707</v>
      </c>
      <c r="F6" s="97" t="n">
        <f aca="false">D6/E6</f>
        <v>28.7270155586987</v>
      </c>
      <c r="G6" s="98" t="n">
        <f aca="false">(D6+0.003)/E6</f>
        <v>28.7312588401697</v>
      </c>
      <c r="H6" s="24" t="n">
        <f aca="false">-1.047+0.418</f>
        <v>-0.629</v>
      </c>
      <c r="I6" s="98" t="str">
        <f aca="false">IF(H6&gt;0,D6/H6,"n/m")</f>
        <v>n/m</v>
      </c>
      <c r="J6" s="12" t="s">
        <v>1369</v>
      </c>
      <c r="K6" s="7" t="s">
        <v>1370</v>
      </c>
    </row>
    <row r="7" customFormat="false" ht="15" hidden="false" customHeight="false" outlineLevel="0" collapsed="false">
      <c r="A7" s="4" t="s">
        <v>1371</v>
      </c>
      <c r="B7" s="24" t="n">
        <v>8.22</v>
      </c>
      <c r="C7" s="24" t="n">
        <v>3.37</v>
      </c>
      <c r="D7" s="56" t="n">
        <f aca="false">B7+C7</f>
        <v>11.59</v>
      </c>
      <c r="E7" s="24" t="n">
        <v>0.6113</v>
      </c>
      <c r="F7" s="97" t="n">
        <f aca="false">D7/E7</f>
        <v>18.9595943072141</v>
      </c>
      <c r="G7" s="98" t="n">
        <f aca="false">(D7+0.066)/E7</f>
        <v>19.0675609357108</v>
      </c>
      <c r="H7" s="24" t="n">
        <f aca="false">-0.236+0.067</f>
        <v>-0.169</v>
      </c>
      <c r="I7" s="98" t="str">
        <f aca="false">IF(H7&gt;0,D7/H7,"n/m")</f>
        <v>n/m</v>
      </c>
      <c r="J7" s="12" t="s">
        <v>1372</v>
      </c>
      <c r="K7" s="7" t="s">
        <v>1373</v>
      </c>
    </row>
    <row r="8" customFormat="false" ht="15" hidden="false" customHeight="false" outlineLevel="0" collapsed="false">
      <c r="A8" s="4" t="s">
        <v>1374</v>
      </c>
      <c r="B8" s="24" t="n">
        <v>5.9</v>
      </c>
      <c r="C8" s="24" t="n">
        <v>2.53</v>
      </c>
      <c r="D8" s="56" t="n">
        <f aca="false">B8+C8</f>
        <v>8.43</v>
      </c>
      <c r="E8" s="24" t="n">
        <v>0.4403</v>
      </c>
      <c r="F8" s="97" t="n">
        <f aca="false">D8/E8</f>
        <v>19.1460367930956</v>
      </c>
      <c r="G8" s="98" t="n">
        <f aca="false">(D8+0.109)/E8</f>
        <v>19.3935952759482</v>
      </c>
      <c r="H8" s="24" t="n">
        <f aca="false">-0.561+0.063</f>
        <v>-0.498</v>
      </c>
      <c r="I8" s="98" t="str">
        <f aca="false">IF(H8&gt;0,D8/H8,"n/m")</f>
        <v>n/m</v>
      </c>
      <c r="J8" s="12" t="s">
        <v>1375</v>
      </c>
      <c r="K8" s="7" t="s">
        <v>1376</v>
      </c>
    </row>
    <row r="9" customFormat="false" ht="15" hidden="false" customHeight="false" outlineLevel="0" collapsed="false">
      <c r="A9" s="2" t="s">
        <v>1377</v>
      </c>
      <c r="F9" s="81" t="n">
        <f aca="false">MEDIAN(F5:F8)</f>
        <v>23.9365261758972</v>
      </c>
      <c r="G9" s="99" t="n">
        <f aca="false">MEDIAN(G5:G8)</f>
        <v>24.062427058059</v>
      </c>
    </row>
    <row r="10" customFormat="false" ht="15" hidden="false" customHeight="false" outlineLevel="0" collapsed="false">
      <c r="A10" s="5" t="s">
        <v>1378</v>
      </c>
      <c r="B10" s="78" t="n">
        <v>47.12</v>
      </c>
      <c r="C10" s="80" t="n">
        <f aca="false">輸入與假設!$C$100</f>
        <v>30</v>
      </c>
      <c r="D10" s="54" t="n">
        <f aca="false">B10+C10</f>
        <v>77.12</v>
      </c>
      <c r="E10" s="78" t="n">
        <v>7.59</v>
      </c>
      <c r="F10" s="81" t="n">
        <f aca="false">D10/E10</f>
        <v>10.1607378129117</v>
      </c>
      <c r="G10" s="99" t="n">
        <f aca="false">(D10+16.319)/E10</f>
        <v>12.3108036890646</v>
      </c>
      <c r="H10" s="78" t="n">
        <f aca="false">-0.231+3.991</f>
        <v>3.76</v>
      </c>
      <c r="I10" s="99" t="n">
        <f aca="false">IF(H10&gt;0,D10/H10,"n/m")</f>
        <v>20.5106382978723</v>
      </c>
      <c r="J10" s="12" t="s">
        <v>1379</v>
      </c>
      <c r="K10" s="12" t="s">
        <v>1380</v>
      </c>
    </row>
    <row r="11" customFormat="false" ht="15" hidden="false" customHeight="false" outlineLevel="0" collapsed="false">
      <c r="A11" s="4" t="s">
        <v>1381</v>
      </c>
      <c r="B11" s="54" t="n">
        <f aca="false">輸入與假設!$C$98*輸入與假設!$C$99</f>
        <v>52.90631</v>
      </c>
      <c r="C11" s="54" t="n">
        <f aca="false">輸入與假設!$C$100</f>
        <v>30</v>
      </c>
      <c r="D11" s="54" t="n">
        <f aca="false">B11+C11</f>
        <v>82.90631</v>
      </c>
      <c r="E11" s="80" t="n">
        <f aca="false">損益!D8</f>
        <v>26.1275</v>
      </c>
      <c r="F11" s="99" t="n">
        <f aca="false">D11/E11</f>
        <v>3.17314362261985</v>
      </c>
      <c r="G11" s="99" t="n">
        <f aca="false">(D11+16.319)/E11</f>
        <v>3.79773457085446</v>
      </c>
      <c r="H11" s="80" t="n">
        <f aca="false">損益!D19</f>
        <v>15.8071375</v>
      </c>
      <c r="I11" s="99" t="n">
        <f aca="false">D11/H11</f>
        <v>5.24486549193363</v>
      </c>
      <c r="K11" s="7" t="s">
        <v>1382</v>
      </c>
    </row>
    <row r="13" customFormat="false" ht="15" hidden="false" customHeight="false" outlineLevel="0" collapsed="false">
      <c r="A13" s="7" t="s">
        <v>1383</v>
      </c>
    </row>
    <row r="14" customFormat="false" ht="15" hidden="false" customHeight="false" outlineLevel="0" collapsed="false">
      <c r="A14" s="12" t="s">
        <v>1384</v>
      </c>
    </row>
    <row r="15" customFormat="false" ht="15" hidden="false" customHeight="false" outlineLevel="0" collapsed="false">
      <c r="A15" s="7" t="s">
        <v>1385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6" t="s">
        <v>1386</v>
      </c>
    </row>
    <row r="3" customFormat="false" ht="15" hidden="false" customHeight="false" outlineLevel="0" collapsed="false">
      <c r="A3" s="15" t="s">
        <v>1387</v>
      </c>
      <c r="B3" s="15" t="s">
        <v>1388</v>
      </c>
      <c r="C3" s="15" t="s">
        <v>1389</v>
      </c>
      <c r="D3" s="15" t="s">
        <v>1390</v>
      </c>
      <c r="E3" s="15" t="s">
        <v>569</v>
      </c>
    </row>
    <row r="4" customFormat="false" ht="15" hidden="false" customHeight="false" outlineLevel="0" collapsed="false">
      <c r="A4" s="4" t="s">
        <v>190</v>
      </c>
      <c r="B4" s="14" t="n">
        <f aca="false">SUM(輸入與假設!C25:G25)</f>
        <v>0.84</v>
      </c>
      <c r="C4" s="100" t="n">
        <f aca="false">輸入與假設!$C$18</f>
        <v>0.84</v>
      </c>
      <c r="D4" s="2" t="str">
        <f aca="false">IF(ABS(B4-C4)&lt;0.0001,"通過","不一致")</f>
        <v>通過</v>
      </c>
      <c r="E4" s="12" t="s">
        <v>1391</v>
      </c>
    </row>
    <row r="5" customFormat="false" ht="15" hidden="false" customHeight="false" outlineLevel="0" collapsed="false">
      <c r="A5" s="3" t="s">
        <v>1392</v>
      </c>
      <c r="B5" s="11" t="n">
        <f aca="false">各期收支!C84</f>
        <v>-2.57571741713036E-014</v>
      </c>
      <c r="C5" s="7" t="n">
        <f aca="false">0</f>
        <v>0</v>
      </c>
      <c r="D5" s="2" t="str">
        <f aca="false">IF(ABS(B5)&lt;0.01,"通過","不一致")</f>
        <v>通過</v>
      </c>
      <c r="E5" s="7" t="s">
        <v>1393</v>
      </c>
    </row>
    <row r="6" customFormat="false" ht="15" hidden="false" customHeight="false" outlineLevel="0" collapsed="false">
      <c r="A6" s="4" t="s">
        <v>1394</v>
      </c>
      <c r="B6" s="10" t="n">
        <f aca="false">運營_產能與收入!G9-運營_產能與收入!G10</f>
        <v>350</v>
      </c>
      <c r="C6" s="12" t="s">
        <v>1395</v>
      </c>
      <c r="D6" s="2" t="str">
        <f aca="false">IF(B6&gt;=0,"通過","不一致")</f>
        <v>通過</v>
      </c>
      <c r="E6" s="7" t="s">
        <v>1396</v>
      </c>
    </row>
    <row r="7" customFormat="false" ht="15" hidden="false" customHeight="false" outlineLevel="0" collapsed="false">
      <c r="A7" s="4" t="s">
        <v>1397</v>
      </c>
      <c r="B7" s="11" t="n">
        <f aca="false">各期收支!C88</f>
        <v>36.975</v>
      </c>
      <c r="C7" s="12" t="s">
        <v>1398</v>
      </c>
      <c r="D7" s="2" t="str">
        <f aca="false">IF(AND(B7&gt;=35,B7&lt;=39),"通過","觀察")</f>
        <v>通過</v>
      </c>
      <c r="E7" s="12" t="s">
        <v>1399</v>
      </c>
    </row>
    <row r="8" customFormat="false" ht="15" hidden="false" customHeight="false" outlineLevel="0" collapsed="false">
      <c r="A8" s="4" t="s">
        <v>1400</v>
      </c>
      <c r="B8" s="11" t="n">
        <f aca="false">各期收支!C87</f>
        <v>13.066</v>
      </c>
      <c r="C8" s="12" t="s">
        <v>1401</v>
      </c>
      <c r="D8" s="2" t="str">
        <f aca="false">IF(AND(B8&gt;=12.4,B8&lt;=13.2),"通過","觀察")</f>
        <v>通過</v>
      </c>
      <c r="E8" s="12" t="s">
        <v>1402</v>
      </c>
    </row>
    <row r="9" customFormat="false" ht="15" hidden="false" customHeight="false" outlineLevel="0" collapsed="false">
      <c r="A9" s="4" t="s">
        <v>1403</v>
      </c>
      <c r="B9" s="44" t="n">
        <f aca="false">SUM(各期收支!C6:G6)/((運營_產能與收入!G9-輸入與假設!$C$20)/1000)/1000*1000</f>
        <v>39.48</v>
      </c>
      <c r="C9" s="12" t="s">
        <v>1404</v>
      </c>
      <c r="D9" s="2" t="str">
        <f aca="false">IF(AND(B9&gt;=20,B9&lt;=45),"通過","觀察")</f>
        <v>通過</v>
      </c>
      <c r="E9" s="7" t="s">
        <v>1405</v>
      </c>
    </row>
    <row r="10" customFormat="false" ht="15" hidden="false" customHeight="false" outlineLevel="0" collapsed="false">
      <c r="A10" s="3" t="s">
        <v>1406</v>
      </c>
      <c r="B10" s="17" t="n">
        <f aca="false">資產負債_租賃承諾!C27</f>
        <v>0.892218223878679</v>
      </c>
      <c r="C10" s="12" t="s">
        <v>1407</v>
      </c>
      <c r="D10" s="2" t="str">
        <f aca="false">IF(B10&gt;=0.8,"通過","不一致")</f>
        <v>通過</v>
      </c>
      <c r="E10" s="12" t="s">
        <v>1408</v>
      </c>
    </row>
    <row r="11" customFormat="false" ht="15" hidden="false" customHeight="false" outlineLevel="0" collapsed="false">
      <c r="A11" s="4" t="s">
        <v>1409</v>
      </c>
      <c r="B11" s="11" t="n">
        <f aca="false">各期收支!C89</f>
        <v>3.54684859865945</v>
      </c>
      <c r="C11" s="12" t="s">
        <v>1410</v>
      </c>
      <c r="D11" s="2" t="str">
        <f aca="false">IF(B11&gt;=2.9,"通過","觀察")</f>
        <v>通過</v>
      </c>
      <c r="E11" s="7" t="str">
        <f aca="false">"1H 實際 1.176＋2H 模型 "&amp;TEXT(各期收支!C13,"0.0")&amp;"；Q3 指引 0.86–0.94／季"</f>
        <v>1H 實際 1.176＋2H 模型 1.8；Q3 指引 0.86–0.94／季</v>
      </c>
    </row>
    <row r="12" customFormat="false" ht="15" hidden="false" customHeight="false" outlineLevel="0" collapsed="false">
      <c r="A12" s="4" t="s">
        <v>1411</v>
      </c>
      <c r="B12" s="28" t="n">
        <f aca="false">SUM(運營_產能與收入!E23:G23)/SUM(運營_產能與收入!E25:G25)</f>
        <v>0.40729557097096</v>
      </c>
      <c r="C12" s="12" t="s">
        <v>1412</v>
      </c>
      <c r="D12" s="2" t="str">
        <f aca="false">IF(B12&lt;0.5,"通過","觀察")</f>
        <v>通過</v>
      </c>
      <c r="E12" s="12" t="s">
        <v>1413</v>
      </c>
    </row>
    <row r="13" customFormat="false" ht="15" hidden="false" customHeight="false" outlineLevel="0" collapsed="false">
      <c r="A13" s="3" t="s">
        <v>1414</v>
      </c>
      <c r="B13" s="54" t="n">
        <f aca="false">損益!D6-運營_產能與收入!D25</f>
        <v>0</v>
      </c>
      <c r="C13" s="7" t="n">
        <f aca="false">0</f>
        <v>0</v>
      </c>
      <c r="D13" s="2" t="str">
        <f aca="false">IF(ABS(B13)&lt;0.001,"通過","不一致")</f>
        <v>通過</v>
      </c>
      <c r="E13" s="12" t="s">
        <v>1415</v>
      </c>
    </row>
    <row r="14" customFormat="false" ht="15" hidden="false" customHeight="false" outlineLevel="0" collapsed="false">
      <c r="A14" s="3" t="s">
        <v>1252</v>
      </c>
      <c r="B14" s="14" t="n">
        <f aca="false">評價_DCF與目標價!C26</f>
        <v>3.88818583833082</v>
      </c>
      <c r="C14" s="7" t="str">
        <f aca="false">"&lt;"&amp;IF(ROUND(ABS(輸入與假設!$C$140)*100,4)=INT(ROUND(ABS(輸入與假設!$C$140)*100,4)),TEXT(ROUND(ABS(輸入與假設!$C$140)*100,4),"0"),TEXT(ROUND(ABS(輸入與假設!$C$140)*100,4),"0.0"))&amp;"%"</f>
        <v>&lt;85%</v>
      </c>
      <c r="D14" s="2" t="str">
        <f aca="false">IF(B14&lt;輸入與假設!$C$140,"通過","觀察")</f>
        <v>觀察</v>
      </c>
      <c r="E14" s="7" t="s">
        <v>1416</v>
      </c>
    </row>
    <row r="15" customFormat="false" ht="15" hidden="false" customHeight="false" outlineLevel="0" collapsed="false">
      <c r="A15" s="4" t="s">
        <v>1417</v>
      </c>
      <c r="B15" s="101" t="n">
        <f aca="false">損益!D19/損益!D8-輸入與假設!D39</f>
        <v>0</v>
      </c>
      <c r="C15" s="7" t="n">
        <f aca="false">0</f>
        <v>0</v>
      </c>
      <c r="D15" s="2" t="str">
        <f aca="false">IF(ABS(B15)&lt;0.0001,"通過","不一致")</f>
        <v>通過</v>
      </c>
      <c r="E15" s="7" t="s">
        <v>1418</v>
      </c>
    </row>
    <row r="16" customFormat="false" ht="15" hidden="false" customHeight="false" outlineLevel="0" collapsed="false">
      <c r="A16" s="3" t="s">
        <v>1419</v>
      </c>
      <c r="B16" s="54" t="n">
        <f aca="false">(運營_產能與收入!D36+運營_產能與收入!D37+輸入與假設!D40-各期收支!D12)+(運營_產能與收入!D31+運營_產能與收入!D23*輸入與假設!D31*(1-輸入與假設!D32))*運營_產能與收入!D35-損益!D19</f>
        <v>0</v>
      </c>
      <c r="C16" s="7" t="n">
        <f aca="false">0</f>
        <v>0</v>
      </c>
      <c r="D16" s="2" t="str">
        <f aca="false">IF(ABS(B16)&lt;0.001,"通過","不一致")</f>
        <v>通過</v>
      </c>
      <c r="E16" s="7" t="s">
        <v>1420</v>
      </c>
    </row>
    <row r="17" customFormat="false" ht="15" hidden="false" customHeight="false" outlineLevel="0" collapsed="false">
      <c r="A17" s="4" t="s">
        <v>1421</v>
      </c>
      <c r="B17" s="44" t="n">
        <f aca="false">評價_DCF與目標價!C29</f>
        <v>0</v>
      </c>
      <c r="C17" s="12" t="s">
        <v>1422</v>
      </c>
      <c r="D17" s="2" t="str">
        <f aca="false">IF(B17=0,"通過","觀察")</f>
        <v>通過</v>
      </c>
      <c r="E17" s="7" t="s">
        <v>1423</v>
      </c>
    </row>
    <row r="18" customFormat="false" ht="15" hidden="false" customHeight="false" outlineLevel="0" collapsed="false">
      <c r="A18" s="3" t="s">
        <v>1424</v>
      </c>
      <c r="B18" s="54" t="n">
        <f aca="false">MIN(各期收支!C41:G41)</f>
        <v>2</v>
      </c>
      <c r="C18" s="12" t="s">
        <v>1425</v>
      </c>
      <c r="D18" s="2" t="str">
        <f aca="false">IF(B18&gt;=1.999,"通過","不一致")</f>
        <v>通過</v>
      </c>
      <c r="E18" s="7" t="s">
        <v>1426</v>
      </c>
    </row>
    <row r="19" customFormat="false" ht="15" hidden="false" customHeight="false" outlineLevel="0" collapsed="false">
      <c r="A19" s="3" t="s">
        <v>1427</v>
      </c>
      <c r="B19" s="99" t="n">
        <f aca="false">SUM(各期收支!C61:G61)/(輸入與假設!$C$98*輸入與假設!$C$99)</f>
        <v>0.262845001704695</v>
      </c>
      <c r="C19" s="7" t="str">
        <f aca="false">"≤"&amp;IF(輸入與假設!$C$137=INT(輸入與假設!$C$137),TEXT(輸入與假設!$C$137,"0"),TEXT(輸入與假設!$C$137,"0.0"))&amp;"x"</f>
        <v>≤1.5x</v>
      </c>
      <c r="D19" s="2" t="str">
        <f aca="false">IF(B19&lt;=輸入與假設!$C$137,"通過","觀察")</f>
        <v>通過</v>
      </c>
      <c r="E19" s="7" t="str">
        <f aca="false">"超過 "&amp;IF(輸入與假設!$C$137=INT(輸入與假設!$C$137),TEXT(輸入與假設!$C$137,"0"),TEXT(輸入與假設!$C$137,"0.0"))&amp;" 倍：市場吸收能力存疑，結論不得為買進"</f>
        <v>超過 1.5 倍：市場吸收能力存疑，結論不得為買進</v>
      </c>
    </row>
    <row r="20" customFormat="false" ht="15" hidden="false" customHeight="false" outlineLevel="0" collapsed="false">
      <c r="A20" s="3" t="s">
        <v>1428</v>
      </c>
      <c r="B20" s="54" t="n">
        <f aca="false">資產負債_既有債務!E21</f>
        <v>35.551</v>
      </c>
      <c r="C20" s="12" t="s">
        <v>1429</v>
      </c>
      <c r="D20" s="2" t="str">
        <f aca="false">IF(ABS(B20-35.551)&lt;0.01,"通過","不一致")</f>
        <v>通過</v>
      </c>
      <c r="E20" s="12" t="s">
        <v>1430</v>
      </c>
    </row>
    <row r="21" customFormat="false" ht="15" hidden="false" customHeight="false" outlineLevel="0" collapsed="false">
      <c r="A21" s="4" t="s">
        <v>1431</v>
      </c>
      <c r="B21" s="54" t="n">
        <f aca="false">輸入與假設!C68</f>
        <v>36.975</v>
      </c>
      <c r="C21" s="12" t="s">
        <v>1398</v>
      </c>
      <c r="D21" s="2" t="str">
        <f aca="false">IF(AND(B21&gt;=35,B21&lt;=39),"通過","觀察")</f>
        <v>通過</v>
      </c>
      <c r="E21" s="7" t="s">
        <v>1432</v>
      </c>
    </row>
    <row r="22" customFormat="false" ht="15" hidden="false" customHeight="false" outlineLevel="0" collapsed="false">
      <c r="A22" s="4" t="s">
        <v>1433</v>
      </c>
      <c r="B22" s="54" t="n">
        <f aca="false">SUM(輸入與假設!C61:G61)</f>
        <v>1.15</v>
      </c>
      <c r="C22" s="7" t="n">
        <f aca="false">1.15</f>
        <v>1.15</v>
      </c>
      <c r="D22" s="2" t="str">
        <f aca="false">IF(ABS(B22-1.15)&lt;0.01,"通過","不一致")</f>
        <v>通過</v>
      </c>
      <c r="E22" s="12" t="s">
        <v>1434</v>
      </c>
    </row>
    <row r="23" customFormat="false" ht="15" hidden="false" customHeight="false" outlineLevel="0" collapsed="false">
      <c r="A23" s="3" t="s">
        <v>1435</v>
      </c>
      <c r="B23" s="54" t="n">
        <f aca="false">運營_站點!G25</f>
        <v>0.998180473372781</v>
      </c>
      <c r="C23" s="7" t="s">
        <v>1436</v>
      </c>
      <c r="D23" s="2" t="str">
        <f aca="false">IF(B23&gt;=運營_站點!$H$9*運營_站點!$C$26*0.8,"通過","觀察")</f>
        <v>觀察</v>
      </c>
      <c r="E23" s="7" t="s">
        <v>1437</v>
      </c>
    </row>
    <row r="24" customFormat="false" ht="15" hidden="false" customHeight="false" outlineLevel="0" collapsed="false">
      <c r="A24" s="3" t="s">
        <v>1438</v>
      </c>
      <c r="B24" s="54" t="n">
        <f aca="false">運營_站點!$C$29</f>
        <v>3.29166034970789</v>
      </c>
      <c r="C24" s="12" t="s">
        <v>1439</v>
      </c>
      <c r="D24" s="2" t="str">
        <f aca="false">IF(B24&lt;10,"通過","觀察")</f>
        <v>通過</v>
      </c>
      <c r="E24" s="7" t="s">
        <v>1440</v>
      </c>
    </row>
    <row r="26" customFormat="false" ht="15" hidden="false" customHeight="false" outlineLevel="0" collapsed="false">
      <c r="A26" s="2" t="s">
        <v>1441</v>
      </c>
    </row>
    <row r="27" customFormat="false" ht="15" hidden="false" customHeight="false" outlineLevel="0" collapsed="false">
      <c r="A27" s="3" t="s">
        <v>1442</v>
      </c>
      <c r="B27" s="11" t="n">
        <f aca="false">SUM(運營_產能與收入!C17:G17)</f>
        <v>108.108</v>
      </c>
    </row>
    <row r="28" customFormat="false" ht="15" hidden="false" customHeight="false" outlineLevel="0" collapsed="false">
      <c r="A28" s="3" t="s">
        <v>1443</v>
      </c>
      <c r="B28" s="11" t="n">
        <f aca="false">SUM(運營_產能與收入!C19:G19)</f>
        <v>6.33474999999999</v>
      </c>
    </row>
    <row r="29" customFormat="false" ht="15" hidden="false" customHeight="false" outlineLevel="0" collapsed="false">
      <c r="A29" s="3" t="s">
        <v>1444</v>
      </c>
      <c r="B29" s="11" t="n">
        <f aca="false">SUM(運營_產能與收入!C23:G23)</f>
        <v>47.094444</v>
      </c>
    </row>
    <row r="30" customFormat="false" ht="15" hidden="false" customHeight="false" outlineLevel="0" collapsed="false">
      <c r="A30" s="3" t="s">
        <v>1445</v>
      </c>
      <c r="B30" s="11" t="n">
        <f aca="false">SUM(輸入與假設!C73:G73)</f>
        <v>151.651</v>
      </c>
    </row>
    <row r="31" customFormat="false" ht="15" hidden="false" customHeight="false" outlineLevel="0" collapsed="false">
      <c r="A31" s="3" t="s">
        <v>1446</v>
      </c>
      <c r="B31" s="11" t="n">
        <f aca="false">SUM(各期收支!C12:G12)</f>
        <v>20.3178933002481</v>
      </c>
    </row>
    <row r="32" customFormat="false" ht="15" hidden="false" customHeight="false" outlineLevel="0" collapsed="false">
      <c r="A32" s="3" t="s">
        <v>1447</v>
      </c>
      <c r="B32" s="11" t="n">
        <f aca="false">SUM(各期收支!C17:G17)</f>
        <v>32.1259689556061</v>
      </c>
    </row>
    <row r="33" customFormat="false" ht="15" hidden="false" customHeight="false" outlineLevel="0" collapsed="false">
      <c r="A33" s="3" t="s">
        <v>1448</v>
      </c>
      <c r="B33" s="11" t="n">
        <f aca="false">SUM(輸入與假設!C93:G93)*輸入與假設!$C$82</f>
        <v>20.655</v>
      </c>
    </row>
    <row r="34" customFormat="false" ht="15" hidden="false" customHeight="false" outlineLevel="0" collapsed="false">
      <c r="A34" s="3" t="s">
        <v>1449</v>
      </c>
      <c r="B34" s="11" t="n">
        <f aca="false">SUM(各期收支!C39:G39)-(輸入與假設!$C$144-輸入與假設!$C$145-輸入與假設!$C$147)</f>
        <v>-75.3411151421392</v>
      </c>
    </row>
    <row r="35" customFormat="false" ht="15" hidden="false" customHeight="false" outlineLevel="0" collapsed="false">
      <c r="A35" s="4" t="s">
        <v>1450</v>
      </c>
      <c r="B35" s="11" t="n">
        <f aca="false">SUM(各期收支!C39:G39)</f>
        <v>-86.4831151421392</v>
      </c>
    </row>
    <row r="36" customFormat="false" ht="15" hidden="false" customHeight="false" outlineLevel="0" collapsed="false">
      <c r="A36" s="3" t="s">
        <v>1098</v>
      </c>
      <c r="B36" s="11" t="n">
        <f aca="false">各期收支!G41</f>
        <v>2</v>
      </c>
    </row>
    <row r="37" customFormat="false" ht="15" hidden="false" customHeight="false" outlineLevel="0" collapsed="false">
      <c r="A37" s="4" t="s">
        <v>1451</v>
      </c>
      <c r="B37" s="13" t="n">
        <f aca="false">評價_DCF與目標價!C25</f>
        <v>0</v>
      </c>
    </row>
    <row r="38" customFormat="false" ht="15" hidden="false" customHeight="false" outlineLevel="0" collapsed="false">
      <c r="A38" s="3" t="s">
        <v>1276</v>
      </c>
      <c r="B38" s="13" t="n">
        <f aca="false">評價_DCF與目標價!C48</f>
        <v>45.501149936383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6" t="s">
        <v>1452</v>
      </c>
    </row>
    <row r="2" customFormat="false" ht="15" hidden="false" customHeight="false" outlineLevel="0" collapsed="false">
      <c r="A2" s="12" t="s">
        <v>1453</v>
      </c>
    </row>
    <row r="4" customFormat="false" ht="15" hidden="false" customHeight="false" outlineLevel="0" collapsed="false">
      <c r="A4" s="15" t="s">
        <v>1454</v>
      </c>
      <c r="B4" s="15" t="s">
        <v>1455</v>
      </c>
      <c r="C4" s="15" t="s">
        <v>1456</v>
      </c>
      <c r="D4" s="15" t="s">
        <v>1457</v>
      </c>
      <c r="E4" s="15" t="s">
        <v>1458</v>
      </c>
    </row>
    <row r="5" customFormat="false" ht="52.2" hidden="false" customHeight="false" outlineLevel="0" collapsed="false">
      <c r="A5" s="102" t="s">
        <v>1459</v>
      </c>
      <c r="B5" s="102" t="s">
        <v>1460</v>
      </c>
      <c r="C5" s="103" t="s">
        <v>1461</v>
      </c>
      <c r="D5" s="104" t="s">
        <v>1462</v>
      </c>
      <c r="E5" s="103" t="s">
        <v>1463</v>
      </c>
    </row>
    <row r="6" customFormat="false" ht="52.2" hidden="false" customHeight="false" outlineLevel="0" collapsed="false">
      <c r="A6" s="102" t="s">
        <v>1464</v>
      </c>
      <c r="B6" s="102" t="s">
        <v>1460</v>
      </c>
      <c r="C6" s="103" t="s">
        <v>1465</v>
      </c>
      <c r="D6" s="104" t="s">
        <v>1466</v>
      </c>
      <c r="E6" s="103" t="s">
        <v>1467</v>
      </c>
    </row>
    <row r="7" customFormat="false" ht="26.85" hidden="false" customHeight="false" outlineLevel="0" collapsed="false">
      <c r="A7" s="102" t="s">
        <v>1468</v>
      </c>
      <c r="B7" s="102" t="s">
        <v>1469</v>
      </c>
      <c r="C7" s="103" t="s">
        <v>1470</v>
      </c>
      <c r="D7" s="104" t="s">
        <v>1466</v>
      </c>
      <c r="E7" s="103" t="s">
        <v>1471</v>
      </c>
    </row>
    <row r="8" customFormat="false" ht="26.85" hidden="false" customHeight="false" outlineLevel="0" collapsed="false">
      <c r="A8" s="102" t="s">
        <v>1472</v>
      </c>
      <c r="B8" s="102" t="s">
        <v>1469</v>
      </c>
      <c r="C8" s="103" t="s">
        <v>1473</v>
      </c>
      <c r="D8" s="104" t="s">
        <v>1474</v>
      </c>
      <c r="E8" s="103" t="s">
        <v>1475</v>
      </c>
    </row>
    <row r="9" customFormat="false" ht="26.85" hidden="false" customHeight="false" outlineLevel="0" collapsed="false">
      <c r="A9" s="102" t="s">
        <v>1476</v>
      </c>
      <c r="B9" s="102" t="s">
        <v>1469</v>
      </c>
      <c r="C9" s="103" t="s">
        <v>1477</v>
      </c>
      <c r="D9" s="104" t="s">
        <v>1474</v>
      </c>
      <c r="E9" s="103" t="s">
        <v>1478</v>
      </c>
    </row>
    <row r="10" customFormat="false" ht="26.85" hidden="false" customHeight="false" outlineLevel="0" collapsed="false">
      <c r="A10" s="102" t="s">
        <v>1479</v>
      </c>
      <c r="B10" s="102" t="s">
        <v>1480</v>
      </c>
      <c r="C10" s="103" t="s">
        <v>1481</v>
      </c>
      <c r="D10" s="104" t="s">
        <v>1474</v>
      </c>
      <c r="E10" s="103" t="s">
        <v>1475</v>
      </c>
    </row>
    <row r="11" customFormat="false" ht="26.85" hidden="false" customHeight="false" outlineLevel="0" collapsed="false">
      <c r="A11" s="102" t="s">
        <v>1482</v>
      </c>
      <c r="B11" s="102" t="s">
        <v>1480</v>
      </c>
      <c r="C11" s="105" t="s">
        <v>1483</v>
      </c>
      <c r="D11" s="104" t="s">
        <v>1474</v>
      </c>
      <c r="E11" s="103" t="s">
        <v>1484</v>
      </c>
    </row>
    <row r="12" customFormat="false" ht="26.85" hidden="false" customHeight="false" outlineLevel="0" collapsed="false">
      <c r="A12" s="102" t="s">
        <v>1485</v>
      </c>
      <c r="B12" s="102" t="s">
        <v>1480</v>
      </c>
      <c r="C12" s="105" t="s">
        <v>1486</v>
      </c>
      <c r="D12" s="104" t="s">
        <v>1487</v>
      </c>
      <c r="E12" s="103" t="s">
        <v>1488</v>
      </c>
    </row>
    <row r="13" customFormat="false" ht="26.85" hidden="false" customHeight="false" outlineLevel="0" collapsed="false">
      <c r="A13" s="102" t="s">
        <v>1489</v>
      </c>
      <c r="B13" s="102" t="s">
        <v>1480</v>
      </c>
      <c r="C13" s="103" t="s">
        <v>1490</v>
      </c>
      <c r="D13" s="104" t="s">
        <v>1487</v>
      </c>
      <c r="E13" s="103" t="s">
        <v>1491</v>
      </c>
    </row>
    <row r="14" customFormat="false" ht="15" hidden="false" customHeight="false" outlineLevel="0" collapsed="false">
      <c r="A14" s="102" t="s">
        <v>1492</v>
      </c>
      <c r="B14" s="102" t="s">
        <v>1493</v>
      </c>
      <c r="C14" s="103" t="s">
        <v>1494</v>
      </c>
      <c r="D14" s="104" t="s">
        <v>1487</v>
      </c>
      <c r="E14" s="103" t="s">
        <v>1495</v>
      </c>
    </row>
    <row r="15" customFormat="false" ht="15" hidden="false" customHeight="false" outlineLevel="0" collapsed="false">
      <c r="A15" s="102" t="s">
        <v>1496</v>
      </c>
      <c r="B15" s="102" t="s">
        <v>1493</v>
      </c>
      <c r="C15" s="103" t="s">
        <v>1497</v>
      </c>
      <c r="D15" s="104" t="s">
        <v>1487</v>
      </c>
      <c r="E15" s="103" t="s">
        <v>1491</v>
      </c>
    </row>
    <row r="16" customFormat="false" ht="15" hidden="false" customHeight="false" outlineLevel="0" collapsed="false">
      <c r="A16" s="102" t="s">
        <v>1498</v>
      </c>
      <c r="B16" s="102" t="s">
        <v>1493</v>
      </c>
      <c r="C16" s="103" t="s">
        <v>1499</v>
      </c>
      <c r="D16" s="104" t="s">
        <v>1487</v>
      </c>
      <c r="E16" s="103" t="s">
        <v>1491</v>
      </c>
    </row>
    <row r="17" customFormat="false" ht="15" hidden="false" customHeight="false" outlineLevel="0" collapsed="false">
      <c r="A17" s="102" t="s">
        <v>1500</v>
      </c>
      <c r="B17" s="102" t="s">
        <v>1493</v>
      </c>
      <c r="C17" s="105" t="s">
        <v>1501</v>
      </c>
      <c r="D17" s="104" t="s">
        <v>1487</v>
      </c>
      <c r="E17" s="103" t="s">
        <v>1502</v>
      </c>
    </row>
    <row r="18" customFormat="false" ht="15" hidden="false" customHeight="false" outlineLevel="0" collapsed="false">
      <c r="A18" s="102" t="s">
        <v>1503</v>
      </c>
      <c r="B18" s="102" t="s">
        <v>1493</v>
      </c>
      <c r="C18" s="105" t="s">
        <v>1504</v>
      </c>
      <c r="D18" s="104" t="s">
        <v>1487</v>
      </c>
      <c r="E18" s="103" t="s">
        <v>1491</v>
      </c>
    </row>
    <row r="19" customFormat="false" ht="15" hidden="false" customHeight="false" outlineLevel="0" collapsed="false">
      <c r="A19" s="102" t="s">
        <v>1505</v>
      </c>
      <c r="B19" s="102" t="s">
        <v>1493</v>
      </c>
      <c r="C19" s="103" t="s">
        <v>1506</v>
      </c>
      <c r="D19" s="104" t="s">
        <v>1487</v>
      </c>
      <c r="E19" s="103" t="s">
        <v>1507</v>
      </c>
    </row>
    <row r="20" customFormat="false" ht="15" hidden="false" customHeight="false" outlineLevel="0" collapsed="false">
      <c r="A20" s="102" t="s">
        <v>1508</v>
      </c>
      <c r="B20" s="102" t="s">
        <v>1509</v>
      </c>
      <c r="C20" s="103" t="s">
        <v>1510</v>
      </c>
      <c r="D20" s="104" t="s">
        <v>1487</v>
      </c>
      <c r="E20" s="103" t="s">
        <v>1491</v>
      </c>
    </row>
    <row r="21" customFormat="false" ht="15" hidden="false" customHeight="false" outlineLevel="0" collapsed="false">
      <c r="A21" s="102" t="s">
        <v>1511</v>
      </c>
      <c r="B21" s="102" t="s">
        <v>1509</v>
      </c>
      <c r="C21" s="103" t="s">
        <v>1512</v>
      </c>
      <c r="D21" s="104" t="s">
        <v>1487</v>
      </c>
      <c r="E21" s="103" t="s">
        <v>1491</v>
      </c>
    </row>
    <row r="22" customFormat="false" ht="15" hidden="false" customHeight="false" outlineLevel="0" collapsed="false">
      <c r="A22" s="102" t="s">
        <v>1513</v>
      </c>
      <c r="B22" s="102" t="s">
        <v>1509</v>
      </c>
      <c r="C22" s="105" t="s">
        <v>1514</v>
      </c>
      <c r="D22" s="104" t="s">
        <v>1487</v>
      </c>
      <c r="E22" s="103" t="s">
        <v>1515</v>
      </c>
    </row>
    <row r="23" customFormat="false" ht="15" hidden="false" customHeight="false" outlineLevel="0" collapsed="false">
      <c r="A23" s="102" t="s">
        <v>1516</v>
      </c>
      <c r="B23" s="102" t="s">
        <v>1509</v>
      </c>
      <c r="C23" s="105" t="s">
        <v>1517</v>
      </c>
      <c r="D23" s="104" t="s">
        <v>1518</v>
      </c>
      <c r="E23" s="103" t="s">
        <v>1491</v>
      </c>
    </row>
    <row r="24" customFormat="false" ht="15" hidden="false" customHeight="false" outlineLevel="0" collapsed="false">
      <c r="A24" s="102" t="s">
        <v>1519</v>
      </c>
      <c r="B24" s="102" t="s">
        <v>1509</v>
      </c>
      <c r="C24" s="103" t="s">
        <v>1520</v>
      </c>
      <c r="D24" s="104" t="s">
        <v>1518</v>
      </c>
      <c r="E24" s="103" t="s">
        <v>1491</v>
      </c>
    </row>
    <row r="25" customFormat="false" ht="15" hidden="false" customHeight="false" outlineLevel="0" collapsed="false">
      <c r="A25" s="102" t="s">
        <v>1521</v>
      </c>
      <c r="B25" s="102" t="s">
        <v>1509</v>
      </c>
      <c r="C25" s="103" t="s">
        <v>1522</v>
      </c>
      <c r="D25" s="104" t="s">
        <v>1518</v>
      </c>
      <c r="E25" s="103" t="s">
        <v>1523</v>
      </c>
    </row>
    <row r="26" customFormat="false" ht="15" hidden="false" customHeight="false" outlineLevel="0" collapsed="false">
      <c r="A26" s="102" t="s">
        <v>1524</v>
      </c>
      <c r="B26" s="102" t="s">
        <v>1525</v>
      </c>
      <c r="C26" s="103" t="s">
        <v>1526</v>
      </c>
      <c r="D26" s="104" t="s">
        <v>1527</v>
      </c>
      <c r="E26" s="103" t="s">
        <v>1528</v>
      </c>
    </row>
    <row r="27" customFormat="false" ht="15" hidden="false" customHeight="false" outlineLevel="0" collapsed="false">
      <c r="A27" s="102" t="s">
        <v>1529</v>
      </c>
      <c r="B27" s="102" t="s">
        <v>1530</v>
      </c>
      <c r="C27" s="103" t="s">
        <v>1531</v>
      </c>
      <c r="D27" s="104" t="s">
        <v>1532</v>
      </c>
      <c r="E27" s="103" t="s">
        <v>1533</v>
      </c>
    </row>
    <row r="28" customFormat="false" ht="15" hidden="false" customHeight="false" outlineLevel="0" collapsed="false">
      <c r="A28" s="102" t="s">
        <v>1534</v>
      </c>
      <c r="B28" s="102" t="s">
        <v>1530</v>
      </c>
      <c r="C28" s="103" t="s">
        <v>1535</v>
      </c>
      <c r="D28" s="104" t="s">
        <v>1487</v>
      </c>
      <c r="E28" s="103" t="s">
        <v>1536</v>
      </c>
    </row>
    <row r="29" customFormat="false" ht="15" hidden="false" customHeight="false" outlineLevel="0" collapsed="false">
      <c r="A29" s="102" t="s">
        <v>1537</v>
      </c>
      <c r="B29" s="102" t="s">
        <v>1530</v>
      </c>
      <c r="C29" s="105" t="s">
        <v>1538</v>
      </c>
      <c r="D29" s="104" t="s">
        <v>1539</v>
      </c>
      <c r="E29" s="103" t="s">
        <v>1491</v>
      </c>
    </row>
    <row r="30" customFormat="false" ht="15" hidden="false" customHeight="false" outlineLevel="0" collapsed="false">
      <c r="A30" s="102" t="s">
        <v>1540</v>
      </c>
      <c r="B30" s="102" t="s">
        <v>1530</v>
      </c>
      <c r="C30" s="103" t="s">
        <v>1541</v>
      </c>
      <c r="D30" s="104" t="s">
        <v>1539</v>
      </c>
      <c r="E30" s="105" t="s">
        <v>1542</v>
      </c>
    </row>
    <row r="31" customFormat="false" ht="15" hidden="false" customHeight="false" outlineLevel="0" collapsed="false">
      <c r="A31" s="102" t="s">
        <v>1543</v>
      </c>
      <c r="B31" s="102" t="s">
        <v>1530</v>
      </c>
      <c r="C31" s="105" t="s">
        <v>1544</v>
      </c>
      <c r="D31" s="104" t="s">
        <v>1545</v>
      </c>
      <c r="E31" s="103" t="s">
        <v>1491</v>
      </c>
    </row>
    <row r="32" customFormat="false" ht="15" hidden="false" customHeight="false" outlineLevel="0" collapsed="false">
      <c r="A32" s="102" t="s">
        <v>1546</v>
      </c>
      <c r="B32" s="102" t="s">
        <v>1530</v>
      </c>
      <c r="C32" s="103" t="s">
        <v>1547</v>
      </c>
      <c r="D32" s="104" t="s">
        <v>1545</v>
      </c>
      <c r="E32" s="105" t="s">
        <v>1548</v>
      </c>
    </row>
    <row r="33" customFormat="false" ht="15" hidden="false" customHeight="false" outlineLevel="0" collapsed="false">
      <c r="A33" s="102" t="s">
        <v>1549</v>
      </c>
      <c r="B33" s="102" t="s">
        <v>1530</v>
      </c>
      <c r="C33" s="103" t="s">
        <v>1550</v>
      </c>
      <c r="D33" s="104" t="s">
        <v>1551</v>
      </c>
      <c r="E33" s="103" t="s">
        <v>1491</v>
      </c>
    </row>
    <row r="34" customFormat="false" ht="15" hidden="false" customHeight="false" outlineLevel="0" collapsed="false">
      <c r="A34" s="102" t="s">
        <v>1552</v>
      </c>
      <c r="B34" s="102" t="s">
        <v>1530</v>
      </c>
      <c r="C34" s="105" t="s">
        <v>1553</v>
      </c>
      <c r="D34" s="104" t="s">
        <v>1551</v>
      </c>
      <c r="E34" s="103" t="s">
        <v>1491</v>
      </c>
    </row>
    <row r="35" customFormat="false" ht="15" hidden="false" customHeight="false" outlineLevel="0" collapsed="false">
      <c r="A35" s="102" t="s">
        <v>1554</v>
      </c>
      <c r="B35" s="102" t="s">
        <v>1530</v>
      </c>
      <c r="C35" s="105" t="s">
        <v>1555</v>
      </c>
      <c r="D35" s="104" t="s">
        <v>1551</v>
      </c>
      <c r="E35" s="103" t="s">
        <v>1556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6" t="s">
        <v>1557</v>
      </c>
    </row>
    <row r="3" customFormat="false" ht="15" hidden="false" customHeight="false" outlineLevel="0" collapsed="false">
      <c r="A3" s="15" t="s">
        <v>1558</v>
      </c>
      <c r="B3" s="15" t="s">
        <v>1559</v>
      </c>
    </row>
    <row r="4" customFormat="false" ht="45.75" hidden="false" customHeight="true" outlineLevel="0" collapsed="false">
      <c r="A4" s="5" t="s">
        <v>468</v>
      </c>
      <c r="B4" s="105" t="s">
        <v>1560</v>
      </c>
    </row>
    <row r="5" customFormat="false" ht="45.75" hidden="false" customHeight="true" outlineLevel="0" collapsed="false">
      <c r="A5" s="5" t="s">
        <v>468</v>
      </c>
      <c r="B5" s="103" t="s">
        <v>1561</v>
      </c>
    </row>
    <row r="6" customFormat="false" ht="45.75" hidden="false" customHeight="true" outlineLevel="0" collapsed="false">
      <c r="A6" s="5" t="s">
        <v>468</v>
      </c>
      <c r="B6" s="105" t="s">
        <v>1562</v>
      </c>
    </row>
    <row r="7" customFormat="false" ht="45.75" hidden="false" customHeight="true" outlineLevel="0" collapsed="false">
      <c r="A7" s="5" t="s">
        <v>468</v>
      </c>
      <c r="B7" s="103" t="s">
        <v>1563</v>
      </c>
    </row>
    <row r="8" customFormat="false" ht="45.75" hidden="false" customHeight="true" outlineLevel="0" collapsed="false">
      <c r="A8" s="5" t="s">
        <v>468</v>
      </c>
      <c r="B8" s="103" t="s">
        <v>1564</v>
      </c>
    </row>
    <row r="9" customFormat="false" ht="45.75" hidden="false" customHeight="true" outlineLevel="0" collapsed="false">
      <c r="A9" s="5" t="s">
        <v>468</v>
      </c>
      <c r="B9" s="105" t="s">
        <v>1565</v>
      </c>
    </row>
    <row r="10" customFormat="false" ht="45.75" hidden="false" customHeight="true" outlineLevel="0" collapsed="false">
      <c r="A10" s="5" t="s">
        <v>468</v>
      </c>
      <c r="B10" s="103" t="s">
        <v>1566</v>
      </c>
    </row>
    <row r="11" customFormat="false" ht="45.75" hidden="false" customHeight="true" outlineLevel="0" collapsed="false">
      <c r="A11" s="5" t="s">
        <v>472</v>
      </c>
      <c r="B11" s="103" t="s">
        <v>1567</v>
      </c>
    </row>
    <row r="12" customFormat="false" ht="45.75" hidden="false" customHeight="true" outlineLevel="0" collapsed="false">
      <c r="A12" s="5" t="s">
        <v>472</v>
      </c>
      <c r="B12" s="103" t="s">
        <v>1568</v>
      </c>
    </row>
    <row r="13" customFormat="false" ht="45.75" hidden="false" customHeight="true" outlineLevel="0" collapsed="false">
      <c r="A13" s="5" t="s">
        <v>472</v>
      </c>
      <c r="B13" s="105" t="s">
        <v>1569</v>
      </c>
    </row>
    <row r="14" customFormat="false" ht="45.75" hidden="false" customHeight="true" outlineLevel="0" collapsed="false">
      <c r="A14" s="5" t="s">
        <v>1570</v>
      </c>
      <c r="B14" s="105" t="s">
        <v>1571</v>
      </c>
    </row>
    <row r="15" customFormat="false" ht="45.75" hidden="false" customHeight="true" outlineLevel="0" collapsed="false">
      <c r="A15" s="5" t="s">
        <v>1572</v>
      </c>
      <c r="B15" s="105" t="s">
        <v>1573</v>
      </c>
    </row>
    <row r="16" customFormat="false" ht="45.75" hidden="false" customHeight="true" outlineLevel="0" collapsed="false">
      <c r="A16" s="5" t="s">
        <v>1574</v>
      </c>
      <c r="B16" s="105" t="s">
        <v>1575</v>
      </c>
    </row>
    <row r="17" customFormat="false" ht="45.75" hidden="false" customHeight="true" outlineLevel="0" collapsed="false">
      <c r="A17" s="5" t="s">
        <v>472</v>
      </c>
      <c r="B17" s="103" t="s">
        <v>1576</v>
      </c>
    </row>
    <row r="18" customFormat="false" ht="45.75" hidden="false" customHeight="true" outlineLevel="0" collapsed="false">
      <c r="A18" s="5" t="s">
        <v>468</v>
      </c>
      <c r="B18" s="105" t="s">
        <v>1577</v>
      </c>
    </row>
    <row r="19" customFormat="false" ht="45.75" hidden="false" customHeight="true" outlineLevel="0" collapsed="false">
      <c r="A19" s="2" t="s">
        <v>1578</v>
      </c>
      <c r="B19" s="105" t="s">
        <v>1579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2026-09-26T13:55:26Z</dcterms:created>
  <dc:creator>openpyxl</dc:creator>
  <dc:description/>
  <dc:language>en-US</dc:language>
  <cp:lastModifiedBy/>
  <dcterms:modified xsi:type="dcterms:W3CDTF">2026-09-26T13:55:26Z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