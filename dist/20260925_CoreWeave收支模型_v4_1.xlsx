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導覽" sheetId="1" state="visible" r:id="rId3"/>
    <sheet name="輸入與假設" sheetId="2" state="visible" r:id="rId4"/>
    <sheet name="各期收支" sheetId="3" state="visible" r:id="rId5"/>
    <sheet name="運營_產能與收入" sheetId="4" state="visible" r:id="rId6"/>
    <sheet name="運營_站點" sheetId="5" state="visible" r:id="rId7"/>
    <sheet name="資產負債_既有債務" sheetId="6" state="visible" r:id="rId8"/>
    <sheet name="資產負債_新債與新股" sheetId="7" state="visible" r:id="rId9"/>
    <sheet name="資產負債_租賃承諾" sheetId="8" state="visible" r:id="rId10"/>
    <sheet name="損益" sheetId="9" state="visible" r:id="rId11"/>
    <sheet name="評價_DCF與目標價" sheetId="10" state="visible" r:id="rId12"/>
    <sheet name="評價_反向DCF" sheetId="11" state="visible" r:id="rId13"/>
    <sheet name="評價_可比公司" sheetId="12" state="visible" r:id="rId14"/>
    <sheet name="檢查_連動" sheetId="13" state="visible" r:id="rId15"/>
    <sheet name="檢查_版本紀錄" sheetId="14" state="visible" r:id="rId16"/>
    <sheet name="來源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<sst xmlns="http://schemas.openxmlformats.org/spreadsheetml/2006/main" count="1602" uniqueCount="1113">
  <si>
    <r>
      <rPr>
        <b val="true"/>
        <sz val="14"/>
        <rFont val="Arial"/>
        <family val="0"/>
        <charset val="1"/>
      </rPr>
      <t xml:space="preserve">CoreWeave </t>
    </r>
    <r>
      <rPr>
        <b val="true"/>
        <sz val="14"/>
        <rFont val="WenQuanYi Zen Hei"/>
        <family val="2"/>
      </rPr>
      <t xml:space="preserve">收支與評價模型 — </t>
    </r>
    <r>
      <rPr>
        <b val="true"/>
        <sz val="14"/>
        <rFont val="Arial"/>
        <family val="0"/>
        <charset val="1"/>
      </rPr>
      <t xml:space="preserve">Excel </t>
    </r>
    <r>
      <rPr>
        <b val="true"/>
        <sz val="14"/>
        <rFont val="WenQuanYi Zen Hei"/>
        <family val="2"/>
      </rPr>
      <t xml:space="preserve">版 </t>
    </r>
    <r>
      <rPr>
        <b val="true"/>
        <sz val="14"/>
        <rFont val="Arial"/>
        <family val="0"/>
        <charset val="1"/>
      </rPr>
      <t xml:space="preserve">v4.0</t>
    </r>
    <r>
      <rPr>
        <b val="true"/>
        <sz val="14"/>
        <rFont val="WenQuanYi Zen Hei"/>
        <family val="2"/>
      </rPr>
      <t xml:space="preserve">（更新 </t>
    </r>
    <r>
      <rPr>
        <b val="true"/>
        <sz val="14"/>
        <rFont val="Arial"/>
        <family val="0"/>
        <charset val="1"/>
      </rPr>
      <t xml:space="preserve">2026-09-24</t>
    </r>
    <r>
      <rPr>
        <b val="true"/>
        <sz val="14"/>
        <rFont val="WenQuanYi Zen Hei"/>
        <family val="2"/>
      </rPr>
      <t xml:space="preserve">；與 </t>
    </r>
    <r>
      <rPr>
        <b val="true"/>
        <sz val="14"/>
        <rFont val="Arial"/>
        <family val="0"/>
        <charset val="1"/>
      </rPr>
      <t xml:space="preserve">HTML v4.0 </t>
    </r>
    <r>
      <rPr>
        <b val="true"/>
        <sz val="14"/>
        <rFont val="WenQuanYi Zen Hei"/>
        <family val="2"/>
      </rPr>
      <t xml:space="preserve">同步；市價截至 </t>
    </r>
    <r>
      <rPr>
        <b val="true"/>
        <sz val="14"/>
        <rFont val="Arial"/>
        <family val="0"/>
        <charset val="1"/>
      </rPr>
      <t xml:space="preserve">2026-09-21 </t>
    </r>
    <r>
      <rPr>
        <b val="true"/>
        <sz val="14"/>
        <rFont val="WenQuanYi Zen Hei"/>
        <family val="2"/>
      </rPr>
      <t xml:space="preserve">收盤）</t>
    </r>
  </si>
  <si>
    <t xml:space="preserve">這個活頁簿在回答什麼</t>
  </si>
  <si>
    <r>
      <rPr>
        <sz val="10"/>
        <rFont val="WenQuanYi Zen Hei"/>
        <family val="2"/>
      </rPr>
      <t xml:space="preserve">一句話：</t>
    </r>
    <r>
      <rPr>
        <sz val="10"/>
        <rFont val="Arial"/>
        <family val="0"/>
        <charset val="1"/>
      </rPr>
      <t xml:space="preserve">CoreWeave </t>
    </r>
    <r>
      <rPr>
        <sz val="10"/>
        <rFont val="WenQuanYi Zen Hei"/>
        <family val="2"/>
      </rPr>
      <t xml:space="preserve">手上 </t>
    </r>
    <r>
      <rPr>
        <sz val="10"/>
        <rFont val="Arial"/>
        <family val="0"/>
        <charset val="1"/>
      </rPr>
      <t xml:space="preserve">$103.7bn </t>
    </r>
    <r>
      <rPr>
        <sz val="10"/>
        <rFont val="WenQuanYi Zen Hei"/>
        <family val="2"/>
      </rPr>
      <t xml:space="preserve">的合約（</t>
    </r>
    <r>
      <rPr>
        <sz val="10"/>
        <rFont val="Arial"/>
        <family val="0"/>
        <charset val="1"/>
      </rPr>
      <t xml:space="preserve">RPO</t>
    </r>
    <r>
      <rPr>
        <sz val="10"/>
        <rFont val="WenQuanYi Zen Hei"/>
        <family val="2"/>
      </rPr>
      <t xml:space="preserve">）在 </t>
    </r>
    <r>
      <rPr>
        <sz val="10"/>
        <rFont val="Arial"/>
        <family val="0"/>
        <charset val="1"/>
      </rPr>
      <t xml:space="preserve">2030 </t>
    </r>
    <r>
      <rPr>
        <sz val="10"/>
        <rFont val="WenQuanYi Zen Hei"/>
        <family val="2"/>
      </rPr>
      <t xml:space="preserve">年前能變成多少現金，而同一段時間要付出多少現金——</t>
    </r>
  </si>
  <si>
    <t xml:space="preserve">差額就是必須向外籌措的金額。所有分頁用同一組數字，改任何一個輸入，後面全部會跟著動。</t>
  </si>
  <si>
    <t xml:space="preserve">分頁結構（依模組分組，分頁標籤顏色相同者為同一模組）</t>
  </si>
  <si>
    <r>
      <rPr>
        <sz val="10"/>
        <rFont val="WenQuanYi Zen Hei"/>
        <family val="2"/>
      </rPr>
      <t xml:space="preserve">輸入與假設      所有可調參數（</t>
    </r>
    <r>
      <rPr>
        <sz val="10"/>
        <rFont val="Arial"/>
        <family val="0"/>
        <charset val="1"/>
      </rPr>
      <t xml:space="preserve">A </t>
    </r>
    <r>
      <rPr>
        <sz val="10"/>
        <rFont val="WenQuanYi Zen Hei"/>
        <family val="2"/>
      </rPr>
      <t xml:space="preserve">情境 → </t>
    </r>
    <r>
      <rPr>
        <sz val="10"/>
        <rFont val="Arial"/>
        <family val="0"/>
        <charset val="1"/>
      </rPr>
      <t xml:space="preserve">B </t>
    </r>
    <r>
      <rPr>
        <sz val="10"/>
        <rFont val="WenQuanYi Zen Hei"/>
        <family val="2"/>
      </rPr>
      <t xml:space="preserve">產能與收入 → </t>
    </r>
    <r>
      <rPr>
        <sz val="10"/>
        <rFont val="Arial"/>
        <family val="0"/>
        <charset val="1"/>
      </rPr>
      <t xml:space="preserve">C </t>
    </r>
    <r>
      <rPr>
        <sz val="10"/>
        <rFont val="WenQuanYi Zen Hei"/>
        <family val="2"/>
      </rPr>
      <t xml:space="preserve">利潤率 → </t>
    </r>
    <r>
      <rPr>
        <sz val="10"/>
        <rFont val="Arial"/>
        <family val="0"/>
        <charset val="1"/>
      </rPr>
      <t xml:space="preserve">D </t>
    </r>
    <r>
      <rPr>
        <sz val="10"/>
        <rFont val="WenQuanYi Zen Hei"/>
        <family val="2"/>
      </rPr>
      <t xml:space="preserve">支出 → </t>
    </r>
    <r>
      <rPr>
        <sz val="10"/>
        <rFont val="Arial"/>
        <family val="0"/>
        <charset val="1"/>
      </rPr>
      <t xml:space="preserve">E </t>
    </r>
    <r>
      <rPr>
        <sz val="10"/>
        <rFont val="WenQuanYi Zen Hei"/>
        <family val="2"/>
      </rPr>
      <t xml:space="preserve">融資 → </t>
    </r>
    <r>
      <rPr>
        <sz val="10"/>
        <rFont val="Arial"/>
        <family val="0"/>
        <charset val="1"/>
      </rPr>
      <t xml:space="preserve">F </t>
    </r>
    <r>
      <rPr>
        <sz val="10"/>
        <rFont val="WenQuanYi Zen Hei"/>
        <family val="2"/>
      </rPr>
      <t xml:space="preserve">評價 → </t>
    </r>
    <r>
      <rPr>
        <sz val="10"/>
        <rFont val="Arial"/>
        <family val="0"/>
        <charset val="1"/>
      </rPr>
      <t xml:space="preserve">G 1H </t>
    </r>
    <r>
      <rPr>
        <sz val="10"/>
        <rFont val="WenQuanYi Zen Hei"/>
        <family val="2"/>
      </rPr>
      <t xml:space="preserve">實際）。</t>
    </r>
  </si>
  <si>
    <t xml:space="preserve">各期收支        類現金流量：來源、用途、融資前缺口、期前融資瀑布。</t>
  </si>
  <si>
    <r>
      <rPr>
        <sz val="10"/>
        <rFont val="WenQuanYi Zen Hei"/>
        <family val="2"/>
      </rPr>
      <t xml:space="preserve">運營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產能與收入  合約排程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機房產能 → 收入 → 現金；運營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站點：房東揭露與租金檢驗。</t>
    </r>
  </si>
  <si>
    <r>
      <rPr>
        <sz val="10"/>
        <rFont val="WenQuanYi Zen Hei"/>
        <family val="2"/>
      </rPr>
      <t xml:space="preserve">資產負債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既有債務／新債與新股／租賃承諾  類資產負債表：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債務明細、每期現金與總債務與股數、租賃承諾。</t>
    </r>
  </si>
  <si>
    <r>
      <rPr>
        <sz val="10"/>
        <rFont val="WenQuanYi Zen Hei"/>
        <family val="2"/>
      </rPr>
      <t xml:space="preserve">損益            類損益表（</t>
    </r>
    <r>
      <rPr>
        <sz val="10"/>
        <rFont val="Arial"/>
        <family val="0"/>
        <charset val="1"/>
      </rPr>
      <t xml:space="preserve">FY26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實際＋下半年模型）。</t>
    </r>
  </si>
  <si>
    <r>
      <rPr>
        <sz val="10"/>
        <rFont val="WenQuanYi Zen Hei"/>
        <family val="2"/>
      </rPr>
      <t xml:space="preserve">評價</t>
    </r>
    <r>
      <rPr>
        <sz val="10"/>
        <rFont val="Arial"/>
        <family val="0"/>
        <charset val="1"/>
      </rPr>
      <t xml:space="preserve">_DCF</t>
    </r>
    <r>
      <rPr>
        <sz val="10"/>
        <rFont val="WenQuanYi Zen Hei"/>
        <family val="2"/>
      </rPr>
      <t xml:space="preserve">與目標價／評價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可比公司 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EV/EBITDA</t>
    </r>
    <r>
      <rPr>
        <sz val="10"/>
        <rFont val="WenQuanYi Zen Hei"/>
        <family val="2"/>
      </rPr>
      <t xml:space="preserve">、加權目標價；同業 </t>
    </r>
    <r>
      <rPr>
        <sz val="10"/>
        <rFont val="Arial"/>
        <family val="0"/>
        <charset val="1"/>
      </rPr>
      <t xml:space="preserve">EV/Sales </t>
    </r>
    <r>
      <rPr>
        <sz val="10"/>
        <rFont val="WenQuanYi Zen Hei"/>
        <family val="2"/>
      </rPr>
      <t xml:space="preserve">比較。</t>
    </r>
  </si>
  <si>
    <r>
      <rPr>
        <sz val="10"/>
        <rFont val="WenQuanYi Zen Hei"/>
        <family val="2"/>
      </rPr>
      <t xml:space="preserve">評價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反向</t>
    </r>
    <r>
      <rPr>
        <sz val="10"/>
        <rFont val="Arial"/>
        <family val="0"/>
        <charset val="1"/>
      </rPr>
      <t xml:space="preserve">DCF    </t>
    </r>
    <r>
      <rPr>
        <sz val="10"/>
        <rFont val="WenQuanYi Zen Hei"/>
        <family val="2"/>
      </rPr>
      <t xml:space="preserve">現價隱含的收入與成本（目標搜尋＋</t>
    </r>
    <r>
      <rPr>
        <sz val="10"/>
        <rFont val="Arial"/>
        <family val="0"/>
        <charset val="1"/>
      </rPr>
      <t xml:space="preserve">HTML </t>
    </r>
    <r>
      <rPr>
        <sz val="10"/>
        <rFont val="WenQuanYi Zen Hei"/>
        <family val="2"/>
      </rPr>
      <t xml:space="preserve">快照）。</t>
    </r>
  </si>
  <si>
    <r>
      <rPr>
        <sz val="10"/>
        <rFont val="WenQuanYi Zen Hei"/>
        <family val="2"/>
      </rPr>
      <t xml:space="preserve">檢查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連動／檢查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版本紀錄  恆等式與口徑檢查；每一版的變更與目標價；來源：每個硬編碼數字的出處。</t>
    </r>
  </si>
  <si>
    <t xml:space="preserve">註：『各期收支』『資產與負債』『損益』並非會計準則的正式三表，而是對應公司實際運營的類三表呈現。</t>
  </si>
  <si>
    <t xml:space="preserve">顏色規則</t>
  </si>
  <si>
    <r>
      <rPr>
        <sz val="10"/>
        <rFont val="WenQuanYi Zen Hei"/>
        <family val="2"/>
      </rPr>
      <t xml:space="preserve">藍字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手動輸入值（可改）｜黑字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本頁公式｜綠字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跨頁連結｜黃底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關鍵假設｜灰字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說明與來源</t>
    </r>
  </si>
  <si>
    <t xml:space="preserve">■ 重點：容量上限與產能瓶頸是什麼關係</t>
  </si>
  <si>
    <t xml:space="preserve">這是整個模型最常被誤解的地方，所以單獨說明。</t>
  </si>
  <si>
    <t xml:space="preserve">兩條線各自獨立產生：</t>
  </si>
  <si>
    <r>
      <rPr>
        <sz val="10"/>
        <rFont val="Arial"/>
        <family val="0"/>
        <charset val="1"/>
      </rPr>
      <t xml:space="preserve">  (A) </t>
    </r>
    <r>
      <rPr>
        <sz val="10"/>
        <rFont val="WenQuanYi Zen Hei"/>
        <family val="2"/>
      </rPr>
      <t xml:space="preserve">排程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＝ 已簽約、依 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揭露的時程「應該」在本期認列的收入。</t>
    </r>
  </si>
  <si>
    <r>
      <rPr>
        <sz val="10"/>
        <rFont val="WenQuanYi Zen Hei"/>
        <family val="2"/>
      </rPr>
      <t xml:space="preserve">      公式：</t>
    </r>
    <r>
      <rPr>
        <sz val="10"/>
        <rFont val="Arial"/>
        <family val="0"/>
        <charset val="1"/>
      </rPr>
      <t xml:space="preserve">(6/30 RPO </t>
    </r>
    <r>
      <rPr>
        <sz val="10"/>
        <rFont val="WenQuanYi Zen Hei"/>
        <family val="2"/>
      </rPr>
      <t xml:space="preserve">＋ </t>
    </r>
    <r>
      <rPr>
        <sz val="10"/>
        <rFont val="Arial"/>
        <family val="0"/>
        <charset val="1"/>
      </rPr>
      <t xml:space="preserve">Q3 </t>
    </r>
    <r>
      <rPr>
        <sz val="10"/>
        <rFont val="WenQuanYi Zen Hei"/>
        <family val="2"/>
      </rPr>
      <t xml:space="preserve">新增承諾</t>
    </r>
    <r>
      <rPr>
        <sz val="10"/>
        <rFont val="Arial"/>
        <family val="0"/>
        <charset val="1"/>
      </rPr>
      <t xml:space="preserve">) × </t>
    </r>
    <r>
      <rPr>
        <sz val="10"/>
        <rFont val="WenQuanYi Zen Hei"/>
        <family val="2"/>
      </rPr>
      <t xml:space="preserve">本期權重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權重合計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五期認列比例</t>
    </r>
  </si>
  <si>
    <t xml:space="preserve">      這條線只看合約，完全不管機房蓋好了沒。</t>
  </si>
  <si>
    <r>
      <rPr>
        <sz val="10"/>
        <rFont val="Arial"/>
        <family val="0"/>
        <charset val="1"/>
      </rPr>
      <t xml:space="preserve">  (B) </t>
    </r>
    <r>
      <rPr>
        <sz val="10"/>
        <rFont val="WenQuanYi Zen Hei"/>
        <family val="2"/>
      </rPr>
      <t xml:space="preserve">容量上限 ＝ 本期實際能交付的最大收入 ＝ 平均在役 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期間係數。</t>
    </r>
  </si>
  <si>
    <t xml:space="preserve">      這條線只看機房，完全不管簽了多少約。</t>
  </si>
  <si>
    <t xml:space="preserve">兩條線相減，方向決定意義：</t>
  </si>
  <si>
    <r>
      <rPr>
        <sz val="10"/>
        <rFont val="WenQuanYi Zen Hei"/>
        <family val="2"/>
      </rPr>
      <t xml:space="preserve">  排程 </t>
    </r>
    <r>
      <rPr>
        <sz val="10"/>
        <rFont val="Arial"/>
        <family val="0"/>
        <charset val="1"/>
      </rPr>
      <t xml:space="preserve">&gt; </t>
    </r>
    <r>
      <rPr>
        <sz val="10"/>
        <rFont val="WenQuanYi Zen Hei"/>
        <family val="2"/>
      </rPr>
      <t xml:space="preserve">容量 → 差額＝『產能瓶頸』。合約在手但機房還沒好，這段收入本期收不到，</t>
    </r>
  </si>
  <si>
    <t xml:space="preserve">      也不遞延到下期（模型不做遞延，是保守處理）。本期收入 ＝ 排程 − 瓶頸 ＝ 容量上限。</t>
  </si>
  <si>
    <r>
      <rPr>
        <sz val="10"/>
        <rFont val="WenQuanYi Zen Hei"/>
        <family val="2"/>
      </rPr>
      <t xml:space="preserve">  容量 </t>
    </r>
    <r>
      <rPr>
        <sz val="10"/>
        <rFont val="Arial"/>
        <family val="0"/>
        <charset val="1"/>
      </rPr>
      <t xml:space="preserve">&gt; </t>
    </r>
    <r>
      <rPr>
        <sz val="10"/>
        <rFont val="WenQuanYi Zen Hei"/>
        <family val="2"/>
      </rPr>
      <t xml:space="preserve">排程 → 差額＝『未被期初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占用的產能』。機房好了但期初合約沒占滿，</t>
    </r>
  </si>
  <si>
    <t xml:space="preserve">      這段要靠新簽約來賣，乘上『新產能簽約率』後成為『新簽約收入』，賣不掉的是『未售產能』。</t>
  </si>
  <si>
    <r>
      <rPr>
        <sz val="10"/>
        <rFont val="WenQuanYi Zen Hei"/>
        <family val="2"/>
      </rPr>
      <t xml:space="preserve">所以本模型的收入有兩個來源，而且互斥：期初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轉換（受容量封頂）＋ 新簽約（用剩餘容量）。</t>
    </r>
  </si>
  <si>
    <r>
      <rPr>
        <sz val="10"/>
        <rFont val="WenQuanYi Zen Hei"/>
        <family val="2"/>
      </rPr>
      <t xml:space="preserve">基準路徑下，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下半年與 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是瓶頸期（合約多於機房），</t>
    </r>
    <r>
      <rPr>
        <sz val="10"/>
        <rFont val="Arial"/>
        <family val="0"/>
        <charset val="1"/>
      </rPr>
      <t xml:space="preserve">FY28 </t>
    </r>
    <r>
      <rPr>
        <sz val="10"/>
        <rFont val="WenQuanYi Zen Hei"/>
        <family val="2"/>
      </rPr>
      <t xml:space="preserve">之後反轉為產能多於期初合約——</t>
    </r>
  </si>
  <si>
    <r>
      <rPr>
        <sz val="10"/>
        <rFont val="WenQuanYi Zen Hei"/>
        <family val="2"/>
      </rPr>
      <t xml:space="preserve">這就是為什麼 </t>
    </r>
    <r>
      <rPr>
        <sz val="10"/>
        <rFont val="Arial"/>
        <family val="0"/>
        <charset val="1"/>
      </rPr>
      <t xml:space="preserve">FY28 </t>
    </r>
    <r>
      <rPr>
        <sz val="10"/>
        <rFont val="WenQuanYi Zen Hei"/>
        <family val="2"/>
      </rPr>
      <t xml:space="preserve">起的收入愈來愈依賴『還沒簽的約』，也是 </t>
    </r>
    <r>
      <rPr>
        <sz val="10"/>
        <rFont val="Arial"/>
        <family val="0"/>
        <charset val="1"/>
      </rPr>
      <t xml:space="preserve">8 GW </t>
    </r>
    <r>
      <rPr>
        <sz val="10"/>
        <rFont val="WenQuanYi Zen Hei"/>
        <family val="2"/>
      </rPr>
      <t xml:space="preserve">敘事的真正風險所在。</t>
    </r>
  </si>
  <si>
    <t xml:space="preserve">■ 收入之後的三道折扣（產能與收入頁）</t>
  </si>
  <si>
    <r>
      <rPr>
        <sz val="10"/>
        <rFont val="WenQuanYi Zen Hei"/>
        <family val="2"/>
      </rPr>
      <t xml:space="preserve">  收入 → 扣信用損失（違約率 </t>
    </r>
    <r>
      <rPr>
        <sz val="10"/>
        <rFont val="Arial"/>
        <family val="0"/>
        <charset val="1"/>
      </rPr>
      <t xml:space="preserve">× (1−</t>
    </r>
    <r>
      <rPr>
        <sz val="10"/>
        <rFont val="WenQuanYi Zen Hei"/>
        <family val="2"/>
      </rPr>
      <t xml:space="preserve">回收率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）→ 收現 → 乘『</t>
    </r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</rPr>
      <t xml:space="preserve">率』→ 可支應資本用途的現金。</t>
    </r>
  </si>
  <si>
    <t xml:space="preserve">  貢獻率是租金與利息『之前』的比率，因為租金與利息在支出頁單獨列示，不可在此重複扣除。</t>
  </si>
  <si>
    <r>
      <rPr>
        <sz val="10"/>
        <rFont val="Arial"/>
        <family val="0"/>
        <charset val="1"/>
      </rPr>
      <t xml:space="preserve">  Q2 </t>
    </r>
    <r>
      <rPr>
        <sz val="10"/>
        <rFont val="WenQuanYi Zen Hei"/>
        <family val="2"/>
      </rPr>
      <t xml:space="preserve">反推上限：</t>
    </r>
    <r>
      <rPr>
        <sz val="10"/>
        <rFont val="Arial"/>
        <family val="0"/>
        <charset val="1"/>
      </rPr>
      <t xml:space="preserve">Adj. EBITDA </t>
    </r>
    <r>
      <rPr>
        <sz val="10"/>
        <rFont val="WenQuanYi Zen Hei"/>
        <family val="2"/>
      </rPr>
      <t xml:space="preserve">率 </t>
    </r>
    <r>
      <rPr>
        <sz val="10"/>
        <rFont val="Arial"/>
        <family val="0"/>
        <charset val="1"/>
      </rPr>
      <t xml:space="preserve">59%</t>
    </r>
    <r>
      <rPr>
        <sz val="10"/>
        <rFont val="WenQuanYi Zen Hei"/>
        <family val="2"/>
      </rPr>
      <t xml:space="preserve">（已扣營業租賃 </t>
    </r>
    <r>
      <rPr>
        <sz val="10"/>
        <rFont val="Arial"/>
        <family val="0"/>
        <charset val="1"/>
      </rPr>
      <t xml:space="preserve">0.500</t>
    </r>
    <r>
      <rPr>
        <sz val="10"/>
        <rFont val="WenQuanYi Zen Hei"/>
        <family val="2"/>
      </rPr>
      <t xml:space="preserve">＋變動租賃 </t>
    </r>
    <r>
      <rPr>
        <sz val="10"/>
        <rFont val="Arial"/>
        <family val="0"/>
        <charset val="1"/>
      </rPr>
      <t xml:space="preserve">0.150</t>
    </r>
    <r>
      <rPr>
        <sz val="10"/>
        <rFont val="WenQuanYi Zen Hei"/>
        <family val="2"/>
      </rPr>
      <t xml:space="preserve">，約營收 </t>
    </r>
    <r>
      <rPr>
        <sz val="10"/>
        <rFont val="Arial"/>
        <family val="0"/>
        <charset val="1"/>
      </rPr>
      <t xml:space="preserve">25%</t>
    </r>
    <r>
      <rPr>
        <sz val="10"/>
        <rFont val="WenQuanYi Zen Hei"/>
        <family val="2"/>
      </rPr>
      <t xml:space="preserve">）→ 租金前約 </t>
    </r>
    <r>
      <rPr>
        <sz val="10"/>
        <rFont val="Arial"/>
        <family val="0"/>
        <charset val="1"/>
      </rPr>
      <t xml:space="preserve">84%</t>
    </r>
    <r>
      <rPr>
        <sz val="10"/>
        <rFont val="WenQuanYi Zen Hei"/>
        <family val="2"/>
      </rPr>
      <t xml:space="preserve">。</t>
    </r>
  </si>
  <si>
    <r>
      <rPr>
        <b val="true"/>
        <sz val="10"/>
        <rFont val="WenQuanYi Zen Hei"/>
        <family val="2"/>
      </rPr>
      <t xml:space="preserve">■ 期別口徑：</t>
    </r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WenQuanYi Zen Hei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WenQuanYi Zen Hei"/>
        <family val="2"/>
      </rPr>
      <t xml:space="preserve">實際 ＋ </t>
    </r>
    <r>
      <rPr>
        <b val="true"/>
        <sz val="10"/>
        <rFont val="Arial"/>
        <family val="0"/>
        <charset val="1"/>
      </rPr>
      <t xml:space="preserve">2H </t>
    </r>
    <r>
      <rPr>
        <b val="true"/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</si>
  <si>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  支出與資金頁與損益頁的 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欄，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部分直接採用 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現金流量表的實際值（</t>
    </r>
    <r>
      <rPr>
        <sz val="10"/>
        <rFont val="Arial"/>
        <family val="0"/>
        <charset val="1"/>
      </rPr>
      <t xml:space="preserve">CFO 3.663</t>
    </r>
    <r>
      <rPr>
        <sz val="10"/>
        <rFont val="WenQuanYi Zen Hei"/>
        <family val="2"/>
      </rPr>
      <t xml:space="preserve">、現金購置 </t>
    </r>
    <r>
      <rPr>
        <sz val="10"/>
        <rFont val="Arial"/>
        <family val="0"/>
        <charset val="1"/>
      </rPr>
      <t xml:space="preserve">14.117</t>
    </r>
    <r>
      <rPr>
        <sz val="10"/>
        <rFont val="WenQuanYi Zen Hei"/>
        <family val="2"/>
      </rPr>
      <t xml:space="preserve">、</t>
    </r>
  </si>
  <si>
    <r>
      <rPr>
        <sz val="10"/>
        <rFont val="Arial"/>
        <family val="0"/>
        <charset val="1"/>
      </rPr>
      <t xml:space="preserve">  JV 0.688</t>
    </r>
    <r>
      <rPr>
        <sz val="10"/>
        <rFont val="WenQuanYi Zen Hei"/>
        <family val="2"/>
      </rPr>
      <t xml:space="preserve">、借款 </t>
    </r>
    <r>
      <rPr>
        <sz val="10"/>
        <rFont val="Arial"/>
        <family val="0"/>
        <charset val="1"/>
      </rPr>
      <t xml:space="preserve">16.747</t>
    </r>
    <r>
      <rPr>
        <sz val="10"/>
        <rFont val="WenQuanYi Zen Hei"/>
        <family val="2"/>
      </rPr>
      <t xml:space="preserve">、還款 </t>
    </r>
    <r>
      <rPr>
        <sz val="10"/>
        <rFont val="Arial"/>
        <family val="0"/>
        <charset val="1"/>
      </rPr>
      <t xml:space="preserve">5.219</t>
    </r>
    <r>
      <rPr>
        <sz val="10"/>
        <rFont val="WenQuanYi Zen Hei"/>
        <family val="2"/>
      </rPr>
      <t xml:space="preserve">、私募股權 </t>
    </r>
    <r>
      <rPr>
        <sz val="10"/>
        <rFont val="Arial"/>
        <family val="0"/>
        <charset val="1"/>
      </rPr>
      <t xml:space="preserve">2.982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capped call 0.492</t>
    </r>
    <r>
      <rPr>
        <sz val="10"/>
        <rFont val="WenQuanYi Zen Hei"/>
        <family val="2"/>
      </rPr>
      <t xml:space="preserve">），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部分才是模型推算。</t>
    </r>
  </si>
  <si>
    <r>
      <rPr>
        <sz val="10"/>
        <rFont val="WenQuanYi Zen Hei"/>
        <family val="2"/>
      </rPr>
      <t xml:space="preserve">  因此 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的 </t>
    </r>
    <r>
      <rPr>
        <sz val="10"/>
        <rFont val="Arial"/>
        <family val="0"/>
        <charset val="1"/>
      </rPr>
      <t xml:space="preserve">CapEx 37.1 </t>
    </r>
    <r>
      <rPr>
        <sz val="10"/>
        <rFont val="WenQuanYi Zen Hei"/>
        <family val="2"/>
      </rPr>
      <t xml:space="preserve">與營收 </t>
    </r>
    <r>
      <rPr>
        <sz val="10"/>
        <rFont val="Arial"/>
        <family val="0"/>
        <charset val="1"/>
      </rPr>
      <t xml:space="preserve">12.8 </t>
    </r>
    <r>
      <rPr>
        <sz val="10"/>
        <rFont val="WenQuanYi Zen Hei"/>
        <family val="2"/>
      </rPr>
      <t xml:space="preserve">可以直接對照公司全年指引 </t>
    </r>
    <r>
      <rPr>
        <sz val="10"/>
        <rFont val="Arial"/>
        <family val="0"/>
        <charset val="1"/>
      </rPr>
      <t xml:space="preserve">35–39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12.4–13.2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</si>
  <si>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  產能與收入頁的首欄也是 </t>
    </r>
    <r>
      <rPr>
        <sz val="10"/>
        <rFont val="Arial"/>
        <family val="0"/>
        <charset val="1"/>
      </rPr>
      <t xml:space="preserve">FY26</t>
    </r>
    <r>
      <rPr>
        <sz val="10"/>
        <rFont val="WenQuanYi Zen Hei"/>
        <family val="2"/>
      </rPr>
      <t xml:space="preserve">，但標示「（模型期）」的收入列只含下半年：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桶自 </t>
    </r>
    <r>
      <rPr>
        <sz val="10"/>
        <rFont val="Arial"/>
        <family val="0"/>
        <charset val="1"/>
      </rPr>
      <t xml:space="preserve">2026-06-30 </t>
    </r>
    <r>
      <rPr>
        <sz val="10"/>
        <rFont val="WenQuanYi Zen Hei"/>
        <family val="2"/>
      </rPr>
      <t xml:space="preserve">起算，</t>
    </r>
  </si>
  <si>
    <r>
      <rPr>
        <sz val="10"/>
        <rFont val="Arial"/>
        <family val="0"/>
        <charset val="1"/>
      </rPr>
      <t xml:space="preserve">  1H </t>
    </r>
    <r>
      <rPr>
        <sz val="10"/>
        <rFont val="WenQuanYi Zen Hei"/>
        <family val="2"/>
      </rPr>
      <t xml:space="preserve">的收入已經實現、不再受產能約束，因此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實際單列，兩者相加即該頁的「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全年總營收」。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只折現 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之後的現金流。</t>
    </r>
  </si>
  <si>
    <r>
      <rPr>
        <sz val="10"/>
        <rFont val="Arial"/>
        <family val="0"/>
        <charset val="1"/>
      </rPr>
      <t xml:space="preserve">  1H </t>
    </r>
    <r>
      <rPr>
        <sz val="10"/>
        <rFont val="WenQuanYi Zen Hei"/>
        <family val="2"/>
      </rPr>
      <t xml:space="preserve">的利息與租金已包含在實際 </t>
    </r>
    <r>
      <rPr>
        <sz val="10"/>
        <rFont val="Arial"/>
        <family val="0"/>
        <charset val="1"/>
      </rPr>
      <t xml:space="preserve">CFO </t>
    </r>
    <r>
      <rPr>
        <sz val="10"/>
        <rFont val="WenQuanYi Zen Hei"/>
        <family val="2"/>
      </rPr>
      <t xml:space="preserve">內，所以支出頁那兩列的 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欄只有 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金額；全年數字見「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全年備忘」區。</t>
    </r>
  </si>
  <si>
    <t xml:space="preserve">■ 現金橋（支出與資金頁最下方）</t>
  </si>
  <si>
    <r>
      <rPr>
        <sz val="10"/>
        <rFont val="Arial"/>
        <family val="0"/>
        <charset val="1"/>
      </rPr>
      <t xml:space="preserve">  2025-12-31 </t>
    </r>
    <r>
      <rPr>
        <sz val="10"/>
        <rFont val="WenQuanYi Zen Hei"/>
        <family val="2"/>
      </rPr>
      <t xml:space="preserve">現金 </t>
    </r>
    <r>
      <rPr>
        <sz val="10"/>
        <rFont val="Arial"/>
        <family val="0"/>
        <charset val="1"/>
      </rPr>
      <t xml:space="preserve">3.127 </t>
    </r>
    <r>
      <rPr>
        <sz val="10"/>
        <rFont val="WenQuanYi Zen Hei"/>
        <family val="2"/>
      </rPr>
      <t xml:space="preserve">＋ 營運缺口 ＋ 股權／可轉債 ＋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實際借款 − 排程還本 − </t>
    </r>
    <r>
      <rPr>
        <sz val="10"/>
        <rFont val="Arial"/>
        <family val="0"/>
        <charset val="1"/>
      </rPr>
      <t xml:space="preserve">capped call </t>
    </r>
    <r>
      <rPr>
        <sz val="10"/>
        <rFont val="WenQuanYi Zen Hei"/>
        <family val="2"/>
      </rPr>
      <t xml:space="preserve">＋ 調節 ＝ 期末現金</t>
    </r>
  </si>
  <si>
    <t xml:space="preserve">  營運缺口＝營運來源 −（用途 − 排程還本）。股權、可轉債、信用額度都不算營運來源，這是刻意的：</t>
  </si>
  <si>
    <t xml:space="preserve">  它們回答的是「誰來補」，不是「本業能不能自給」。</t>
  </si>
  <si>
    <r>
      <rPr>
        <b val="true"/>
        <sz val="10"/>
        <rFont val="Arial"/>
        <family val="0"/>
        <charset val="1"/>
      </rPr>
      <t xml:space="preserve">■ v1.5 </t>
    </r>
    <r>
      <rPr>
        <b val="true"/>
        <sz val="10"/>
        <rFont val="WenQuanYi Zen Hei"/>
        <family val="2"/>
      </rPr>
      <t xml:space="preserve">變更（回應 </t>
    </r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WenQuanYi Zen Hei"/>
        <family val="2"/>
      </rPr>
      <t xml:space="preserve">反饋 </t>
    </r>
    <r>
      <rPr>
        <b val="true"/>
        <sz val="10"/>
        <rFont val="Arial"/>
        <family val="0"/>
        <charset val="1"/>
      </rPr>
      <t xml:space="preserve">1–5</t>
    </r>
    <r>
      <rPr>
        <b val="true"/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</si>
  <si>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  1. </t>
    </r>
    <r>
      <rPr>
        <sz val="10"/>
        <rFont val="WenQuanYi Zen Hei"/>
        <family val="2"/>
      </rPr>
      <t xml:space="preserve">新增『站點租賃』頁：</t>
    </r>
    <r>
      <rPr>
        <sz val="10"/>
        <rFont val="Arial"/>
        <family val="0"/>
        <charset val="1"/>
      </rPr>
      <t xml:space="preserve">Helios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Polaris Forge 1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Core Scientific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Kenilworth </t>
    </r>
    <r>
      <rPr>
        <sz val="10"/>
        <rFont val="WenQuanYi Zen Hei"/>
        <family val="2"/>
      </rPr>
      <t xml:space="preserve">逐站列出契約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、合約值、每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年租金，</t>
    </r>
  </si>
  <si>
    <r>
      <rPr>
        <sz val="10"/>
        <rFont val="WenQuanYi Zen Hei"/>
        <family val="2"/>
      </rPr>
      <t xml:space="preserve">     並與 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租賃承諾總額 </t>
    </r>
    <r>
      <rPr>
        <sz val="10"/>
        <rFont val="Arial"/>
        <family val="0"/>
        <charset val="1"/>
      </rPr>
      <t xml:space="preserve">79.6 </t>
    </r>
    <r>
      <rPr>
        <sz val="10"/>
        <rFont val="WenQuanYi Zen Hei"/>
        <family val="2"/>
      </rPr>
      <t xml:space="preserve">對帳（具名 </t>
    </r>
    <r>
      <rPr>
        <sz val="10"/>
        <rFont val="Arial"/>
        <family val="0"/>
        <charset val="1"/>
      </rPr>
      <t xml:space="preserve">36.2</t>
    </r>
    <r>
      <rPr>
        <sz val="10"/>
        <rFont val="WenQuanYi Zen Hei"/>
        <family val="2"/>
      </rPr>
      <t xml:space="preserve">、未具名殘差 </t>
    </r>
    <r>
      <rPr>
        <sz val="10"/>
        <rFont val="Arial"/>
        <family val="0"/>
        <charset val="1"/>
      </rPr>
      <t xml:space="preserve">43.4</t>
    </r>
    <r>
      <rPr>
        <sz val="10"/>
        <rFont val="WenQuanYi Zen Hei"/>
        <family val="2"/>
      </rPr>
      <t xml:space="preserve">）；另以市場基準檢驗模型租金路徑。</t>
    </r>
  </si>
  <si>
    <r>
      <rPr>
        <sz val="10"/>
        <rFont val="Arial"/>
        <family val="0"/>
        <charset val="1"/>
      </rPr>
      <t xml:space="preserve">  2. </t>
    </r>
    <r>
      <rPr>
        <sz val="10"/>
        <rFont val="WenQuanYi Zen Hei"/>
        <family val="2"/>
      </rPr>
      <t xml:space="preserve">新增『債務明細』頁：</t>
    </r>
    <r>
      <rPr>
        <sz val="10"/>
        <rFont val="Arial"/>
        <family val="0"/>
        <charset val="1"/>
      </rPr>
      <t xml:space="preserve">10-Q 16 </t>
    </r>
    <r>
      <rPr>
        <sz val="10"/>
        <rFont val="WenQuanYi Zen Hei"/>
        <family val="2"/>
      </rPr>
      <t xml:space="preserve">筆工具逐筆列示（合計 </t>
    </r>
    <r>
      <rPr>
        <sz val="10"/>
        <rFont val="Arial"/>
        <family val="0"/>
        <charset val="1"/>
      </rPr>
      <t xml:space="preserve">35.551</t>
    </r>
    <r>
      <rPr>
        <sz val="10"/>
        <rFont val="WenQuanYi Zen Hei"/>
        <family val="2"/>
      </rPr>
      <t xml:space="preserve">、加權有效利率 </t>
    </r>
    <r>
      <rPr>
        <sz val="10"/>
        <rFont val="Arial"/>
        <family val="0"/>
        <charset val="1"/>
      </rPr>
      <t xml:space="preserve">8.4%</t>
    </r>
    <r>
      <rPr>
        <sz val="10"/>
        <rFont val="WenQuanYi Zen Hei"/>
        <family val="2"/>
      </rPr>
      <t xml:space="preserve">），存量利息改由到期表遞減本金推算。</t>
    </r>
  </si>
  <si>
    <r>
      <rPr>
        <sz val="10"/>
        <rFont val="Arial"/>
        <family val="0"/>
        <charset val="1"/>
      </rPr>
      <t xml:space="preserve">  3. JV </t>
    </r>
    <r>
      <rPr>
        <sz val="10"/>
        <rFont val="WenQuanYi Zen Hei"/>
        <family val="2"/>
      </rPr>
      <t xml:space="preserve">拆為「已承諾餘額 </t>
    </r>
    <r>
      <rPr>
        <sz val="10"/>
        <rFont val="Arial"/>
        <family val="0"/>
        <charset val="1"/>
      </rPr>
      <t xml:space="preserve">1.15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10-Q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年內履行）」＋「後續增資（假設）」兩列。</t>
    </r>
  </si>
  <si>
    <r>
      <rPr>
        <sz val="10"/>
        <rFont val="Arial"/>
        <family val="0"/>
        <charset val="1"/>
      </rPr>
      <t xml:space="preserve">  4. </t>
    </r>
    <r>
      <rPr>
        <sz val="10"/>
        <rFont val="WenQuanYi Zen Hei"/>
        <family val="2"/>
      </rPr>
      <t xml:space="preserve">毛 </t>
    </r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改由 </t>
    </r>
    <r>
      <rPr>
        <sz val="10"/>
        <rFont val="Arial"/>
        <family val="0"/>
        <charset val="1"/>
      </rPr>
      <t xml:space="preserve">Accepted MW </t>
    </r>
    <r>
      <rPr>
        <sz val="10"/>
        <rFont val="WenQuanYi Zen Hei"/>
        <family val="2"/>
      </rPr>
      <t xml:space="preserve">推導：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本期新增</t>
    </r>
    <r>
      <rPr>
        <sz val="10"/>
        <rFont val="Arial"/>
        <family val="0"/>
        <charset val="1"/>
      </rPr>
      <t xml:space="preserve">×(1−λ)</t>
    </r>
    <r>
      <rPr>
        <sz val="10"/>
        <rFont val="WenQuanYi Zen Hei"/>
        <family val="2"/>
      </rPr>
      <t xml:space="preserve">＋次期新增</t>
    </r>
    <r>
      <rPr>
        <sz val="10"/>
        <rFont val="Arial"/>
        <family val="0"/>
        <charset val="1"/>
      </rPr>
      <t xml:space="preserve">×λ)×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成本；以 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全年指引 </t>
    </r>
    <r>
      <rPr>
        <sz val="10"/>
        <rFont val="Arial"/>
        <family val="0"/>
        <charset val="1"/>
      </rPr>
      <t xml:space="preserve">35–39 </t>
    </r>
    <r>
      <rPr>
        <sz val="10"/>
        <rFont val="WenQuanYi Zen Hei"/>
        <family val="2"/>
      </rPr>
      <t xml:space="preserve">校準。</t>
    </r>
  </si>
  <si>
    <r>
      <rPr>
        <sz val="10"/>
        <rFont val="Arial"/>
        <family val="0"/>
        <charset val="1"/>
      </rPr>
      <t xml:space="preserve">  5. </t>
    </r>
    <r>
      <rPr>
        <sz val="10"/>
        <rFont val="WenQuanYi Zen Hei"/>
        <family val="2"/>
      </rPr>
      <t xml:space="preserve">刪除『受產能約束占 </t>
    </r>
    <r>
      <rPr>
        <sz val="10"/>
        <rFont val="Arial"/>
        <family val="0"/>
        <charset val="1"/>
      </rPr>
      <t xml:space="preserve">RPO</t>
    </r>
    <r>
      <rPr>
        <sz val="10"/>
        <rFont val="WenQuanYi Zen Hei"/>
        <family val="2"/>
      </rPr>
      <t xml:space="preserve">』（</t>
    </r>
    <r>
      <rPr>
        <sz val="10"/>
        <rFont val="Arial"/>
        <family val="0"/>
        <charset val="1"/>
      </rPr>
      <t xml:space="preserve">Oracle </t>
    </r>
    <r>
      <rPr>
        <sz val="10"/>
        <rFont val="WenQuanYi Zen Hei"/>
        <family val="2"/>
      </rPr>
      <t xml:space="preserve">模板遺留，</t>
    </r>
    <r>
      <rPr>
        <sz val="10"/>
        <rFont val="Arial"/>
        <family val="0"/>
        <charset val="1"/>
      </rPr>
      <t xml:space="preserve">CoreWeave </t>
    </r>
    <r>
      <rPr>
        <sz val="10"/>
        <rFont val="WenQuanYi Zen Hei"/>
        <family val="2"/>
      </rPr>
      <t xml:space="preserve">恆為 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</si>
  <si>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■ v2.4</t>
    </r>
    <r>
      <rPr>
        <b val="true"/>
        <sz val="10"/>
        <rFont val="WenQuanYi Zen Hei"/>
        <family val="2"/>
      </rPr>
      <t xml:space="preserve">：股權吸收能力可調＋融資前缺口</t>
    </r>
  </si>
  <si>
    <r>
      <rPr>
        <sz val="10"/>
        <rFont val="WenQuanYi Zen Hei"/>
        <family val="2"/>
      </rPr>
      <t xml:space="preserve">  股權每年最多募到現市值的 </t>
    </r>
    <r>
      <rPr>
        <sz val="10"/>
        <rFont val="Arial"/>
        <family val="0"/>
        <charset val="1"/>
      </rPr>
      <t xml:space="preserve">20%</t>
    </r>
    <r>
      <rPr>
        <sz val="10"/>
        <rFont val="WenQuanYi Zen Hei"/>
        <family val="2"/>
      </rPr>
      <t xml:space="preserve">（可調；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年實際約 </t>
    </r>
    <r>
      <rPr>
        <sz val="10"/>
        <rFont val="Arial"/>
        <family val="0"/>
        <charset val="1"/>
      </rPr>
      <t xml:space="preserve">13%</t>
    </r>
    <r>
      <rPr>
        <sz val="10"/>
        <rFont val="WenQuanYi Zen Hei"/>
        <family val="2"/>
      </rPr>
      <t xml:space="preserve">），超出部分以高息債 </t>
    </r>
    <r>
      <rPr>
        <sz val="10"/>
        <rFont val="Arial"/>
        <family val="0"/>
        <charset val="1"/>
      </rPr>
      <t xml:space="preserve">12% </t>
    </r>
    <r>
      <rPr>
        <sz val="10"/>
        <rFont val="WenQuanYi Zen Hei"/>
        <family val="2"/>
      </rPr>
      <t xml:space="preserve">補足（可調）。發行折價 </t>
    </r>
    <r>
      <rPr>
        <sz val="10"/>
        <rFont val="Arial"/>
        <family val="0"/>
        <charset val="1"/>
      </rPr>
      <t xml:space="preserve">10%</t>
    </r>
    <r>
      <rPr>
        <sz val="10"/>
        <rFont val="WenQuanYi Zen Hei"/>
        <family val="2"/>
      </rPr>
      <t xml:space="preserve">（可調）。</t>
    </r>
  </si>
  <si>
    <t xml:space="preserve">  「支出與資金」頁新增『融資前累積現金』：若不做任何新融資，現金會落到多少——負值即外部資金需求。</t>
  </si>
  <si>
    <r>
      <rPr>
        <sz val="10"/>
        <rFont val="WenQuanYi Zen Hei"/>
        <family val="2"/>
      </rPr>
      <t xml:space="preserve">  「</t>
    </r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</rPr>
      <t xml:space="preserve">率」＝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WenQuanYi Zen Hei"/>
        <family val="2"/>
      </rPr>
      <t xml:space="preserve">營收：資金端使用的租金前利潤率，由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率推導、不是獨立輸入。</t>
    </r>
  </si>
  <si>
    <r>
      <rPr>
        <b val="true"/>
        <sz val="10"/>
        <rFont val="Arial"/>
        <family val="0"/>
        <charset val="1"/>
      </rPr>
      <t xml:space="preserve">■ v2.3</t>
    </r>
    <r>
      <rPr>
        <b val="true"/>
        <sz val="10"/>
        <rFont val="WenQuanYi Zen Hei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WenQuanYi Zen Hei"/>
        <family val="2"/>
      </rPr>
      <t xml:space="preserve">率單一來源＋融資校準</t>
    </r>
  </si>
  <si>
    <r>
      <rPr>
        <sz val="10"/>
        <rFont val="Arial"/>
        <family val="0"/>
        <charset val="1"/>
      </rPr>
      <t xml:space="preserve">  EBITDA </t>
    </r>
    <r>
      <rPr>
        <sz val="10"/>
        <rFont val="WenQuanYi Zen Hei"/>
        <family val="2"/>
      </rPr>
      <t xml:space="preserve">率只在「輸入」頁兩格設定：起始 </t>
    </r>
    <r>
      <rPr>
        <sz val="10"/>
        <rFont val="Arial"/>
        <family val="0"/>
        <charset val="1"/>
      </rPr>
      <t xml:space="preserve">59%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Q2 </t>
    </r>
    <r>
      <rPr>
        <sz val="10"/>
        <rFont val="WenQuanYi Zen Hei"/>
        <family val="2"/>
      </rPr>
      <t xml:space="preserve">實際）、穩態 </t>
    </r>
    <r>
      <rPr>
        <sz val="10"/>
        <rFont val="Arial"/>
        <family val="0"/>
        <charset val="1"/>
      </rPr>
      <t xml:space="preserve">65%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</rPr>
      <t xml:space="preserve">），中間線性爬升；損益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與資金現金都引用同一列。</t>
    </r>
  </si>
  <si>
    <r>
      <rPr>
        <sz val="10"/>
        <rFont val="WenQuanYi Zen Hei"/>
        <family val="2"/>
      </rPr>
      <t xml:space="preserve">  資金端</t>
    </r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</rPr>
      <t xml:space="preserve">率＝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WenQuanYi Zen Hei"/>
        <family val="2"/>
      </rPr>
      <t xml:space="preserve">營收（租金在支出端另列，故加回）；非算力服務現金＝服務營收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同一貢獻率。</t>
    </r>
  </si>
  <si>
    <r>
      <rPr>
        <sz val="10"/>
        <rFont val="WenQuanYi Zen Hei"/>
        <family val="2"/>
      </rPr>
      <t xml:space="preserve">  債務上限預設 </t>
    </r>
    <r>
      <rPr>
        <sz val="10"/>
        <rFont val="Arial"/>
        <family val="0"/>
        <charset val="1"/>
      </rPr>
      <t xml:space="preserve">1.0x</t>
    </r>
    <r>
      <rPr>
        <sz val="10"/>
        <rFont val="WenQuanYi Zen Hei"/>
        <family val="2"/>
      </rPr>
      <t xml:space="preserve">（依 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年實際融資組合：債務約 </t>
    </r>
    <r>
      <rPr>
        <sz val="10"/>
        <rFont val="Arial"/>
        <family val="0"/>
        <charset val="1"/>
      </rPr>
      <t xml:space="preserve">77%</t>
    </r>
    <r>
      <rPr>
        <sz val="10"/>
        <rFont val="WenQuanYi Zen Hei"/>
        <family val="2"/>
      </rPr>
      <t xml:space="preserve">、股權約 </t>
    </r>
    <r>
      <rPr>
        <sz val="10"/>
        <rFont val="Arial"/>
        <family val="0"/>
        <charset val="1"/>
      </rPr>
      <t xml:space="preserve">23%</t>
    </r>
    <r>
      <rPr>
        <sz val="10"/>
        <rFont val="WenQuanYi Zen Hei"/>
        <family val="2"/>
      </rPr>
      <t xml:space="preserve">）。敏感度：把穩態改成 </t>
    </r>
    <r>
      <rPr>
        <sz val="10"/>
        <rFont val="Arial"/>
        <family val="0"/>
        <charset val="1"/>
      </rPr>
      <t xml:space="preserve">59%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70%</t>
    </r>
    <r>
      <rPr>
        <sz val="10"/>
        <rFont val="WenQuanYi Zen Hei"/>
        <family val="2"/>
      </rPr>
      <t xml:space="preserve">、上限改成 </t>
    </r>
    <r>
      <rPr>
        <sz val="10"/>
        <rFont val="Arial"/>
        <family val="0"/>
        <charset val="1"/>
      </rPr>
      <t xml:space="preserve">0.4x </t>
    </r>
    <r>
      <rPr>
        <sz val="10"/>
        <rFont val="WenQuanYi Zen Hei"/>
        <family val="2"/>
      </rPr>
      <t xml:space="preserve">即可重算。</t>
    </r>
  </si>
  <si>
    <r>
      <rPr>
        <b val="true"/>
        <sz val="10"/>
        <rFont val="Arial"/>
        <family val="0"/>
        <charset val="1"/>
      </rPr>
      <t xml:space="preserve">■ v2.0</t>
    </r>
    <r>
      <rPr>
        <b val="true"/>
        <sz val="10"/>
        <rFont val="WenQuanYi Zen Hei"/>
        <family val="2"/>
      </rPr>
      <t xml:space="preserve">：期前融資瀑布（取代「透支利息＋扣缺口」）</t>
    </r>
  </si>
  <si>
    <r>
      <rPr>
        <sz val="10"/>
        <rFont val="WenQuanYi Zen Hei"/>
        <family val="2"/>
      </rPr>
      <t xml:space="preserve">  缺口在需要前一期先融好，使每期末現金不低於最低現金 </t>
    </r>
    <r>
      <rPr>
        <sz val="10"/>
        <rFont val="Arial"/>
        <family val="0"/>
        <charset val="1"/>
      </rPr>
      <t xml:space="preserve">2.0bn</t>
    </r>
    <r>
      <rPr>
        <sz val="10"/>
        <rFont val="WenQuanYi Zen Hei"/>
        <family val="2"/>
      </rPr>
      <t xml:space="preserve">。順序：未動用額度 </t>
    </r>
    <r>
      <rPr>
        <sz val="10"/>
        <rFont val="Arial"/>
        <family val="0"/>
        <charset val="1"/>
      </rPr>
      <t xml:space="preserve">10.0 → </t>
    </r>
    <r>
      <rPr>
        <sz val="10"/>
        <rFont val="WenQuanYi Zen Hei"/>
        <family val="2"/>
      </rPr>
      <t xml:space="preserve">資產層新債</t>
    </r>
  </si>
  <si>
    <r>
      <rPr>
        <sz val="10"/>
        <rFont val="WenQuanYi Zen Hei"/>
        <family val="2"/>
      </rPr>
      <t xml:space="preserve">  （總債務 ≤ </t>
    </r>
    <r>
      <rPr>
        <sz val="10"/>
        <rFont val="Arial"/>
        <family val="0"/>
        <charset val="1"/>
      </rPr>
      <t xml:space="preserve">1.0 × </t>
    </r>
    <r>
      <rPr>
        <sz val="10"/>
        <rFont val="WenQuanYi Zen Hei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  <r>
      <rPr>
        <sz val="10"/>
        <rFont val="WenQuanYi Zen Hei"/>
        <family val="2"/>
      </rPr>
      <t xml:space="preserve">，依 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年實際融資組合校準；</t>
    </r>
    <r>
      <rPr>
        <sz val="10"/>
        <rFont val="Arial"/>
        <family val="0"/>
        <charset val="1"/>
      </rPr>
      <t xml:space="preserve">0.4x </t>
    </r>
    <r>
      <rPr>
        <sz val="10"/>
        <rFont val="WenQuanYi Zen Hei"/>
        <family val="2"/>
      </rPr>
      <t xml:space="preserve">為敏感度）→ 股權（</t>
    </r>
    <r>
      <rPr>
        <sz val="10"/>
        <rFont val="Arial"/>
        <family val="0"/>
        <charset val="1"/>
      </rPr>
      <t xml:space="preserve">9/21 </t>
    </r>
    <r>
      <rPr>
        <sz val="10"/>
        <rFont val="WenQuanYi Zen Hei"/>
        <family val="2"/>
      </rPr>
      <t xml:space="preserve">收盤 </t>
    </r>
    <r>
      <rPr>
        <sz val="10"/>
        <rFont val="Arial"/>
        <family val="0"/>
        <charset val="1"/>
      </rPr>
      <t xml:space="preserve">$85.43 </t>
    </r>
    <r>
      <rPr>
        <sz val="10"/>
        <rFont val="WenQuanYi Zen Hei"/>
        <family val="2"/>
      </rPr>
      <t xml:space="preserve">折價 </t>
    </r>
    <r>
      <rPr>
        <sz val="10"/>
        <rFont val="Arial"/>
        <family val="0"/>
        <charset val="1"/>
      </rPr>
      <t xml:space="preserve">10% </t>
    </r>
    <r>
      <rPr>
        <sz val="10"/>
        <rFont val="WenQuanYi Zen Hei"/>
        <family val="2"/>
      </rPr>
      <t xml:space="preserve">發行）。</t>
    </r>
  </si>
  <si>
    <r>
      <rPr>
        <sz val="10"/>
        <rFont val="Arial"/>
        <family val="0"/>
        <charset val="1"/>
      </rPr>
      <t xml:space="preserve">  DCF </t>
    </r>
    <r>
      <rPr>
        <sz val="10"/>
        <rFont val="WenQuanYi Zen Hei"/>
        <family val="2"/>
      </rPr>
      <t xml:space="preserve">以融資後股數計每股，並加回新股募得現金的現值；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用 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末淨負債與 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末股數。</t>
    </r>
  </si>
  <si>
    <r>
      <rPr>
        <sz val="10"/>
        <rFont val="WenQuanYi Zen Hei"/>
        <family val="2"/>
      </rPr>
      <t xml:space="preserve">  舊版的透支利息（借款利息）與扣 </t>
    </r>
    <r>
      <rPr>
        <sz val="10"/>
        <rFont val="Arial"/>
        <family val="0"/>
        <charset val="1"/>
      </rPr>
      <t xml:space="preserve">NTM </t>
    </r>
    <r>
      <rPr>
        <sz val="10"/>
        <rFont val="WenQuanYi Zen Hei"/>
        <family val="2"/>
      </rPr>
      <t xml:space="preserve">缺口（借款本金）並非重複計費；</t>
    </r>
    <r>
      <rPr>
        <sz val="10"/>
        <rFont val="Arial"/>
        <family val="0"/>
        <charset val="1"/>
      </rPr>
      <t xml:space="preserve">v2.0 </t>
    </r>
    <r>
      <rPr>
        <sz val="10"/>
        <rFont val="WenQuanYi Zen Hei"/>
        <family val="2"/>
      </rPr>
      <t xml:space="preserve">的差別是新債設上限、超出部分改以股權支應。瀑布位於「支出與資金」頁下方。</t>
    </r>
  </si>
  <si>
    <t xml:space="preserve">輸入（依類別排序；點左側 ＋／− 展開或收合。藍字可改；黃底為最關鍵假設）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</si>
  <si>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情境 →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產能與收入 →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利潤率 →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支出（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／折舊／租賃／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WenQuanYi Zen Hei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WenQuanYi Zen Hei"/>
        <family val="2"/>
      </rPr>
      <t xml:space="preserve">融資 →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WenQuanYi Zen Hei"/>
        <family val="2"/>
      </rPr>
      <t xml:space="preserve">評價 →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WenQuanYi Zen Hei"/>
        <family val="2"/>
      </rPr>
      <t xml:space="preserve">參考：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WenQuanYi Zen Hei"/>
        <family val="2"/>
      </rPr>
      <t xml:space="preserve">實際。灰底『▸』為明細子區，預設收合</t>
    </r>
  </si>
  <si>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WenQuanYi Zen Hei"/>
        <family val="2"/>
      </rPr>
      <t xml:space="preserve">｜情境與規模（管理層擴張力道）</t>
    </r>
  </si>
  <si>
    <r>
      <rPr>
        <b val="true"/>
        <sz val="10"/>
        <rFont val="WenQuanYi Zen Hei"/>
        <family val="2"/>
      </rPr>
      <t xml:space="preserve">情境選擇（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＝保守 </t>
    </r>
    <r>
      <rPr>
        <b val="true"/>
        <sz val="10"/>
        <rFont val="Arial"/>
        <family val="0"/>
        <charset val="1"/>
      </rPr>
      <t xml:space="preserve">4.2 GW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＝基準 </t>
    </r>
    <r>
      <rPr>
        <b val="true"/>
        <sz val="10"/>
        <rFont val="Arial"/>
        <family val="0"/>
        <charset val="1"/>
      </rPr>
      <t xml:space="preserve">5.6 GW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＝積極 </t>
    </r>
    <r>
      <rPr>
        <b val="true"/>
        <sz val="10"/>
        <rFont val="Arial"/>
        <family val="0"/>
        <charset val="1"/>
      </rPr>
      <t xml:space="preserve">8 GW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</si>
  <si>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三情境只改變管理層的擴張力道；其餘假設相同。</t>
    </r>
    <r>
      <rPr>
        <sz val="9"/>
        <color rgb="FF595959"/>
        <rFont val="Arial"/>
        <family val="0"/>
        <charset val="1"/>
      </rPr>
      <t xml:space="preserve">FY26–FY27 </t>
    </r>
    <r>
      <rPr>
        <sz val="9"/>
        <color rgb="FF595959"/>
        <rFont val="WenQuanYi Zen Hei"/>
        <family val="2"/>
      </rPr>
      <t xml:space="preserve">三者相同（年底 </t>
    </r>
    <r>
      <rPr>
        <sz val="9"/>
        <color rgb="FF595959"/>
        <rFont val="Arial"/>
        <family val="0"/>
        <charset val="1"/>
      </rPr>
      <t xml:space="preserve">1,850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3,100 MW</t>
    </r>
    <r>
      <rPr>
        <sz val="9"/>
        <color rgb="FF595959"/>
        <rFont val="WenQuanYi Zen Hei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WenQuanYi Zen Hei"/>
        <family val="2"/>
      </rPr>
      <t xml:space="preserve">起分歧</t>
    </r>
  </si>
  <si>
    <r>
      <rPr>
        <b val="true"/>
        <sz val="10"/>
        <color rgb="FF1F3864"/>
        <rFont val="WenQuanYi Zen Hei"/>
        <family val="2"/>
      </rPr>
      <t xml:space="preserve">▸ 情境路徑明細（</t>
    </r>
    <r>
      <rPr>
        <b val="true"/>
        <sz val="10"/>
        <color rgb="FF1F3864"/>
        <rFont val="Arial"/>
        <family val="0"/>
        <charset val="1"/>
      </rPr>
      <t xml:space="preserve">Accepted MW</t>
    </r>
    <r>
      <rPr>
        <b val="true"/>
        <sz val="10"/>
        <color rgb="FF1F3864"/>
        <rFont val="WenQuanYi Zen Hei"/>
        <family val="2"/>
      </rPr>
      <t xml:space="preserve">、爬坡比例、表外租金基準）</t>
    </r>
  </si>
  <si>
    <r>
      <rPr>
        <b val="true"/>
        <sz val="11"/>
        <color rgb="FFFFFFFF"/>
        <rFont val="Arial"/>
        <family val="0"/>
        <charset val="1"/>
      </rPr>
      <t xml:space="preserve">Accepted MW </t>
    </r>
    <r>
      <rPr>
        <b val="true"/>
        <sz val="11"/>
        <color rgb="FFFFFFFF"/>
        <rFont val="WenQuanYi Zen Hei"/>
        <family val="2"/>
      </rPr>
      <t xml:space="preserve">路徑</t>
    </r>
  </si>
  <si>
    <t xml:space="preserve">單位</t>
  </si>
  <si>
    <t xml:space="preserve">FY26</t>
  </si>
  <si>
    <t xml:space="preserve">FY27</t>
  </si>
  <si>
    <t xml:space="preserve">FY28</t>
  </si>
  <si>
    <t xml:space="preserve">FY29</t>
  </si>
  <si>
    <t xml:space="preserve">FY30</t>
  </si>
  <si>
    <r>
      <rPr>
        <b val="true"/>
        <sz val="11"/>
        <color rgb="FFFFFFFF"/>
        <rFont val="Arial"/>
        <family val="0"/>
        <charset val="1"/>
      </rPr>
      <t xml:space="preserve">FY31 </t>
    </r>
    <r>
      <rPr>
        <b val="true"/>
        <sz val="11"/>
        <color rgb="FFFFFFFF"/>
        <rFont val="WenQuanYi Zen Hei"/>
        <family val="2"/>
      </rPr>
      <t xml:space="preserve">新增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</si>
  <si>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保守 </t>
    </r>
    <r>
      <rPr>
        <sz val="10"/>
        <rFont val="Arial"/>
        <family val="0"/>
        <charset val="1"/>
      </rPr>
      <t xml:space="preserve">4.2 GW</t>
    </r>
  </si>
  <si>
    <t xml:space="preserve">MW</t>
  </si>
  <si>
    <r>
      <rPr>
        <sz val="9"/>
        <color rgb="FF595959"/>
        <rFont val="WenQuanYi Zen Hei"/>
        <family val="2"/>
      </rPr>
      <t xml:space="preserve">只交付已簽約電力 </t>
    </r>
    <r>
      <rPr>
        <sz val="9"/>
        <color rgb="FF595959"/>
        <rFont val="Arial"/>
        <family val="0"/>
        <charset val="1"/>
      </rPr>
      <t xml:space="preserve">4.2 GW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8/11 </t>
    </r>
    <r>
      <rPr>
        <sz val="9"/>
        <color rgb="FF595959"/>
        <rFont val="WenQuanYi Zen Hei"/>
        <family val="2"/>
      </rPr>
      <t xml:space="preserve">法說），不再新簽</t>
    </r>
  </si>
  <si>
    <r>
      <rPr>
        <sz val="10"/>
        <rFont val="WenQuanYi Zen Hei"/>
        <family val="2"/>
      </rPr>
      <t xml:space="preserve">基準 </t>
    </r>
    <r>
      <rPr>
        <sz val="10"/>
        <rFont val="Arial"/>
        <family val="0"/>
        <charset val="1"/>
      </rPr>
      <t xml:space="preserve">5.6 GW</t>
    </r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</si>
  <si>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年後每年約 </t>
    </r>
    <r>
      <rPr>
        <sz val="9"/>
        <color rgb="FF595959"/>
        <rFont val="Arial"/>
        <family val="0"/>
        <charset val="1"/>
      </rPr>
      <t xml:space="preserve">+800 MW</t>
    </r>
  </si>
  <si>
    <r>
      <rPr>
        <sz val="10"/>
        <rFont val="WenQuanYi Zen Hei"/>
        <family val="2"/>
      </rPr>
      <t xml:space="preserve">積極 </t>
    </r>
    <r>
      <rPr>
        <sz val="10"/>
        <rFont val="Arial"/>
        <family val="0"/>
        <charset val="1"/>
      </rPr>
      <t xml:space="preserve">8 GW</t>
    </r>
  </si>
  <si>
    <r>
      <rPr>
        <sz val="9"/>
        <color rgb="FF595959"/>
        <rFont val="WenQuanYi Zen Hei"/>
        <family val="2"/>
      </rPr>
      <t xml:space="preserve">公司目標 </t>
    </r>
    <r>
      <rPr>
        <sz val="9"/>
        <color rgb="FF595959"/>
        <rFont val="Arial"/>
        <family val="0"/>
        <charset val="1"/>
      </rPr>
      <t xml:space="preserve">2030 ≥8 GW</t>
    </r>
  </si>
  <si>
    <r>
      <rPr>
        <sz val="10"/>
        <rFont val="Arial"/>
        <family val="0"/>
        <charset val="1"/>
      </rPr>
      <t xml:space="preserve">Billable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Accepted </t>
    </r>
    <r>
      <rPr>
        <sz val="10"/>
        <rFont val="WenQuanYi Zen Hei"/>
        <family val="2"/>
      </rPr>
      <t xml:space="preserve">爬坡比例</t>
    </r>
  </si>
  <si>
    <t xml:space="preserve">%</t>
  </si>
  <si>
    <t xml:space="preserve">三情境共用</t>
  </si>
  <si>
    <t xml:space="preserve">表外現金租金（積極路徑）</t>
  </si>
  <si>
    <t xml:space="preserve">US$bn</t>
  </si>
  <si>
    <r>
      <rPr>
        <sz val="9"/>
        <color rgb="FF595959"/>
        <rFont val="WenQuanYi Zen Hei"/>
        <family val="2"/>
      </rPr>
      <t xml:space="preserve">其他情境依「新增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（相對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1,500 MW</t>
    </r>
    <r>
      <rPr>
        <sz val="9"/>
        <color rgb="FF595959"/>
        <rFont val="WenQuanYi Zen Hei"/>
        <family val="2"/>
      </rPr>
      <t xml:space="preserve">）」等比例縮放</t>
    </r>
  </si>
  <si>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WenQuanYi Zen Hei"/>
        <family val="2"/>
      </rPr>
      <t xml:space="preserve">｜產能與收入（</t>
    </r>
    <r>
      <rPr>
        <b val="true"/>
        <sz val="10"/>
        <rFont val="Arial"/>
        <family val="0"/>
        <charset val="1"/>
      </rPr>
      <t xml:space="preserve">RPO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WenQuanYi Zen Hei"/>
        <family val="2"/>
      </rPr>
      <t xml:space="preserve">、利用率、單價、簽約、信用）</t>
    </r>
  </si>
  <si>
    <t xml:space="preserve">6/30 RPO</t>
  </si>
  <si>
    <r>
      <rPr>
        <sz val="9"/>
        <color rgb="FF595959"/>
        <rFont val="Arial"/>
        <family val="0"/>
        <charset val="1"/>
      </rPr>
      <t xml:space="preserve">10-Q 103.7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backlog 104.2 </t>
    </r>
    <r>
      <rPr>
        <sz val="9"/>
        <color rgb="FF595959"/>
        <rFont val="WenQuanYi Zen Hei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WenQuanYi Zen Hei"/>
        <family val="2"/>
      </rPr>
      <t xml:space="preserve">其他）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</si>
  <si>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Q3 </t>
    </r>
    <r>
      <rPr>
        <sz val="10"/>
        <rFont val="WenQuanYi Zen Hei"/>
        <family val="2"/>
      </rPr>
      <t xml:space="preserve">初新增承諾</t>
    </r>
  </si>
  <si>
    <r>
      <rPr>
        <sz val="9"/>
        <color rgb="FF595959"/>
        <rFont val="WenQuanYi Zen Hei"/>
        <family val="2"/>
      </rPr>
      <t xml:space="preserve">法說「</t>
    </r>
    <r>
      <rPr>
        <sz val="9"/>
        <color rgb="FF595959"/>
        <rFont val="Arial"/>
        <family val="0"/>
        <charset val="1"/>
      </rPr>
      <t xml:space="preserve">&gt;25</t>
    </r>
    <r>
      <rPr>
        <sz val="9"/>
        <color rgb="FF595959"/>
        <rFont val="WenQuanYi Zen Hei"/>
        <family val="2"/>
      </rPr>
      <t xml:space="preserve">」，尚未入 </t>
    </r>
    <r>
      <rPr>
        <sz val="9"/>
        <color rgb="FF595959"/>
        <rFont val="Arial"/>
        <family val="0"/>
        <charset val="1"/>
      </rPr>
      <t xml:space="preserve">RPO [Interested-party]</t>
    </r>
  </si>
  <si>
    <r>
      <rPr>
        <sz val="10"/>
        <rFont val="WenQuanYi Zen Hei"/>
        <family val="2"/>
      </rPr>
      <t xml:space="preserve">五期認列比例（至 </t>
    </r>
    <r>
      <rPr>
        <sz val="10"/>
        <rFont val="Arial"/>
        <family val="0"/>
        <charset val="1"/>
      </rPr>
      <t xml:space="preserve">2030 </t>
    </r>
    <r>
      <rPr>
        <sz val="10"/>
        <rFont val="WenQuanYi Zen Hei"/>
        <family val="2"/>
      </rPr>
      <t xml:space="preserve">末）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</si>
  <si>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桶 </t>
    </r>
    <r>
      <rPr>
        <sz val="9"/>
        <color rgb="FF595959"/>
        <rFont val="Arial"/>
        <family val="0"/>
        <charset val="1"/>
      </rPr>
      <t xml:space="preserve">41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39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WenQuanYi Zen Hei"/>
        <family val="2"/>
      </rPr>
      <t xml:space="preserve">線性分攤後五期合計 </t>
    </r>
    <r>
      <rPr>
        <sz val="9"/>
        <color rgb="FF595959"/>
        <rFont val="Arial"/>
        <family val="0"/>
        <charset val="1"/>
      </rPr>
      <t xml:space="preserve">84% 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</si>
  <si>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桶權重合計</t>
    </r>
  </si>
  <si>
    <t xml:space="preserve">下方權重列的合計，用於歸一化</t>
  </si>
  <si>
    <r>
      <rPr>
        <sz val="10"/>
        <rFont val="Arial"/>
        <family val="0"/>
        <charset val="1"/>
      </rPr>
      <t xml:space="preserve">2025-12-31 </t>
    </r>
    <r>
      <rPr>
        <sz val="10"/>
        <rFont val="WenQuanYi Zen Hei"/>
        <family val="2"/>
      </rPr>
      <t xml:space="preserve">主動電力</t>
    </r>
  </si>
  <si>
    <r>
      <rPr>
        <sz val="9"/>
        <color rgb="FF595959"/>
        <rFont val="Arial"/>
        <family val="0"/>
        <charset val="1"/>
      </rPr>
      <t xml:space="preserve">Q4 2025 </t>
    </r>
    <r>
      <rPr>
        <sz val="9"/>
        <color rgb="FF595959"/>
        <rFont val="WenQuanYi Zen Hei"/>
        <family val="2"/>
      </rPr>
      <t xml:space="preserve">法說：年底 </t>
    </r>
    <r>
      <rPr>
        <sz val="9"/>
        <color rgb="FF595959"/>
        <rFont val="Arial"/>
        <family val="0"/>
        <charset val="1"/>
      </rPr>
      <t xml:space="preserve">&gt;850 MW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43 </t>
    </r>
    <r>
      <rPr>
        <sz val="9"/>
        <color rgb="FF595959"/>
        <rFont val="WenQuanYi Zen Hei"/>
        <family val="2"/>
      </rPr>
      <t xml:space="preserve">座資料中心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</si>
  <si>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6/30 Billable MW</t>
  </si>
  <si>
    <r>
      <rPr>
        <sz val="9"/>
        <color rgb="FF595959"/>
        <rFont val="WenQuanYi Zen Hei"/>
        <family val="2"/>
      </rPr>
      <t xml:space="preserve">主動電力 </t>
    </r>
    <r>
      <rPr>
        <sz val="9"/>
        <color rgb="FF595959"/>
        <rFont val="Arial"/>
        <family val="0"/>
        <charset val="1"/>
      </rPr>
      <t xml:space="preserve">1.5 GW </t>
    </r>
    <r>
      <rPr>
        <sz val="9"/>
        <color rgb="FF595959"/>
        <rFont val="WenQuanYi Zen Hei"/>
        <family val="2"/>
      </rPr>
      <t xml:space="preserve">扣爬坡中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</si>
  <si>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收入用平均在役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是）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</si>
  <si>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＝用期末存量全期化。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交付後載（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WenQuanYi Zen Hei"/>
        <family val="2"/>
      </rPr>
      <t xml:space="preserve">月 </t>
    </r>
    <r>
      <rPr>
        <sz val="9"/>
        <color rgb="FF595959"/>
        <rFont val="Arial"/>
        <family val="0"/>
        <charset val="1"/>
      </rPr>
      <t xml:space="preserve">+300MW</t>
    </r>
    <r>
      <rPr>
        <sz val="9"/>
        <color rgb="FF595959"/>
        <rFont val="WenQuanYi Zen Hei"/>
        <family val="2"/>
      </rPr>
      <t xml:space="preserve">），建議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</si>
  <si>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年收入倍數（整體）</t>
    </r>
  </si>
  <si>
    <r>
      <rPr>
        <sz val="9"/>
        <color rgb="FF595959"/>
        <rFont val="WenQuanYi Zen Hei"/>
        <family val="2"/>
      </rPr>
      <t xml:space="preserve">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與壓力測試用；預設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。以『目標搜尋』調整此格即可反解市價隱含單價</t>
    </r>
  </si>
  <si>
    <t xml:space="preserve">項目</t>
  </si>
  <si>
    <t xml:space="preserve">來源／標籤</t>
  </si>
  <si>
    <t xml:space="preserve">模型期長度（年）</t>
  </si>
  <si>
    <r>
      <rPr>
        <sz val="9"/>
        <color rgb="FF595959"/>
        <rFont val="WenQuanYi Zen Hei"/>
        <family val="2"/>
      </rPr>
      <t xml:space="preserve">勿改。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模型期為 </t>
    </r>
    <r>
      <rPr>
        <sz val="9"/>
        <color rgb="FF595959"/>
        <rFont val="Arial"/>
        <family val="0"/>
        <charset val="1"/>
      </rPr>
      <t xml:space="preserve">2026-07-01</t>
    </r>
    <r>
      <rPr>
        <sz val="9"/>
        <color rgb="FF595959"/>
        <rFont val="WenQuanYi Zen Hei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12-31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WenQuanYi Zen Hei"/>
        <family val="2"/>
      </rPr>
      <t xml:space="preserve">年）。只用於容量上限、電力、維護三處年率換算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</si>
  <si>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桶權重</t>
    </r>
  </si>
  <si>
    <r>
      <rPr>
        <sz val="9"/>
        <color rgb="FF595959"/>
        <rFont val="Arial"/>
        <family val="0"/>
        <charset val="1"/>
      </rPr>
      <t xml:space="preserve">10-Q 41%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24m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39%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25-48m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49-78m </t>
    </r>
    <r>
      <rPr>
        <sz val="9"/>
        <color rgb="FF595959"/>
        <rFont val="WenQuanYi Zen Hei"/>
        <family val="2"/>
      </rPr>
      <t xml:space="preserve">桶內線性分攤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</si>
  <si>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（期末主動電力）</t>
    </r>
  </si>
  <si>
    <r>
      <rPr>
        <sz val="9"/>
        <color rgb="FF595959"/>
        <rFont val="WenQuanYi Zen Hei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區情境選擇器</t>
    </r>
  </si>
  <si>
    <t xml:space="preserve">Billable MW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</si>
  <si>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Accepted × </t>
    </r>
    <r>
      <rPr>
        <sz val="9"/>
        <color rgb="FF595959"/>
        <rFont val="WenQuanYi Zen Hei"/>
        <family val="2"/>
      </rPr>
      <t xml:space="preserve">爬坡比例（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區）</t>
    </r>
  </si>
  <si>
    <t xml:space="preserve">利用率</t>
  </si>
  <si>
    <r>
      <rPr>
        <sz val="9"/>
        <color rgb="FF595959"/>
        <rFont val="WenQuanYi Zen Hei"/>
        <family val="2"/>
      </rPr>
      <t xml:space="preserve">法說「近期產能實質售罄」，不擬合 </t>
    </r>
    <r>
      <rPr>
        <sz val="9"/>
        <color rgb="FF595959"/>
        <rFont val="Arial"/>
        <family val="0"/>
        <charset val="1"/>
      </rPr>
      <t xml:space="preserve">100% [Assumed]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</si>
  <si>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</t>
    </r>
  </si>
  <si>
    <t xml:space="preserve">US$bn/MW</t>
  </si>
  <si>
    <r>
      <rPr>
        <sz val="9"/>
        <color rgb="FF595959"/>
        <rFont val="WenQuanYi Zen Hei"/>
        <family val="2"/>
      </rPr>
      <t xml:space="preserve">期末 </t>
    </r>
    <r>
      <rPr>
        <sz val="9"/>
        <color rgb="FF595959"/>
        <rFont val="Arial"/>
        <family val="0"/>
        <charset val="1"/>
      </rPr>
      <t xml:space="preserve">ARR 18.5–19.5÷1.85GW≈10.0–10.5M/MW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WenQuanYi Zen Hei"/>
        <family val="2"/>
      </rPr>
      <t xml:space="preserve">月漲價 </t>
    </r>
    <r>
      <rPr>
        <sz val="9"/>
        <color rgb="FF595959"/>
        <rFont val="Arial"/>
        <family val="0"/>
        <charset val="1"/>
      </rPr>
      <t xml:space="preserve">25% </t>
    </r>
    <r>
      <rPr>
        <sz val="9"/>
        <color rgb="FF595959"/>
        <rFont val="WenQuanYi Zen Hei"/>
        <family val="2"/>
      </rPr>
      <t xml:space="preserve">只影響新約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</si>
  <si>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新產能簽約率</t>
  </si>
  <si>
    <r>
      <rPr>
        <sz val="9"/>
        <color rgb="FF595959"/>
        <rFont val="WenQuanYi Zen Hei"/>
        <family val="2"/>
      </rPr>
      <t xml:space="preserve">未被期初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占用的產能能賣掉的比例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</si>
  <si>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客戶違約率</t>
  </si>
  <si>
    <r>
      <rPr>
        <sz val="9"/>
        <color rgb="FF595959"/>
        <rFont val="WenQuanYi Zen Hei"/>
        <family val="2"/>
      </rPr>
      <t xml:space="preserve">前三大客戶 </t>
    </r>
    <r>
      <rPr>
        <sz val="9"/>
        <color rgb="FF595959"/>
        <rFont val="Arial"/>
        <family val="0"/>
        <charset val="1"/>
      </rPr>
      <t xml:space="preserve">72% </t>
    </r>
    <r>
      <rPr>
        <sz val="9"/>
        <color rgb="FF595959"/>
        <rFont val="WenQuanYi Zen Hei"/>
        <family val="2"/>
      </rPr>
      <t xml:space="preserve">營收的定價，非預測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</si>
  <si>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回收率</t>
  </si>
  <si>
    <t xml:space="preserve">[Assumed]</t>
  </si>
  <si>
    <t xml:space="preserve">非算力服務營收</t>
  </si>
  <si>
    <r>
      <rPr>
        <sz val="9"/>
        <color rgb="FF595959"/>
        <rFont val="WenQuanYi Zen Hei"/>
        <family val="2"/>
      </rPr>
      <t xml:space="preserve">軟體／儲存／</t>
    </r>
    <r>
      <rPr>
        <sz val="9"/>
        <color rgb="FF595959"/>
        <rFont val="Arial"/>
        <family val="0"/>
        <charset val="1"/>
      </rPr>
      <t xml:space="preserve">CPU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managed inference</t>
    </r>
    <r>
      <rPr>
        <sz val="9"/>
        <color rgb="FF595959"/>
        <rFont val="WenQuanYi Zen Hei"/>
        <family val="2"/>
      </rPr>
      <t xml:space="preserve">；損益營收與資金現金共用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</si>
  <si>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WenQuanYi Zen Hei"/>
        <family val="2"/>
      </rPr>
      <t xml:space="preserve">｜利潤率（</t>
    </r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WenQuanYi Zen Hei"/>
        <family val="2"/>
      </rPr>
      <t xml:space="preserve">率單一來源；損益與資金共用）</t>
    </r>
  </si>
  <si>
    <r>
      <rPr>
        <sz val="10"/>
        <rFont val="WenQuanYi Zen Hei"/>
        <family val="2"/>
      </rPr>
      <t xml:space="preserve">起始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</t>
    </r>
    <r>
      <rPr>
        <sz val="10"/>
        <rFont val="Arial"/>
        <family val="0"/>
        <charset val="1"/>
      </rPr>
      <t xml:space="preserve">FY26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</si>
  <si>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Adj. EBITDA </t>
    </r>
    <r>
      <rPr>
        <sz val="9"/>
        <color rgb="FF595959"/>
        <rFont val="WenQuanYi Zen Hei"/>
        <family val="2"/>
      </rPr>
      <t xml:space="preserve">率 </t>
    </r>
    <r>
      <rPr>
        <sz val="9"/>
        <color rgb="FF595959"/>
        <rFont val="Arial"/>
        <family val="0"/>
        <charset val="1"/>
      </rPr>
      <t xml:space="preserve">58.6% [Verified]</t>
    </r>
  </si>
  <si>
    <r>
      <rPr>
        <sz val="10"/>
        <rFont val="WenQuanYi Zen Hei"/>
        <family val="2"/>
      </rPr>
      <t xml:space="preserve">穩態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</si>
  <si>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由下而上：每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現金成本約 </t>
    </r>
    <r>
      <rPr>
        <sz val="9"/>
        <color rgb="FF595959"/>
        <rFont val="Arial"/>
        <family val="0"/>
        <charset val="1"/>
      </rPr>
      <t xml:space="preserve">$3.2–3.6m</t>
    </r>
    <r>
      <rPr>
        <sz val="9"/>
        <color rgb="FF595959"/>
        <rFont val="WenQuanYi Zen Hei"/>
        <family val="2"/>
      </rPr>
      <t xml:space="preserve">／年收入 </t>
    </r>
    <r>
      <rPr>
        <sz val="9"/>
        <color rgb="FF595959"/>
        <rFont val="Arial"/>
        <family val="0"/>
        <charset val="1"/>
      </rPr>
      <t xml:space="preserve">$10.9m → 67–71%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Q2 59% </t>
    </r>
    <r>
      <rPr>
        <sz val="9"/>
        <color rgb="FF595959"/>
        <rFont val="WenQuanYi Zen Hei"/>
        <family val="2"/>
      </rPr>
      <t xml:space="preserve">含爬坡成本。基準 </t>
    </r>
    <r>
      <rPr>
        <sz val="9"/>
        <color rgb="FF595959"/>
        <rFont val="Arial"/>
        <family val="0"/>
        <charset val="1"/>
      </rPr>
      <t xml:space="preserve">65%</t>
    </r>
    <r>
      <rPr>
        <sz val="9"/>
        <color rgb="FF595959"/>
        <rFont val="WenQuanYi Zen Hei"/>
        <family val="2"/>
      </rPr>
      <t xml:space="preserve">，敏感度 </t>
    </r>
    <r>
      <rPr>
        <sz val="9"/>
        <color rgb="FF595959"/>
        <rFont val="Arial"/>
        <family val="0"/>
        <charset val="1"/>
      </rPr>
      <t xml:space="preserve">59%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70% [Derived]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</si>
  <si>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</si>
  <si>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9"/>
        <color rgb="FF595959"/>
        <rFont val="WenQuanYi Zen Hei"/>
        <family val="2"/>
      </rPr>
      <t xml:space="preserve">＝起始＋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穩態−起始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WenQuanYi Zen Hei"/>
        <family val="2"/>
      </rPr>
      <t xml:space="preserve">期數</t>
    </r>
    <r>
      <rPr>
        <sz val="9"/>
        <color rgb="FF595959"/>
        <rFont val="Arial"/>
        <family val="0"/>
        <charset val="1"/>
      </rPr>
      <t xml:space="preserve">÷4</t>
    </r>
    <r>
      <rPr>
        <sz val="9"/>
        <color rgb="FF595959"/>
        <rFont val="WenQuanYi Zen Hei"/>
        <family val="2"/>
      </rPr>
      <t xml:space="preserve">（公式）</t>
    </r>
  </si>
  <si>
    <t xml:space="preserve">非算力服務現金</t>
  </si>
  <si>
    <r>
      <rPr>
        <sz val="9"/>
        <color rgb="FF595959"/>
        <rFont val="WenQuanYi Zen Hei"/>
        <family val="2"/>
      </rPr>
      <t xml:space="preserve">＝服務營收 </t>
    </r>
    <r>
      <rPr>
        <sz val="9"/>
        <color rgb="FF595959"/>
        <rFont val="Arial"/>
        <family val="0"/>
        <charset val="1"/>
      </rPr>
      <t xml:space="preserve">× EBITDAR </t>
    </r>
    <r>
      <rPr>
        <sz val="9"/>
        <color rgb="FF595959"/>
        <rFont val="WenQuanYi Zen Hei"/>
        <family val="2"/>
      </rPr>
      <t xml:space="preserve">率（公式）</t>
    </r>
  </si>
  <si>
    <r>
      <rPr>
        <b val="true"/>
        <sz val="10"/>
        <color rgb="FF1F3864"/>
        <rFont val="WenQuanYi Zen Hei"/>
        <family val="2"/>
      </rPr>
      <t xml:space="preserve">▸ 電力／維護 </t>
    </r>
    <r>
      <rPr>
        <b val="true"/>
        <sz val="10"/>
        <color rgb="FF1F3864"/>
        <rFont val="Arial"/>
        <family val="0"/>
        <charset val="1"/>
      </rPr>
      <t xml:space="preserve">overlay</t>
    </r>
    <r>
      <rPr>
        <b val="true"/>
        <sz val="10"/>
        <color rgb="FF1F3864"/>
        <rFont val="WenQuanYi Zen Hei"/>
        <family val="2"/>
      </rPr>
      <t xml:space="preserve">（預設關閉；</t>
    </r>
    <r>
      <rPr>
        <b val="true"/>
        <sz val="10"/>
        <color rgb="FF1F3864"/>
        <rFont val="Arial"/>
        <family val="0"/>
        <charset val="1"/>
      </rPr>
      <t xml:space="preserve">EBITDA </t>
    </r>
    <r>
      <rPr>
        <b val="true"/>
        <sz val="10"/>
        <color rgb="FF1F3864"/>
        <rFont val="WenQuanYi Zen Hei"/>
        <family val="2"/>
      </rPr>
      <t xml:space="preserve">已含電費）</t>
    </r>
  </si>
  <si>
    <r>
      <rPr>
        <sz val="10"/>
        <rFont val="WenQuanYi Zen Hei"/>
        <family val="2"/>
      </rPr>
      <t xml:space="preserve">電力／維護 </t>
    </r>
    <r>
      <rPr>
        <sz val="10"/>
        <rFont val="Arial"/>
        <family val="0"/>
        <charset val="1"/>
      </rPr>
      <t xml:space="preserve">overlay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開）</t>
    </r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</si>
  <si>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率已含電費，開啟會重複扣除，僅供壓力測試</t>
    </r>
  </si>
  <si>
    <t xml:space="preserve">電價</t>
  </si>
  <si>
    <t xml:space="preserve">$/MWh</t>
  </si>
  <si>
    <r>
      <rPr>
        <sz val="9"/>
        <color rgb="FF595959"/>
        <rFont val="Arial"/>
        <family val="0"/>
        <charset val="1"/>
      </rPr>
      <t xml:space="preserve">overlay </t>
    </r>
    <r>
      <rPr>
        <sz val="9"/>
        <color rgb="FF595959"/>
        <rFont val="WenQuanYi Zen Hei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</si>
  <si>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PUE</t>
  </si>
  <si>
    <t xml:space="preserve">維護成本</t>
  </si>
  <si>
    <t xml:space="preserve">US$m/MW</t>
  </si>
  <si>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｜支出（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WenQuanYi Zen Hei"/>
        <family val="2"/>
      </rPr>
      <t xml:space="preserve">、車隊折舊、租賃、</t>
    </r>
    <r>
      <rPr>
        <b val="true"/>
        <sz val="10"/>
        <rFont val="Arial"/>
        <family val="0"/>
        <charset val="1"/>
      </rPr>
      <t xml:space="preserve">JV</t>
    </r>
    <r>
      <rPr>
        <b val="true"/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</si>
  <si>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提前支出比例 </t>
    </r>
    <r>
      <rPr>
        <sz val="10"/>
        <rFont val="Arial"/>
        <family val="0"/>
        <charset val="1"/>
      </rPr>
      <t xml:space="preserve">λ</t>
    </r>
  </si>
  <si>
    <r>
      <rPr>
        <sz val="9"/>
        <color rgb="FF595959"/>
        <rFont val="WenQuanYi Zen Hei"/>
        <family val="2"/>
      </rPr>
      <t xml:space="preserve">次年才上線的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，其建置支出落在前一年的比例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</si>
  <si>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FY31 </t>
    </r>
    <r>
      <rPr>
        <sz val="10"/>
        <rFont val="WenQuanYi Zen Hei"/>
        <family val="2"/>
      </rPr>
      <t xml:space="preserve">新增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FY30 </t>
    </r>
    <r>
      <rPr>
        <sz val="10"/>
        <rFont val="WenQuanYi Zen Hei"/>
        <family val="2"/>
      </rPr>
      <t xml:space="preserve">預建用）</t>
    </r>
  </si>
  <si>
    <r>
      <rPr>
        <sz val="9"/>
        <color rgb="FF595959"/>
        <rFont val="WenQuanYi Zen Hei"/>
        <family val="2"/>
      </rPr>
      <t xml:space="preserve">隨情境：保守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／基準 </t>
    </r>
    <r>
      <rPr>
        <sz val="9"/>
        <color rgb="FF595959"/>
        <rFont val="Arial"/>
        <family val="0"/>
        <charset val="1"/>
      </rPr>
      <t xml:space="preserve">500</t>
    </r>
    <r>
      <rPr>
        <sz val="9"/>
        <color rgb="FF595959"/>
        <rFont val="WenQuanYi Zen Hei"/>
        <family val="2"/>
      </rPr>
      <t xml:space="preserve">／積極 </t>
    </r>
    <r>
      <rPr>
        <sz val="9"/>
        <color rgb="FF595959"/>
        <rFont val="Arial"/>
        <family val="0"/>
        <charset val="1"/>
      </rPr>
      <t xml:space="preserve">1,000 [Assumed]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</si>
  <si>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WenQuanYi Zen Hei"/>
        <family val="2"/>
      </rPr>
      <t xml:space="preserve">下限（已承諾）</t>
    </r>
  </si>
  <si>
    <r>
      <rPr>
        <sz val="9"/>
        <color rgb="FF595959"/>
        <rFont val="WenQuanYi Zen Hei"/>
        <family val="2"/>
      </rPr>
      <t xml:space="preserve">全年指引下緣：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年支出多已下單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</si>
  <si>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經濟壽命（年）</t>
    </r>
  </si>
  <si>
    <t xml:space="preserve">年</t>
  </si>
  <si>
    <r>
      <rPr>
        <sz val="9"/>
        <color rgb="FF595959"/>
        <rFont val="WenQuanYi Zen Hei"/>
        <family val="2"/>
      </rPr>
      <t xml:space="preserve">公司對伺服器與網路設備的折舊年限；決定汰換時點與車隊折舊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</si>
  <si>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2023 </t>
    </r>
    <r>
      <rPr>
        <sz val="10"/>
        <rFont val="WenQuanYi Zen Hei"/>
        <family val="2"/>
      </rPr>
      <t xml:space="preserve">年底主動電力</t>
    </r>
  </si>
  <si>
    <r>
      <rPr>
        <sz val="9"/>
        <color rgb="FF595959"/>
        <rFont val="WenQuanYi Zen Hei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2023 CapEx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3.1bn ÷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$30m/MW </t>
    </r>
    <r>
      <rPr>
        <sz val="9"/>
        <color rgb="FF595959"/>
        <rFont val="WenQuanYi Zen Hei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</si>
  <si>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2024 </t>
    </r>
    <r>
      <rPr>
        <sz val="10"/>
        <rFont val="WenQuanYi Zen Hei"/>
        <family val="2"/>
      </rPr>
      <t xml:space="preserve">年底主動電力</t>
    </r>
  </si>
  <si>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&gt;360 MW [Verified]</t>
    </r>
  </si>
  <si>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</si>
  <si>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（含 </t>
    </r>
    <r>
      <rPr>
        <sz val="9"/>
        <color rgb="FF595959"/>
        <rFont val="Arial"/>
        <family val="0"/>
        <charset val="1"/>
      </rPr>
      <t xml:space="preserve">CIP 11.9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</si>
  <si>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建置成本倍數（整體）</t>
    </r>
  </si>
  <si>
    <r>
      <rPr>
        <sz val="9"/>
        <color rgb="FF595959"/>
        <rFont val="WenQuanYi Zen Hei"/>
        <family val="2"/>
      </rPr>
      <t xml:space="preserve">同時影響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、汰換與車隊折舊；反向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用；預設 </t>
    </r>
    <r>
      <rPr>
        <sz val="9"/>
        <color rgb="FF595959"/>
        <rFont val="Arial"/>
        <family val="0"/>
        <charset val="1"/>
      </rPr>
      <t xml:space="preserve">100%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</si>
  <si>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</t>
    </r>
  </si>
  <si>
    <r>
      <rPr>
        <sz val="9"/>
        <color rgb="FF595959"/>
        <rFont val="Arial"/>
        <family val="0"/>
        <charset val="1"/>
      </rPr>
      <t xml:space="preserve">GPU</t>
    </r>
    <r>
      <rPr>
        <sz val="9"/>
        <color rgb="FF595959"/>
        <rFont val="WenQuanYi Zen Hei"/>
        <family val="2"/>
      </rPr>
      <t xml:space="preserve">＋網路＋機房內裝；以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校準重現全年指引 </t>
    </r>
    <r>
      <rPr>
        <sz val="9"/>
        <color rgb="FF595959"/>
        <rFont val="Arial"/>
        <family val="0"/>
        <charset val="1"/>
      </rPr>
      <t xml:space="preserve">35–39 [Derived]</t>
    </r>
  </si>
  <si>
    <r>
      <rPr>
        <sz val="10"/>
        <rFont val="WenQuanYi Zen Hei"/>
        <family val="2"/>
      </rPr>
      <t xml:space="preserve">客戶預付占毛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</si>
  <si>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WenQuanYi Zen Hei"/>
        <family val="2"/>
      </rPr>
      <t xml:space="preserve">遞延收入淨流入 </t>
    </r>
    <r>
      <rPr>
        <sz val="9"/>
        <color rgb="FF595959"/>
        <rFont val="Arial"/>
        <family val="0"/>
        <charset val="1"/>
      </rPr>
      <t xml:space="preserve">1.365÷CapEx 16.139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8.5% [Derived]</t>
    </r>
  </si>
  <si>
    <r>
      <rPr>
        <sz val="10"/>
        <rFont val="WenQuanYi Zen Hei"/>
        <family val="2"/>
      </rPr>
      <t xml:space="preserve">在帳現金租金（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到期表）</t>
    </r>
  </si>
  <si>
    <r>
      <rPr>
        <sz val="9"/>
        <color rgb="FF595959"/>
        <rFont val="WenQuanYi Zen Hei"/>
        <family val="2"/>
      </rPr>
      <t xml:space="preserve">營業＋融資租賃未折現付款；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WenQuanYi Zen Hei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19.023 [Verified]</t>
    </r>
  </si>
  <si>
    <t xml:space="preserve">表外現金租金（未起租）</t>
  </si>
  <si>
    <r>
      <rPr>
        <sz val="9"/>
        <color rgb="FF595959"/>
        <rFont val="WenQuanYi Zen Hei"/>
        <family val="2"/>
      </rPr>
      <t xml:space="preserve">＝積極路徑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比例（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</si>
  <si>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已承諾餘額出資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</si>
  <si>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：兩個 </t>
    </r>
    <r>
      <rPr>
        <sz val="9"/>
        <color rgb="FF595959"/>
        <rFont val="Arial"/>
        <family val="0"/>
        <charset val="1"/>
      </rPr>
      <t xml:space="preserve">JV </t>
    </r>
    <r>
      <rPr>
        <sz val="9"/>
        <color rgb="FF595959"/>
        <rFont val="WenQuanYi Zen Hei"/>
        <family val="2"/>
      </rPr>
      <t xml:space="preserve">承諾最高 </t>
    </r>
    <r>
      <rPr>
        <sz val="9"/>
        <color rgb="FF595959"/>
        <rFont val="Arial"/>
        <family val="0"/>
        <charset val="1"/>
      </rPr>
      <t xml:space="preserve">1.7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年內履行；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WenQuanYi Zen Hei"/>
        <family val="2"/>
      </rPr>
      <t xml:space="preserve">已付 </t>
    </r>
    <r>
      <rPr>
        <sz val="9"/>
        <color rgb="FF595959"/>
        <rFont val="Arial"/>
        <family val="0"/>
        <charset val="1"/>
      </rPr>
      <t xml:space="preserve">0.55 [Verified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Derived]</t>
    </r>
  </si>
  <si>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後續增資＋策略投資</t>
    </r>
  </si>
  <si>
    <r>
      <rPr>
        <sz val="9"/>
        <color rgb="FF595959"/>
        <rFont val="WenQuanYi Zen Hei"/>
        <family val="2"/>
      </rPr>
      <t xml:space="preserve">入夥後須追加出資，金額未揭露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</si>
  <si>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JV</t>
    </r>
    <r>
      <rPr>
        <sz val="10"/>
        <rFont val="WenQuanYi Zen Hei"/>
        <family val="2"/>
      </rPr>
      <t xml:space="preserve">／策略投資出資</t>
    </r>
  </si>
  <si>
    <t xml:space="preserve">＝已承諾餘額＋後續增資</t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</si>
  <si>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WenQuanYi Zen Hei"/>
        <family val="2"/>
      </rPr>
      <t xml:space="preserve">推導明細（由 </t>
    </r>
    <r>
      <rPr>
        <b val="true"/>
        <sz val="10"/>
        <color rgb="FF1F3864"/>
        <rFont val="Arial"/>
        <family val="0"/>
        <charset val="1"/>
      </rPr>
      <t xml:space="preserve">Accepted MW </t>
    </r>
    <r>
      <rPr>
        <b val="true"/>
        <sz val="10"/>
        <color rgb="FF1F3864"/>
        <rFont val="WenQuanYi Zen Hei"/>
        <family val="2"/>
      </rPr>
      <t xml:space="preserve">連動）</t>
    </r>
  </si>
  <si>
    <t xml:space="preserve">期初主動電力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</si>
  <si>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850 MW</t>
    </r>
  </si>
  <si>
    <r>
      <rPr>
        <sz val="10"/>
        <rFont val="WenQuanYi Zen Hei"/>
        <family val="2"/>
      </rPr>
      <t xml:space="preserve">本期新增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</si>
  <si>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次期新增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</si>
  <si>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全年毛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（公式）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</si>
  <si>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本期新增</t>
    </r>
    <r>
      <rPr>
        <sz val="9"/>
        <color rgb="FF595959"/>
        <rFont val="Arial"/>
        <family val="0"/>
        <charset val="1"/>
      </rPr>
      <t xml:space="preserve">×(1−λ)</t>
    </r>
    <r>
      <rPr>
        <sz val="9"/>
        <color rgb="FF595959"/>
        <rFont val="WenQuanYi Zen Hei"/>
        <family val="2"/>
      </rPr>
      <t xml:space="preserve">＋次期新增</t>
    </r>
    <r>
      <rPr>
        <sz val="9"/>
        <color rgb="FF595959"/>
        <rFont val="Arial"/>
        <family val="0"/>
        <charset val="1"/>
      </rPr>
      <t xml:space="preserve">×λ)×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成本</t>
    </r>
  </si>
  <si>
    <r>
      <rPr>
        <sz val="10"/>
        <rFont val="WenQuanYi Zen Hei"/>
        <family val="2"/>
      </rPr>
      <t xml:space="preserve">成長型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（模型期）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</si>
  <si>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WenQuanYi Zen Hei"/>
        <family val="2"/>
      </rPr>
      <t xml:space="preserve">全年公式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下限</t>
    </r>
    <r>
      <rPr>
        <sz val="9"/>
        <color rgb="FF595959"/>
        <rFont val="Arial"/>
        <family val="0"/>
        <charset val="1"/>
      </rPr>
      <t xml:space="preserve">) − 1H </t>
    </r>
    <r>
      <rPr>
        <sz val="9"/>
        <color rgb="FF595959"/>
        <rFont val="WenQuanYi Zen Hei"/>
        <family val="2"/>
      </rPr>
      <t xml:space="preserve">已認列 </t>
    </r>
    <r>
      <rPr>
        <sz val="9"/>
        <color rgb="FF595959"/>
        <rFont val="Arial"/>
        <family val="0"/>
        <charset val="1"/>
      </rPr>
      <t xml:space="preserve">16.139</t>
    </r>
  </si>
  <si>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</si>
  <si>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本年 − 壽命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WenQuanYi Zen Hei"/>
        <family val="2"/>
      </rPr>
      <t xml:space="preserve">那年新增的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成本；取代已折舊完的設備</t>
    </r>
  </si>
  <si>
    <r>
      <rPr>
        <sz val="10"/>
        <rFont val="WenQuanYi Zen Hei"/>
        <family val="2"/>
      </rPr>
      <t xml:space="preserve">期初毛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</si>
  <si>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WenQuanYi Zen Hei"/>
        <family val="2"/>
      </rPr>
      <t xml:space="preserve">之後＝前期期初＋前期成長型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（汰換不增加基礎）</t>
    </r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</si>
  <si>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WenQuanYi Zen Hei"/>
        <family val="2"/>
      </rPr>
      <t xml:space="preserve">與折舊（結果；下游引用）</t>
    </r>
  </si>
  <si>
    <r>
      <rPr>
        <sz val="10"/>
        <rFont val="WenQuanYi Zen Hei"/>
        <family val="2"/>
      </rPr>
      <t xml:space="preserve">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（模型期，下游引用此列）</t>
    </r>
  </si>
  <si>
    <t xml:space="preserve">＝成長型＋汰換</t>
  </si>
  <si>
    <r>
      <rPr>
        <sz val="10"/>
        <rFont val="Arial"/>
        <family val="0"/>
        <charset val="1"/>
      </rPr>
      <t xml:space="preserve">D&amp;A</t>
    </r>
    <r>
      <rPr>
        <sz val="10"/>
        <rFont val="WenQuanYi Zen Hei"/>
        <family val="2"/>
      </rPr>
      <t xml:space="preserve">（車隊折舊）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</si>
  <si>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期初毛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WenQuanYi Zen Hei"/>
        <family val="2"/>
      </rPr>
      <t xml:space="preserve">＋本期成長型</t>
    </r>
    <r>
      <rPr>
        <sz val="9"/>
        <color rgb="FF595959"/>
        <rFont val="Arial"/>
        <family val="0"/>
        <charset val="1"/>
      </rPr>
      <t xml:space="preserve">×½)÷</t>
    </r>
    <r>
      <rPr>
        <sz val="9"/>
        <color rgb="FF595959"/>
        <rFont val="WenQuanYi Zen Hei"/>
        <family val="2"/>
      </rPr>
      <t xml:space="preserve">壽命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期間長度</t>
    </r>
  </si>
  <si>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WenQuanYi Zen Hei"/>
        <family val="2"/>
      </rPr>
      <t xml:space="preserve">｜融資（期初現金、既有債務、瀑布參數）</t>
    </r>
  </si>
  <si>
    <r>
      <rPr>
        <sz val="10"/>
        <rFont val="WenQuanYi Zen Hei"/>
        <family val="2"/>
      </rPr>
      <t xml:space="preserve">期初現金（</t>
    </r>
    <r>
      <rPr>
        <sz val="10"/>
        <rFont val="Arial"/>
        <family val="0"/>
        <charset val="1"/>
      </rPr>
      <t xml:space="preserve">2026-06-30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</si>
  <si>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：現金 </t>
    </r>
    <r>
      <rPr>
        <sz val="9"/>
        <color rgb="FF595959"/>
        <rFont val="Arial"/>
        <family val="0"/>
        <charset val="1"/>
      </rPr>
      <t xml:space="preserve">5.524</t>
    </r>
    <r>
      <rPr>
        <sz val="9"/>
        <color rgb="FF595959"/>
        <rFont val="WenQuanYi Zen Hei"/>
        <family val="2"/>
      </rPr>
      <t xml:space="preserve">＋有價證券 </t>
    </r>
    <r>
      <rPr>
        <sz val="9"/>
        <color rgb="FF595959"/>
        <rFont val="Arial"/>
        <family val="0"/>
        <charset val="1"/>
      </rPr>
      <t xml:space="preserve">0.015</t>
    </r>
    <r>
      <rPr>
        <sz val="9"/>
        <color rgb="FF595959"/>
        <rFont val="WenQuanYi Zen Hei"/>
        <family val="2"/>
      </rPr>
      <t xml:space="preserve">；受限現金 </t>
    </r>
    <r>
      <rPr>
        <sz val="9"/>
        <color rgb="FF595959"/>
        <rFont val="Arial"/>
        <family val="0"/>
        <charset val="1"/>
      </rPr>
      <t xml:space="preserve">1.38 </t>
    </r>
    <r>
      <rPr>
        <sz val="9"/>
        <color rgb="FF595959"/>
        <rFont val="WenQuanYi Zen Hei"/>
        <family val="2"/>
      </rPr>
      <t xml:space="preserve">不計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</si>
  <si>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股權／可轉債金額</t>
  </si>
  <si>
    <r>
      <rPr>
        <sz val="9"/>
        <color rgb="FF595959"/>
        <rFont val="Arial"/>
        <family val="0"/>
        <charset val="1"/>
      </rPr>
      <t xml:space="preserve">9/17 </t>
    </r>
    <r>
      <rPr>
        <sz val="9"/>
        <color rgb="FF595959"/>
        <rFont val="WenQuanYi Zen Hei"/>
        <family val="2"/>
      </rPr>
      <t xml:space="preserve">可轉債淨現金約 </t>
    </r>
    <r>
      <rPr>
        <sz val="9"/>
        <color rgb="FF595959"/>
        <rFont val="Arial"/>
        <family val="0"/>
        <charset val="1"/>
      </rPr>
      <t xml:space="preserve">3.2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WenQuanYi Zen Hei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35m </t>
    </r>
    <r>
      <rPr>
        <sz val="9"/>
        <color rgb="FF595959"/>
        <rFont val="WenQuanYi Zen Hei"/>
        <family val="2"/>
      </rPr>
      <t xml:space="preserve">股 </t>
    </r>
    <r>
      <rPr>
        <sz val="9"/>
        <color rgb="FF595959"/>
        <rFont val="Arial"/>
        <family val="0"/>
        <charset val="1"/>
      </rPr>
      <t xml:space="preserve">× $85.43 ≈ 3.0 [Verified]</t>
    </r>
  </si>
  <si>
    <r>
      <rPr>
        <sz val="10"/>
        <rFont val="WenQuanYi Zen Hei"/>
        <family val="2"/>
      </rPr>
      <t xml:space="preserve">計入股權／可轉債（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是）</t>
    </r>
  </si>
  <si>
    <r>
      <rPr>
        <sz val="9"/>
        <color rgb="FF595959"/>
        <rFont val="WenQuanYi Zen Hei"/>
        <family val="2"/>
      </rPr>
      <t xml:space="preserve">關閉則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少 </t>
    </r>
    <r>
      <rPr>
        <sz val="9"/>
        <color rgb="FF595959"/>
        <rFont val="Arial"/>
        <family val="0"/>
        <charset val="1"/>
      </rPr>
      <t xml:space="preserve">6.2bn </t>
    </r>
    <r>
      <rPr>
        <sz val="9"/>
        <color rgb="FF595959"/>
        <rFont val="WenQuanYi Zen Hei"/>
        <family val="2"/>
      </rPr>
      <t xml:space="preserve">來源</t>
    </r>
  </si>
  <si>
    <t xml:space="preserve">未動用信用額度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</si>
  <si>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可用額度 </t>
    </r>
    <r>
      <rPr>
        <sz val="9"/>
        <color rgb="FF595959"/>
        <rFont val="Arial"/>
        <family val="0"/>
        <charset val="1"/>
      </rPr>
      <t xml:space="preserve">10.014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RCF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DDTL </t>
    </r>
    <r>
      <rPr>
        <sz val="9"/>
        <color rgb="FF595959"/>
        <rFont val="WenQuanYi Zen Hei"/>
        <family val="2"/>
      </rPr>
      <t xml:space="preserve">未動用）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</si>
  <si>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WenQuanYi Zen Hei"/>
        <family val="2"/>
      </rPr>
      <t xml:space="preserve">瀑布可動用未動用額度（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是）</t>
    </r>
  </si>
  <si>
    <r>
      <rPr>
        <sz val="9"/>
        <color rgb="FF595959"/>
        <rFont val="WenQuanYi Zen Hei"/>
        <family val="2"/>
      </rPr>
      <t xml:space="preserve">瀑布第一順位；已承諾額度，不受 債務／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WenQuanYi Zen Hei"/>
        <family val="2"/>
      </rPr>
      <t xml:space="preserve">上限限制</t>
    </r>
  </si>
  <si>
    <r>
      <rPr>
        <sz val="10"/>
        <rFont val="WenQuanYi Zen Hei"/>
        <family val="2"/>
      </rPr>
      <t xml:space="preserve">債務排程攤還（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開）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</si>
  <si>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本金到期表；關閉＝假設全額再融資</t>
    </r>
  </si>
  <si>
    <r>
      <rPr>
        <sz val="10"/>
        <rFont val="WenQuanYi Zen Hei"/>
        <family val="2"/>
      </rPr>
      <t xml:space="preserve">債務／</t>
    </r>
    <r>
      <rPr>
        <sz val="10"/>
        <rFont val="Arial"/>
        <family val="0"/>
        <charset val="1"/>
      </rPr>
      <t xml:space="preserve">backlog </t>
    </r>
    <r>
      <rPr>
        <sz val="10"/>
        <rFont val="WenQuanYi Zen Hei"/>
        <family val="2"/>
      </rPr>
      <t xml:space="preserve">上限</t>
    </r>
  </si>
  <si>
    <t xml:space="preserve">x</t>
  </si>
  <si>
    <r>
      <rPr>
        <sz val="9"/>
        <color rgb="FF595959"/>
        <rFont val="WenQuanYi Zen Hei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1.0x</t>
    </r>
    <r>
      <rPr>
        <sz val="9"/>
        <color rgb="FF595959"/>
        <rFont val="WenQuanYi Zen Hei"/>
        <family val="2"/>
      </rPr>
      <t xml:space="preserve">：依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年實際融資組合（債務約 </t>
    </r>
    <r>
      <rPr>
        <sz val="9"/>
        <color rgb="FF595959"/>
        <rFont val="Arial"/>
        <family val="0"/>
        <charset val="1"/>
      </rPr>
      <t xml:space="preserve">77%</t>
    </r>
    <r>
      <rPr>
        <sz val="9"/>
        <color rgb="FF595959"/>
        <rFont val="WenQuanYi Zen Hei"/>
        <family val="2"/>
      </rPr>
      <t xml:space="preserve">、股權約 </t>
    </r>
    <r>
      <rPr>
        <sz val="9"/>
        <color rgb="FF595959"/>
        <rFont val="Arial"/>
        <family val="0"/>
        <charset val="1"/>
      </rPr>
      <t xml:space="preserve">23%</t>
    </r>
    <r>
      <rPr>
        <sz val="9"/>
        <color rgb="FF595959"/>
        <rFont val="WenQuanYi Zen Hei"/>
        <family val="2"/>
      </rPr>
      <t xml:space="preserve">）校準；公司簡報當前約 </t>
    </r>
    <r>
      <rPr>
        <sz val="9"/>
        <color rgb="FF595959"/>
        <rFont val="Arial"/>
        <family val="0"/>
        <charset val="1"/>
      </rPr>
      <t xml:space="preserve">0.4x</t>
    </r>
    <r>
      <rPr>
        <sz val="9"/>
        <color rgb="FF595959"/>
        <rFont val="WenQuanYi Zen Hei"/>
        <family val="2"/>
      </rPr>
      <t xml:space="preserve">（敏感度）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</si>
  <si>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新簽合約年期</t>
  </si>
  <si>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WenQuanYi Zen Hei"/>
        <family val="2"/>
      </rPr>
      <t xml:space="preserve">法說：加權平均合約約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年；決定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WenQuanYi Zen Hei"/>
        <family val="2"/>
      </rPr>
      <t xml:space="preserve">補入量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</si>
  <si>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最低現金</t>
  </si>
  <si>
    <r>
      <rPr>
        <sz val="9"/>
        <color rgb="FF595959"/>
        <rFont val="WenQuanYi Zen Hei"/>
        <family val="2"/>
      </rPr>
      <t xml:space="preserve">期前融資的現金底線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</si>
  <si>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股權發行價</t>
  </si>
  <si>
    <t xml:space="preserve">US$</t>
  </si>
  <si>
    <r>
      <rPr>
        <sz val="9"/>
        <color rgb="FF595959"/>
        <rFont val="WenQuanYi Zen Hei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2026-09-21 </t>
    </r>
    <r>
      <rPr>
        <sz val="9"/>
        <color rgb="FF595959"/>
        <rFont val="WenQuanYi Zen Hei"/>
        <family val="2"/>
      </rPr>
      <t xml:space="preserve">收盤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</si>
  <si>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股權發行折價</t>
  </si>
  <si>
    <r>
      <rPr>
        <sz val="9"/>
        <color rgb="FF595959"/>
        <rFont val="WenQuanYi Zen Hei"/>
        <family val="2"/>
      </rPr>
      <t xml:space="preserve">大額增資的折讓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</si>
  <si>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每年股權吸收上限（占現市值）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</si>
  <si>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年實際約 </t>
    </r>
    <r>
      <rPr>
        <sz val="9"/>
        <color rgb="FF595959"/>
        <rFont val="Arial"/>
        <family val="0"/>
        <charset val="1"/>
      </rPr>
      <t xml:space="preserve">13%</t>
    </r>
    <r>
      <rPr>
        <sz val="9"/>
        <color rgb="FF595959"/>
        <rFont val="WenQuanYi Zen Hei"/>
        <family val="2"/>
      </rPr>
      <t xml:space="preserve">；輸入 ≥</t>
    </r>
    <r>
      <rPr>
        <sz val="9"/>
        <color rgb="FF595959"/>
        <rFont val="Arial"/>
        <family val="0"/>
        <charset val="1"/>
      </rPr>
      <t xml:space="preserve">900% </t>
    </r>
    <r>
      <rPr>
        <sz val="9"/>
        <color rgb="FF595959"/>
        <rFont val="WenQuanYi Zen Hei"/>
        <family val="2"/>
      </rPr>
      <t xml:space="preserve">視為無上限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</si>
  <si>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高息債利率（股權上限溢出）</t>
  </si>
  <si>
    <r>
      <rPr>
        <sz val="9"/>
        <color rgb="FF595959"/>
        <rFont val="WenQuanYi Zen Hei"/>
        <family val="2"/>
      </rPr>
      <t xml:space="preserve">高於 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WenQuanYi Zen Hei"/>
        <family val="2"/>
      </rPr>
      <t xml:space="preserve">票據 </t>
    </r>
    <r>
      <rPr>
        <sz val="9"/>
        <color rgb="FF595959"/>
        <rFont val="Arial"/>
        <family val="0"/>
        <charset val="1"/>
      </rPr>
      <t xml:space="preserve">9.75%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WenQuanYi Zen Hei"/>
        <family val="2"/>
      </rPr>
      <t xml:space="preserve">中價 </t>
    </r>
    <r>
      <rPr>
        <sz val="9"/>
        <color rgb="FF595959"/>
        <rFont val="Arial"/>
        <family val="0"/>
        <charset val="1"/>
      </rPr>
      <t xml:space="preserve">720bps [Assumed]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</si>
  <si>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WenQuanYi Zen Hei"/>
        <family val="2"/>
      </rPr>
      <t xml:space="preserve">中價</t>
    </r>
  </si>
  <si>
    <t xml:space="preserve">bps</t>
  </si>
  <si>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WenQuanYi Zen Hei"/>
        <family val="2"/>
      </rPr>
      <t xml:space="preserve">中價 </t>
    </r>
    <r>
      <rPr>
        <sz val="9"/>
        <color rgb="FF595959"/>
        <rFont val="Arial"/>
        <family val="0"/>
        <charset val="1"/>
      </rPr>
      <t xml:space="preserve">720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Bid/Ask 690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750</t>
    </r>
    <r>
      <rPr>
        <sz val="9"/>
        <color rgb="FF595959"/>
        <rFont val="WenQuanYi Zen Hei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680–855 [User-provided]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</si>
  <si>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WenQuanYi Zen Hei"/>
        <family val="2"/>
      </rPr>
      <t xml:space="preserve">傳入新債利率（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開）</t>
    </r>
  </si>
  <si>
    <r>
      <rPr>
        <sz val="9"/>
        <color rgb="FF595959"/>
        <rFont val="WenQuanYi Zen Hei"/>
        <family val="2"/>
      </rPr>
      <t xml:space="preserve">開啟：新債利率＋</t>
    </r>
    <r>
      <rPr>
        <sz val="9"/>
        <color rgb="FF595959"/>
        <rFont val="Arial"/>
        <family val="0"/>
        <charset val="1"/>
      </rPr>
      <t xml:space="preserve">MAX(0,CDS−450)×0.4/100</t>
    </r>
    <r>
      <rPr>
        <sz val="9"/>
        <color rgb="FF595959"/>
        <rFont val="WenQuanYi Zen Hei"/>
        <family val="2"/>
      </rPr>
      <t xml:space="preserve">。預設關以免與 </t>
    </r>
    <r>
      <rPr>
        <sz val="9"/>
        <color rgb="FF595959"/>
        <rFont val="Arial"/>
        <family val="0"/>
        <charset val="1"/>
      </rPr>
      <t xml:space="preserve">9% </t>
    </r>
    <r>
      <rPr>
        <sz val="9"/>
        <color rgb="FF595959"/>
        <rFont val="WenQuanYi Zen Hei"/>
        <family val="2"/>
      </rPr>
      <t xml:space="preserve">重複</t>
    </r>
  </si>
  <si>
    <r>
      <rPr>
        <sz val="10"/>
        <rFont val="WenQuanYi Zen Hei"/>
        <family val="2"/>
      </rPr>
      <t xml:space="preserve">排程還本（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本金表）</t>
    </r>
  </si>
  <si>
    <r>
      <rPr>
        <sz val="9"/>
        <color rgb="FF595959"/>
        <rFont val="WenQuanYi Zen Hei"/>
        <family val="2"/>
      </rPr>
      <t xml:space="preserve">本金合計 </t>
    </r>
    <r>
      <rPr>
        <sz val="9"/>
        <color rgb="FF595959"/>
        <rFont val="Arial"/>
        <family val="0"/>
        <charset val="1"/>
      </rPr>
      <t xml:space="preserve">35.551</t>
    </r>
    <r>
      <rPr>
        <sz val="9"/>
        <color rgb="FF595959"/>
        <rFont val="WenQuanYi Zen Hei"/>
        <family val="2"/>
      </rPr>
      <t xml:space="preserve">；其後 </t>
    </r>
    <r>
      <rPr>
        <sz val="9"/>
        <color rgb="FF595959"/>
        <rFont val="Arial"/>
        <family val="0"/>
        <charset val="1"/>
      </rPr>
      <t xml:space="preserve">14.896 [Verified]</t>
    </r>
  </si>
  <si>
    <t xml:space="preserve">新債利率</t>
  </si>
  <si>
    <r>
      <rPr>
        <sz val="9"/>
        <color rgb="FF595959"/>
        <rFont val="WenQuanYi Zen Hei"/>
        <family val="2"/>
      </rPr>
      <t xml:space="preserve">瀑布新債成本：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WenQuanYi Zen Hei"/>
        <family val="2"/>
      </rPr>
      <t xml:space="preserve">票據 </t>
    </r>
    <r>
      <rPr>
        <sz val="9"/>
        <color rgb="FF595959"/>
        <rFont val="Arial"/>
        <family val="0"/>
        <charset val="1"/>
      </rPr>
      <t xml:space="preserve">9.75%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2032 9.625%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DDTL5.0 SOFR+450 [Derived]</t>
    </r>
  </si>
  <si>
    <t xml:space="preserve">存量債務利息（下游引用此列）</t>
  </si>
  <si>
    <r>
      <rPr>
        <sz val="9"/>
        <color rgb="FF595959"/>
        <rFont val="WenQuanYi Zen Hei"/>
        <family val="2"/>
      </rPr>
      <t xml:space="preserve">＝債務明細頁：平均本金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期間長度＋可轉債利息＋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校準</t>
    </r>
  </si>
  <si>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WenQuanYi Zen Hei"/>
        <family val="2"/>
      </rPr>
      <t xml:space="preserve">｜評價（價格、股數、折現、倍數、權重）</t>
    </r>
  </si>
  <si>
    <r>
      <rPr>
        <sz val="10"/>
        <rFont val="WenQuanYi Zen Hei"/>
        <family val="2"/>
      </rPr>
      <t xml:space="preserve">現價（</t>
    </r>
    <r>
      <rPr>
        <sz val="10"/>
        <rFont val="Arial"/>
        <family val="0"/>
        <charset val="1"/>
      </rPr>
      <t xml:space="preserve">2026-09-21 </t>
    </r>
    <r>
      <rPr>
        <sz val="10"/>
        <rFont val="WenQuanYi Zen Hei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</si>
  <si>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S&amp;P Global via stockanalysis.com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9/17 </t>
    </r>
    <r>
      <rPr>
        <sz val="9"/>
        <color rgb="FF595959"/>
        <rFont val="WenQuanYi Zen Hei"/>
        <family val="2"/>
      </rPr>
      <t xml:space="preserve">收盤 </t>
    </r>
    <r>
      <rPr>
        <sz val="9"/>
        <color rgb="FF595959"/>
        <rFont val="Arial"/>
        <family val="0"/>
        <charset val="1"/>
      </rPr>
      <t xml:space="preserve">79.88 [Verified]</t>
    </r>
  </si>
  <si>
    <r>
      <rPr>
        <sz val="10"/>
        <rFont val="WenQuanYi Zen Hei"/>
        <family val="2"/>
      </rPr>
      <t xml:space="preserve">股數（含 </t>
    </r>
    <r>
      <rPr>
        <sz val="10"/>
        <rFont val="Arial"/>
        <family val="0"/>
        <charset val="1"/>
      </rPr>
      <t xml:space="preserve">ATM </t>
    </r>
    <r>
      <rPr>
        <sz val="10"/>
        <rFont val="WenQuanYi Zen Hei"/>
        <family val="2"/>
      </rPr>
      <t xml:space="preserve">上限）</t>
    </r>
  </si>
  <si>
    <t xml:space="preserve">bn</t>
  </si>
  <si>
    <r>
      <rPr>
        <sz val="9"/>
        <color rgb="FF595959"/>
        <rFont val="Arial"/>
        <family val="0"/>
        <charset val="1"/>
      </rPr>
      <t xml:space="preserve">7/31 </t>
    </r>
    <r>
      <rPr>
        <sz val="9"/>
        <color rgb="FF595959"/>
        <rFont val="WenQuanYi Zen Hei"/>
        <family val="2"/>
      </rPr>
      <t xml:space="preserve">流通 </t>
    </r>
    <r>
      <rPr>
        <sz val="9"/>
        <color rgb="FF595959"/>
        <rFont val="Arial"/>
        <family val="0"/>
        <charset val="1"/>
      </rPr>
      <t xml:space="preserve">0.5515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ATM 35m [Verified]</t>
    </r>
  </si>
  <si>
    <r>
      <rPr>
        <sz val="10"/>
        <rFont val="WenQuanYi Zen Hei"/>
        <family val="2"/>
      </rPr>
      <t xml:space="preserve">淨負債（</t>
    </r>
    <r>
      <rPr>
        <sz val="10"/>
        <rFont val="Arial"/>
        <family val="0"/>
        <charset val="1"/>
      </rPr>
      <t xml:space="preserve">6/30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</si>
  <si>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本金 </t>
    </r>
    <r>
      <rPr>
        <sz val="9"/>
        <color rgb="FF595959"/>
        <rFont val="Arial"/>
        <family val="0"/>
        <charset val="1"/>
      </rPr>
      <t xml:space="preserve">35.551 − </t>
    </r>
    <r>
      <rPr>
        <sz val="9"/>
        <color rgb="FF595959"/>
        <rFont val="WenQuanYi Zen Hei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5.524 [Verified]</t>
    </r>
  </si>
  <si>
    <t xml:space="preserve">WACC</t>
  </si>
  <si>
    <r>
      <rPr>
        <sz val="10"/>
        <rFont val="WenQuanYi Zen Hei"/>
        <family val="2"/>
      </rPr>
      <t xml:space="preserve">永續成長 </t>
    </r>
    <r>
      <rPr>
        <sz val="10"/>
        <rFont val="Arial"/>
        <family val="0"/>
        <charset val="1"/>
      </rPr>
      <t xml:space="preserve">g</t>
    </r>
  </si>
  <si>
    <r>
      <rPr>
        <sz val="10"/>
        <rFont val="WenQuanYi Zen Hei"/>
        <family val="2"/>
      </rPr>
      <t xml:space="preserve">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占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</si>
  <si>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WenQuanYi Zen Hei"/>
        <family val="2"/>
      </rPr>
      <t xml:space="preserve">終值不讓成長性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偽裝成永續 </t>
    </r>
    <r>
      <rPr>
        <sz val="9"/>
        <color rgb="FF595959"/>
        <rFont val="Arial"/>
        <family val="0"/>
        <charset val="1"/>
      </rPr>
      <t xml:space="preserve">FCF [Assumed]</t>
    </r>
  </si>
  <si>
    <t xml:space="preserve">稅率</t>
  </si>
  <si>
    <r>
      <rPr>
        <sz val="9"/>
        <color rgb="FF595959"/>
        <rFont val="WenQuanYi Zen Hei"/>
        <family val="2"/>
      </rPr>
      <t xml:space="preserve">美國聯邦名目稅率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</si>
  <si>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NOL</t>
    </r>
    <r>
      <rPr>
        <sz val="10"/>
        <rFont val="WenQuanYi Zen Hei"/>
        <family val="2"/>
      </rPr>
      <t xml:space="preserve">（虧損扣抵）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</si>
  <si>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WenQuanYi Zen Hei"/>
        <family val="2"/>
      </rPr>
      <t xml:space="preserve">；抵扣上限為應稅所得 </t>
    </r>
    <r>
      <rPr>
        <sz val="9"/>
        <color rgb="FF595959"/>
        <rFont val="Arial"/>
        <family val="0"/>
        <charset val="1"/>
      </rPr>
      <t xml:space="preserve">80% [Derived]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</si>
  <si>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倍數</t>
    </r>
  </si>
  <si>
    <r>
      <rPr>
        <sz val="9"/>
        <color rgb="FF595959"/>
        <rFont val="WenQuanYi Zen Hei"/>
        <family val="2"/>
      </rPr>
      <t xml:space="preserve">穩態合理倍數約 </t>
    </r>
    <r>
      <rPr>
        <sz val="9"/>
        <color rgb="FF595959"/>
        <rFont val="Arial"/>
        <family val="0"/>
        <charset val="1"/>
      </rPr>
      <t xml:space="preserve">3.4–6.0x</t>
    </r>
    <r>
      <rPr>
        <sz val="9"/>
        <color rgb="FF595959"/>
        <rFont val="WenQuanYi Zen Hei"/>
        <family val="2"/>
      </rPr>
      <t xml:space="preserve">（轉換率 </t>
    </r>
    <r>
      <rPr>
        <sz val="9"/>
        <color rgb="FF595959"/>
        <rFont val="Arial"/>
        <family val="0"/>
        <charset val="1"/>
      </rPr>
      <t xml:space="preserve">÷ (WACC − g)</t>
    </r>
    <r>
      <rPr>
        <sz val="9"/>
        <color rgb="FF595959"/>
        <rFont val="WenQuanYi Zen Hei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WenQuanYi Zen Hei"/>
        <family val="2"/>
      </rPr>
      <t xml:space="preserve">為上緣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</si>
  <si>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錨定年度（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FY29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</si>
  <si>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WenQuanYi Zen Hei"/>
        <family val="2"/>
      </rPr>
      <t xml:space="preserve">起以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WenQuanYi Zen Hei"/>
        <family val="2"/>
      </rPr>
      <t xml:space="preserve">折回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末（目標價時點）；</t>
    </r>
    <r>
      <rPr>
        <sz val="9"/>
        <color rgb="FF595959"/>
        <rFont val="Arial"/>
        <family val="0"/>
        <charset val="1"/>
      </rPr>
      <t xml:space="preserve">v3.6 </t>
    </r>
    <r>
      <rPr>
        <sz val="9"/>
        <color rgb="FF595959"/>
        <rFont val="WenQuanYi Zen Hei"/>
        <family val="2"/>
      </rPr>
      <t xml:space="preserve">起預設 </t>
    </r>
    <r>
      <rPr>
        <sz val="9"/>
        <color rgb="FF595959"/>
        <rFont val="Arial"/>
        <family val="0"/>
        <charset val="1"/>
      </rPr>
      <t xml:space="preserve">FY29</t>
    </r>
    <r>
      <rPr>
        <sz val="9"/>
        <color rgb="FF595959"/>
        <rFont val="WenQuanYi Zen Hei"/>
        <family val="2"/>
      </rPr>
      <t xml:space="preserve">：接近穩態利潤率，與 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WenQuanYi Zen Hei"/>
        <family val="2"/>
      </rPr>
      <t xml:space="preserve">穩態倍數一致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</si>
  <si>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權重：</t>
    </r>
    <r>
      <rPr>
        <sz val="10"/>
        <rFont val="Arial"/>
        <family val="0"/>
        <charset val="1"/>
      </rPr>
      <t xml:space="preserve">DCF</t>
    </r>
  </si>
  <si>
    <r>
      <rPr>
        <sz val="10"/>
        <rFont val="WenQuanYi Zen Hei"/>
        <family val="2"/>
      </rPr>
      <t xml:space="preserve">權重：</t>
    </r>
    <r>
      <rPr>
        <sz val="10"/>
        <rFont val="Arial"/>
        <family val="0"/>
        <charset val="1"/>
      </rPr>
      <t xml:space="preserve">EV/EBITDA</t>
    </r>
  </si>
  <si>
    <t xml:space="preserve">方法區間倍數：下端</t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</si>
  <si>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WenQuanYi Zen Hei"/>
        <family val="2"/>
      </rPr>
      <t xml:space="preserve">方法區間：目前輸入、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倍數換成兩端；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WenQuanYi Zen Hei"/>
        <family val="2"/>
      </rPr>
      <t xml:space="preserve">為穩態倍數上緣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</si>
  <si>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方法區間倍數：上端</t>
  </si>
  <si>
    <r>
      <rPr>
        <sz val="10"/>
        <rFont val="WenQuanYi Zen Hei"/>
        <family val="2"/>
      </rPr>
      <t xml:space="preserve">股數年增（</t>
    </r>
    <r>
      <rPr>
        <sz val="10"/>
        <rFont val="Arial"/>
        <family val="0"/>
        <charset val="1"/>
      </rPr>
      <t xml:space="preserve">SBC </t>
    </r>
    <r>
      <rPr>
        <sz val="10"/>
        <rFont val="WenQuanYi Zen Hei"/>
        <family val="2"/>
      </rPr>
      <t xml:space="preserve">稀釋）</t>
    </r>
  </si>
  <si>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0.66bn</t>
    </r>
    <r>
      <rPr>
        <sz val="9"/>
        <color rgb="FF595959"/>
        <rFont val="WenQuanYi Zen Hei"/>
        <family val="2"/>
      </rPr>
      <t xml:space="preserve">／年 </t>
    </r>
    <r>
      <rPr>
        <sz val="9"/>
        <color rgb="FF595959"/>
        <rFont val="Arial"/>
        <family val="0"/>
        <charset val="1"/>
      </rPr>
      <t xml:space="preserve">÷ $80 ≈ 1.4%</t>
    </r>
    <r>
      <rPr>
        <sz val="9"/>
        <color rgb="FF595959"/>
        <rFont val="WenQuanYi Zen Hei"/>
        <family val="2"/>
      </rPr>
      <t xml:space="preserve">／年，取 </t>
    </r>
    <r>
      <rPr>
        <sz val="9"/>
        <color rgb="FF595959"/>
        <rFont val="Arial"/>
        <family val="0"/>
        <charset val="1"/>
      </rPr>
      <t xml:space="preserve">1% [Derived]</t>
    </r>
  </si>
  <si>
    <r>
      <rPr>
        <sz val="10"/>
        <rFont val="WenQuanYi Zen Hei"/>
        <family val="2"/>
      </rPr>
      <t xml:space="preserve">年度 </t>
    </r>
    <r>
      <rPr>
        <sz val="10"/>
        <rFont val="Arial"/>
        <family val="0"/>
        <charset val="1"/>
      </rPr>
      <t xml:space="preserve">SBC</t>
    </r>
  </si>
  <si>
    <r>
      <rPr>
        <sz val="9"/>
        <color rgb="FF595959"/>
        <rFont val="Arial"/>
        <family val="0"/>
        <charset val="1"/>
      </rPr>
      <t xml:space="preserve">Q2 0.165</t>
    </r>
    <r>
      <rPr>
        <sz val="9"/>
        <color rgb="FF595959"/>
        <rFont val="WenQuanYi Zen Hei"/>
        <family val="2"/>
      </rPr>
      <t xml:space="preserve">／季年化約 </t>
    </r>
    <r>
      <rPr>
        <sz val="9"/>
        <color rgb="FF595959"/>
        <rFont val="Arial"/>
        <family val="0"/>
        <charset val="1"/>
      </rPr>
      <t xml:space="preserve">0.66</t>
    </r>
    <r>
      <rPr>
        <sz val="9"/>
        <color rgb="FF595959"/>
        <rFont val="WenQuanYi Zen Hei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0.7 [Derived]</t>
    </r>
  </si>
  <si>
    <r>
      <rPr>
        <b val="true"/>
        <sz val="10"/>
        <color rgb="FF1F3864"/>
        <rFont val="Arial"/>
        <family val="0"/>
        <charset val="1"/>
      </rPr>
      <t xml:space="preserve">▸ DCF </t>
    </r>
    <r>
      <rPr>
        <b val="true"/>
        <sz val="10"/>
        <color rgb="FF1F3864"/>
        <rFont val="WenQuanYi Zen Hei"/>
        <family val="2"/>
      </rPr>
      <t xml:space="preserve">股權為負時的處理（</t>
    </r>
    <r>
      <rPr>
        <b val="true"/>
        <sz val="10"/>
        <color rgb="FF1F3864"/>
        <rFont val="Arial"/>
        <family val="0"/>
        <charset val="1"/>
      </rPr>
      <t xml:space="preserve">0 </t>
    </r>
    <r>
      <rPr>
        <b val="true"/>
        <sz val="10"/>
        <color rgb="FF1F3864"/>
        <rFont val="WenQuanYi Zen Hei"/>
        <family val="2"/>
      </rPr>
      <t xml:space="preserve">截斷／選擇權）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</si>
  <si>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下限方式（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0 </t>
    </r>
    <r>
      <rPr>
        <sz val="10"/>
        <rFont val="WenQuanYi Zen Hei"/>
        <family val="2"/>
      </rPr>
      <t xml:space="preserve">截斷、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＝選擇權）</t>
    </r>
  </si>
  <si>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截斷：</t>
    </r>
    <r>
      <rPr>
        <sz val="9"/>
        <color rgb="FF595959"/>
        <rFont val="Arial"/>
        <family val="0"/>
        <charset val="1"/>
      </rPr>
      <t xml:space="preserve">MAX(0, </t>
    </r>
    <r>
      <rPr>
        <sz val="9"/>
        <color rgb="FF595959"/>
        <rFont val="WenQuanYi Zen Hei"/>
        <family val="2"/>
      </rPr>
      <t xml:space="preserve">股權價值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；選擇權：</t>
    </r>
    <r>
      <rPr>
        <sz val="9"/>
        <color rgb="FF595959"/>
        <rFont val="Arial"/>
        <family val="0"/>
        <charset val="1"/>
      </rPr>
      <t xml:space="preserve">Merton</t>
    </r>
    <r>
      <rPr>
        <sz val="9"/>
        <color rgb="FF595959"/>
        <rFont val="WenQuanYi Zen Hei"/>
        <family val="2"/>
      </rPr>
      <t xml:space="preserve">，股權＝以企業價值為標的、淨負債為履約價的買權</t>
    </r>
  </si>
  <si>
    <r>
      <rPr>
        <sz val="10"/>
        <rFont val="WenQuanYi Zen Hei"/>
        <family val="2"/>
      </rPr>
      <t xml:space="preserve">企業價值波動率 </t>
    </r>
    <r>
      <rPr>
        <sz val="10"/>
        <rFont val="Arial"/>
        <family val="0"/>
        <charset val="1"/>
      </rPr>
      <t xml:space="preserve">σ</t>
    </r>
  </si>
  <si>
    <r>
      <rPr>
        <sz val="9"/>
        <color rgb="FF595959"/>
        <rFont val="WenQuanYi Zen Hei"/>
        <family val="2"/>
      </rPr>
      <t xml:space="preserve">選擇權法用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</si>
  <si>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無風險利率</t>
  </si>
  <si>
    <t xml:space="preserve">選擇權期間（年）</t>
  </si>
  <si>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FY30 </t>
    </r>
    <r>
      <rPr>
        <sz val="9"/>
        <color rgb="FF595959"/>
        <rFont val="WenQuanYi Zen Hei"/>
        <family val="2"/>
      </rPr>
      <t xml:space="preserve">末</t>
    </r>
  </si>
  <si>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WenQuanYi Zen Hei"/>
        <family val="2"/>
      </rPr>
      <t xml:space="preserve">｜參考：</t>
    </r>
    <r>
      <rPr>
        <b val="true"/>
        <sz val="10"/>
        <rFont val="Arial"/>
        <family val="0"/>
        <charset val="1"/>
      </rPr>
      <t xml:space="preserve">1H26 </t>
    </r>
    <r>
      <rPr>
        <b val="true"/>
        <sz val="10"/>
        <rFont val="WenQuanYi Zen Hei"/>
        <family val="2"/>
      </rPr>
      <t xml:space="preserve">實際（</t>
    </r>
    <r>
      <rPr>
        <b val="true"/>
        <sz val="10"/>
        <rFont val="Arial"/>
        <family val="0"/>
        <charset val="1"/>
      </rPr>
      <t xml:space="preserve">10-Q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2026-01-01 </t>
    </r>
    <r>
      <rPr>
        <b val="true"/>
        <sz val="10"/>
        <rFont val="WenQuanYi Zen Hei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06-30</t>
    </r>
    <r>
      <rPr>
        <b val="true"/>
        <sz val="10"/>
        <rFont val="WenQuanYi Zen Hei"/>
        <family val="2"/>
      </rPr>
      <t xml:space="preserve">；硬編碼，勿改）</t>
    </r>
  </si>
  <si>
    <r>
      <rPr>
        <sz val="10"/>
        <rFont val="Arial"/>
        <family val="0"/>
        <charset val="1"/>
      </rPr>
      <t xml:space="preserve">2025-12-31 </t>
    </r>
    <r>
      <rPr>
        <sz val="10"/>
        <rFont val="WenQuanYi Zen Hei"/>
        <family val="2"/>
      </rPr>
      <t xml:space="preserve">現金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</si>
  <si>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比較期資產負債表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</si>
  <si>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WenQuanYi Zen Hei"/>
        <family val="2"/>
      </rPr>
      <t xml:space="preserve">營運現金流 </t>
    </r>
    <r>
      <rPr>
        <sz val="10"/>
        <rFont val="Arial"/>
        <family val="0"/>
        <charset val="1"/>
      </rPr>
      <t xml:space="preserve">CFO</t>
    </r>
  </si>
  <si>
    <r>
      <rPr>
        <sz val="9"/>
        <color rgb="FF595959"/>
        <rFont val="WenQuanYi Zen Hei"/>
        <family val="2"/>
      </rPr>
      <t xml:space="preserve">已含已付利息 </t>
    </r>
    <r>
      <rPr>
        <sz val="9"/>
        <color rgb="FF595959"/>
        <rFont val="Arial"/>
        <family val="0"/>
        <charset val="1"/>
      </rPr>
      <t xml:space="preserve">0.806 </t>
    </r>
    <r>
      <rPr>
        <sz val="9"/>
        <color rgb="FF595959"/>
        <rFont val="WenQuanYi Zen Hei"/>
        <family val="2"/>
      </rPr>
      <t xml:space="preserve">與租賃付款 </t>
    </r>
    <r>
      <rPr>
        <sz val="9"/>
        <color rgb="FF595959"/>
        <rFont val="Arial"/>
        <family val="0"/>
        <charset val="1"/>
      </rPr>
      <t xml:space="preserve">0.748 [Verified]</t>
    </r>
  </si>
  <si>
    <r>
      <rPr>
        <sz val="10"/>
        <rFont val="WenQuanYi Zen Hei"/>
        <family val="2"/>
      </rPr>
      <t xml:space="preserve">現金購置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</si>
  <si>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WenQuanYi Zen Hei"/>
        <family val="2"/>
      </rPr>
      <t xml:space="preserve">現金流量表投資活動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</si>
  <si>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認列（含 </t>
    </r>
    <r>
      <rPr>
        <sz val="10"/>
        <rFont val="Arial"/>
        <family val="0"/>
        <charset val="1"/>
      </rPr>
      <t xml:space="preserve">OEM </t>
    </r>
    <r>
      <rPr>
        <sz val="10"/>
        <rFont val="WenQuanYi Zen Hei"/>
        <family val="2"/>
      </rPr>
      <t xml:space="preserve">融資）</t>
    </r>
  </si>
  <si>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WenQuanYi Zen Hei"/>
        <family val="2"/>
      </rPr>
      <t xml:space="preserve">增加＋融資租賃−</t>
    </r>
    <r>
      <rPr>
        <sz val="9"/>
        <color rgb="FF595959"/>
        <rFont val="Arial"/>
        <family val="0"/>
        <charset val="1"/>
      </rPr>
      <t xml:space="preserve">CIP </t>
    </r>
    <r>
      <rPr>
        <sz val="9"/>
        <color rgb="FF595959"/>
        <rFont val="WenQuanYi Zen Hei"/>
        <family val="2"/>
      </rPr>
      <t xml:space="preserve">變動；與全年指引同口徑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</si>
  <si>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JV</t>
    </r>
    <r>
      <rPr>
        <sz val="10"/>
        <rFont val="WenQuanYi Zen Hei"/>
        <family val="2"/>
      </rPr>
      <t xml:space="preserve">＋策略投資出資</t>
    </r>
  </si>
  <si>
    <r>
      <rPr>
        <sz val="9"/>
        <color rgb="FF595959"/>
        <rFont val="Arial"/>
        <family val="0"/>
        <charset val="1"/>
      </rPr>
      <t xml:space="preserve">JV 0.550</t>
    </r>
    <r>
      <rPr>
        <sz val="9"/>
        <color rgb="FF595959"/>
        <rFont val="WenQuanYi Zen Hei"/>
        <family val="2"/>
      </rPr>
      <t xml:space="preserve">＋策略投資 </t>
    </r>
    <r>
      <rPr>
        <sz val="9"/>
        <color rgb="FF595959"/>
        <rFont val="Arial"/>
        <family val="0"/>
        <charset val="1"/>
      </rPr>
      <t xml:space="preserve">0.138 [Verified]</t>
    </r>
  </si>
  <si>
    <t xml:space="preserve">借款</t>
  </si>
  <si>
    <r>
      <rPr>
        <sz val="9"/>
        <color rgb="FF595959"/>
        <rFont val="WenQuanYi Zen Hei"/>
        <family val="2"/>
      </rPr>
      <t xml:space="preserve">融資活動流入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</si>
  <si>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還款</t>
  </si>
  <si>
    <r>
      <rPr>
        <sz val="9"/>
        <color rgb="FF595959"/>
        <rFont val="WenQuanYi Zen Hei"/>
        <family val="2"/>
      </rPr>
      <t xml:space="preserve">融資活動流出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</si>
  <si>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capped call </t>
    </r>
    <r>
      <rPr>
        <sz val="10"/>
        <rFont val="WenQuanYi Zen Hei"/>
        <family val="2"/>
      </rPr>
      <t xml:space="preserve">支出</t>
    </r>
  </si>
  <si>
    <r>
      <rPr>
        <sz val="9"/>
        <color rgb="FF595959"/>
        <rFont val="Arial"/>
        <family val="0"/>
        <charset val="1"/>
      </rPr>
      <t xml:space="preserve">Q2 4.0bn </t>
    </r>
    <r>
      <rPr>
        <sz val="9"/>
        <color rgb="FF595959"/>
        <rFont val="WenQuanYi Zen Hei"/>
        <family val="2"/>
      </rPr>
      <t xml:space="preserve">可轉債的 </t>
    </r>
    <r>
      <rPr>
        <sz val="9"/>
        <color rgb="FF595959"/>
        <rFont val="Arial"/>
        <family val="0"/>
        <charset val="1"/>
      </rPr>
      <t xml:space="preserve">capped call [Verified]</t>
    </r>
  </si>
  <si>
    <t xml:space="preserve">私募股權</t>
  </si>
  <si>
    <r>
      <rPr>
        <sz val="9"/>
        <color rgb="FF595959"/>
        <rFont val="Arial"/>
        <family val="0"/>
        <charset val="1"/>
      </rPr>
      <t xml:space="preserve">NVIDIA 2.0 @$87.20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月 </t>
    </r>
    <r>
      <rPr>
        <sz val="9"/>
        <color rgb="FF595959"/>
        <rFont val="Arial"/>
        <family val="0"/>
        <charset val="1"/>
      </rPr>
      <t xml:space="preserve">1.0 @$109 [Verified]</t>
    </r>
  </si>
  <si>
    <t xml:space="preserve">利息費用</t>
  </si>
  <si>
    <r>
      <rPr>
        <sz val="9"/>
        <color rgb="FF595959"/>
        <rFont val="WenQuanYi Zen Hei"/>
        <family val="2"/>
      </rPr>
      <t xml:space="preserve">損益表；現金 </t>
    </r>
    <r>
      <rPr>
        <sz val="9"/>
        <color rgb="FF595959"/>
        <rFont val="Arial"/>
        <family val="0"/>
        <charset val="1"/>
      </rPr>
      <t xml:space="preserve">0.806</t>
    </r>
    <r>
      <rPr>
        <sz val="9"/>
        <color rgb="FF595959"/>
        <rFont val="WenQuanYi Zen Hei"/>
        <family val="2"/>
      </rPr>
      <t xml:space="preserve">、資本化 </t>
    </r>
    <r>
      <rPr>
        <sz val="9"/>
        <color rgb="FF595959"/>
        <rFont val="Arial"/>
        <family val="0"/>
        <charset val="1"/>
      </rPr>
      <t xml:space="preserve">0.176 [Verified]</t>
    </r>
  </si>
  <si>
    <t xml:space="preserve">租賃現金支付</t>
  </si>
  <si>
    <r>
      <rPr>
        <sz val="9"/>
        <color rgb="FF595959"/>
        <rFont val="WenQuanYi Zen Hei"/>
        <family val="2"/>
      </rPr>
      <t xml:space="preserve">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內，僅供對照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</si>
  <si>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營收</t>
  </si>
  <si>
    <r>
      <rPr>
        <sz val="9"/>
        <color rgb="FF595959"/>
        <rFont val="Arial"/>
        <family val="0"/>
        <charset val="1"/>
      </rPr>
      <t xml:space="preserve">Q1 2.078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2.575 [Verified]</t>
    </r>
  </si>
  <si>
    <r>
      <rPr>
        <sz val="10"/>
        <rFont val="Arial"/>
        <family val="0"/>
        <charset val="1"/>
      </rPr>
      <t xml:space="preserve">GAAP </t>
    </r>
    <r>
      <rPr>
        <sz val="10"/>
        <rFont val="WenQuanYi Zen Hei"/>
        <family val="2"/>
      </rPr>
      <t xml:space="preserve">營業損益</t>
    </r>
  </si>
  <si>
    <t xml:space="preserve">[Verified]</t>
  </si>
  <si>
    <t xml:space="preserve">淨損</t>
  </si>
  <si>
    <t xml:space="preserve">遞延收入淨流入</t>
  </si>
  <si>
    <t xml:space="preserve">D&amp;A</t>
  </si>
  <si>
    <r>
      <rPr>
        <sz val="9"/>
        <color rgb="FF595959"/>
        <rFont val="WenQuanYi Zen Hei"/>
        <family val="2"/>
      </rPr>
      <t xml:space="preserve">現金流量表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</si>
  <si>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SBC</t>
  </si>
  <si>
    <t xml:space="preserve">GAAP EPS</t>
  </si>
  <si>
    <r>
      <rPr>
        <sz val="9"/>
        <color rgb="FF595959"/>
        <rFont val="WenQuanYi Zen Hei"/>
        <family val="2"/>
      </rPr>
      <t xml:space="preserve">淨損 −</t>
    </r>
    <r>
      <rPr>
        <sz val="9"/>
        <color rgb="FF595959"/>
        <rFont val="Arial"/>
        <family val="0"/>
        <charset val="1"/>
      </rPr>
      <t xml:space="preserve">1.366 ÷ </t>
    </r>
    <r>
      <rPr>
        <sz val="9"/>
        <color rgb="FF595959"/>
        <rFont val="WenQuanYi Zen Hei"/>
        <family val="2"/>
      </rPr>
      <t xml:space="preserve">加權股數約 </t>
    </r>
    <r>
      <rPr>
        <sz val="9"/>
        <color rgb="FF595959"/>
        <rFont val="Arial"/>
        <family val="0"/>
        <charset val="1"/>
      </rPr>
      <t xml:space="preserve">0.539 [Verified]</t>
    </r>
  </si>
  <si>
    <r>
      <rPr>
        <sz val="10"/>
        <rFont val="Arial"/>
        <family val="0"/>
        <charset val="1"/>
      </rPr>
      <t xml:space="preserve">EPS</t>
    </r>
    <r>
      <rPr>
        <sz val="10"/>
        <rFont val="WenQuanYi Zen Hei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</si>
  <si>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(−1.366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0.318)÷0.539 [Derived]</t>
    </r>
  </si>
  <si>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WenQuanYi Zen Hei"/>
        <family val="2"/>
      </rPr>
      <t xml:space="preserve">｜情境區間運算表（模擬運算表；由 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WenQuanYi Zen Hei"/>
        <family val="2"/>
      </rPr>
      <t xml:space="preserve">自動計算，勿手動輸入）</t>
    </r>
  </si>
  <si>
    <r>
      <rPr>
        <sz val="9"/>
        <color rgb="FF595959"/>
        <rFont val="WenQuanYi Zen Hei"/>
        <family val="2"/>
      </rPr>
      <t xml:space="preserve">保守與積極情境的加權目標價（情境區間）；其餘手動輸入保留。資料表公式：</t>
    </r>
    <r>
      <rPr>
        <sz val="9"/>
        <color rgb="FF595959"/>
        <rFont val="Arial"/>
        <family val="0"/>
        <charset val="1"/>
      </rPr>
      <t xml:space="preserve">{=TABLE(,</t>
    </r>
    <r>
      <rPr>
        <sz val="9"/>
        <color rgb="FF595959"/>
        <rFont val="WenQuanYi Zen Hei"/>
        <family val="2"/>
      </rPr>
      <t xml:space="preserve">情境選擇</t>
    </r>
    <r>
      <rPr>
        <sz val="9"/>
        <color rgb="FF595959"/>
        <rFont val="Arial"/>
        <family val="0"/>
        <charset val="1"/>
      </rPr>
      <t xml:space="preserve">)}</t>
    </r>
  </si>
  <si>
    <t xml:space="preserve">情境區間運算表｜公式列（加權目標價／評等代碼）</t>
  </si>
  <si>
    <r>
      <rPr>
        <sz val="10"/>
        <rFont val="WenQuanYi Zen Hei"/>
        <family val="2"/>
      </rPr>
      <t xml:space="preserve">情境區間運算表｜保守 </t>
    </r>
    <r>
      <rPr>
        <sz val="10"/>
        <rFont val="Arial"/>
        <family val="0"/>
        <charset val="1"/>
      </rPr>
      <t xml:space="preserve">4.2 GW</t>
    </r>
  </si>
  <si>
    <r>
      <rPr>
        <sz val="10"/>
        <rFont val="WenQuanYi Zen Hei"/>
        <family val="2"/>
      </rPr>
      <t xml:space="preserve">情境區間運算表｜基準 </t>
    </r>
    <r>
      <rPr>
        <sz val="10"/>
        <rFont val="Arial"/>
        <family val="0"/>
        <charset val="1"/>
      </rPr>
      <t xml:space="preserve">5.6 GW</t>
    </r>
  </si>
  <si>
    <r>
      <rPr>
        <sz val="10"/>
        <rFont val="WenQuanYi Zen Hei"/>
        <family val="2"/>
      </rPr>
      <t xml:space="preserve">情境區間運算表｜積極 </t>
    </r>
    <r>
      <rPr>
        <sz val="10"/>
        <rFont val="Arial"/>
        <family val="0"/>
        <charset val="1"/>
      </rPr>
      <t xml:space="preserve">8 GW</t>
    </r>
  </si>
  <si>
    <t xml:space="preserve">支出與資金 — 五層支出、四層來源、現金橋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</si>
  <si>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現金流量表口徑）＋下半年模型；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以後為純模型。瀑布以「融資前現金」決定需求並直接由各支出列加總，因此沒有循環參照</t>
    </r>
  </si>
  <si>
    <t xml:space="preserve">公式／來源說明</t>
  </si>
  <si>
    <t xml:space="preserve">支出（五層）</t>
  </si>
  <si>
    <r>
      <rPr>
        <sz val="10"/>
        <rFont val="WenQuanYi Zen Hei"/>
        <family val="2"/>
      </rPr>
      <t xml:space="preserve">① 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（認列，備忘）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</si>
  <si>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16.139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模型；對照公司全年指引 </t>
    </r>
    <r>
      <rPr>
        <sz val="9"/>
        <color rgb="FF595959"/>
        <rFont val="Arial"/>
        <family val="0"/>
        <charset val="1"/>
      </rPr>
      <t xml:space="preserve">35–39</t>
    </r>
    <r>
      <rPr>
        <sz val="9"/>
        <color rgb="FF595959"/>
        <rFont val="WenQuanYi Zen Hei"/>
        <family val="2"/>
      </rPr>
      <t xml:space="preserve">。備忘列：用途合計採現金口徑，不用這一列</t>
    </r>
  </si>
  <si>
    <t xml:space="preserve">　客戶預付率</t>
  </si>
  <si>
    <r>
      <rPr>
        <sz val="10"/>
        <rFont val="WenQuanYi Zen Hei"/>
        <family val="2"/>
      </rPr>
      <t xml:space="preserve">　客戶預付金額（抵減，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起）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</si>
  <si>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的預付已含在實際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內，不重複計入</t>
    </r>
  </si>
  <si>
    <r>
      <rPr>
        <sz val="10"/>
        <rFont val="Arial"/>
        <family val="0"/>
        <charset val="1"/>
      </rPr>
      <t xml:space="preserve">① CapEx</t>
    </r>
    <r>
      <rPr>
        <sz val="10"/>
        <rFont val="WenQuanYi Zen Hei"/>
        <family val="2"/>
      </rPr>
      <t xml:space="preserve">（用途用：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現金／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毛額）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</si>
  <si>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採現金流量表的現金購置 </t>
    </r>
    <r>
      <rPr>
        <sz val="9"/>
        <color rgb="FF595959"/>
        <rFont val="Arial"/>
        <family val="0"/>
        <charset val="1"/>
      </rPr>
      <t xml:space="preserve">14.117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起採毛額，客戶預付在來源端抵回（避免重複計入）</t>
    </r>
  </si>
  <si>
    <r>
      <rPr>
        <sz val="10"/>
        <rFont val="WenQuanYi Zen Hei"/>
        <family val="2"/>
      </rPr>
      <t xml:space="preserve">② 在帳現金租金（備忘，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</si>
  <si>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見『租賃與承諾』頁；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WenQuanYi Zen Hei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19.023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欄僅 </t>
    </r>
    <r>
      <rPr>
        <sz val="9"/>
        <color rgb="FF595959"/>
        <rFont val="Arial"/>
        <family val="0"/>
        <charset val="1"/>
      </rPr>
      <t xml:space="preserve">2H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租金 </t>
    </r>
    <r>
      <rPr>
        <sz val="9"/>
        <color rgb="FF595959"/>
        <rFont val="Arial"/>
        <family val="0"/>
        <charset val="1"/>
      </rPr>
      <t xml:space="preserve">0.748 </t>
    </r>
    <r>
      <rPr>
        <sz val="9"/>
        <color rgb="FF595959"/>
        <rFont val="WenQuanYi Zen Hei"/>
        <family val="2"/>
      </rPr>
      <t xml:space="preserve">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</t>
    </r>
  </si>
  <si>
    <t xml:space="preserve">② 表外現金租金（未起租）</t>
  </si>
  <si>
    <r>
      <rPr>
        <sz val="9"/>
        <color rgb="FF595959"/>
        <rFont val="WenQuanYi Zen Hei"/>
        <family val="2"/>
      </rPr>
      <t xml:space="preserve">未起租 </t>
    </r>
    <r>
      <rPr>
        <sz val="9"/>
        <color rgb="FF595959"/>
        <rFont val="Arial"/>
        <family val="0"/>
        <charset val="1"/>
      </rPr>
      <t xml:space="preserve">35.5</t>
    </r>
    <r>
      <rPr>
        <sz val="9"/>
        <color rgb="FF595959"/>
        <rFont val="WenQuanYi Zen Hei"/>
        <family val="2"/>
      </rPr>
      <t xml:space="preserve">＋單站上限 </t>
    </r>
    <r>
      <rPr>
        <sz val="9"/>
        <color rgb="FF595959"/>
        <rFont val="Arial"/>
        <family val="0"/>
        <charset val="1"/>
      </rPr>
      <t xml:space="preserve">14.7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355MW </t>
    </r>
    <r>
      <rPr>
        <sz val="9"/>
        <color rgb="FF595959"/>
        <rFont val="WenQuanYi Zen Hei"/>
        <family val="2"/>
      </rPr>
      <t xml:space="preserve">造價計租的現金路徑</t>
    </r>
  </si>
  <si>
    <t xml:space="preserve">　租金合計</t>
  </si>
  <si>
    <r>
      <rPr>
        <sz val="10"/>
        <rFont val="WenQuanYi Zen Hei"/>
        <family val="2"/>
      </rPr>
      <t xml:space="preserve">③ 存量債務利息（備忘，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</si>
  <si>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債務餘額的利息。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全年利息＝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1.176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1.8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2.98</t>
    </r>
    <r>
      <rPr>
        <sz val="9"/>
        <color rgb="FF595959"/>
        <rFont val="WenQuanYi Zen Hei"/>
        <family val="2"/>
      </rPr>
      <t xml:space="preserve">（見下方備忘）</t>
    </r>
  </si>
  <si>
    <t xml:space="preserve">　期初累積現金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</si>
  <si>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2025-12-31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3.127 </t>
    </r>
    <r>
      <rPr>
        <sz val="9"/>
        <color rgb="FF595959"/>
        <rFont val="WenQuanYi Zen Hei"/>
        <family val="2"/>
      </rPr>
      <t xml:space="preserve">起算；之後＝前期期末累積現金</t>
    </r>
  </si>
  <si>
    <t xml:space="preserve">　新債利率</t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</si>
  <si>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WenQuanYi Zen Hei"/>
        <family val="2"/>
      </rPr>
      <t xml:space="preserve">開關：＋</t>
    </r>
    <r>
      <rPr>
        <sz val="9"/>
        <color rgb="FF595959"/>
        <rFont val="Arial"/>
        <family val="0"/>
        <charset val="1"/>
      </rPr>
      <t xml:space="preserve">MAX(0,CDS−450)×0.4bp/bp</t>
    </r>
  </si>
  <si>
    <t xml:space="preserve">③ 新債利息（瀑布）</t>
  </si>
  <si>
    <r>
      <rPr>
        <sz val="9"/>
        <color rgb="FF595959"/>
        <rFont val="WenQuanYi Zen Hei"/>
        <family val="2"/>
      </rPr>
      <t xml:space="preserve">＝新債利率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期間長度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WenQuanYi Zen Hei"/>
        <family val="2"/>
      </rPr>
      <t xml:space="preserve">期初新債＋本期舉借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；見下方「期前融資瀑布」</t>
    </r>
  </si>
  <si>
    <t xml:space="preserve">　利息合計</t>
  </si>
  <si>
    <r>
      <rPr>
        <sz val="10"/>
        <rFont val="Arial"/>
        <family val="0"/>
        <charset val="1"/>
      </rPr>
      <t xml:space="preserve">④ JV</t>
    </r>
    <r>
      <rPr>
        <sz val="10"/>
        <rFont val="WenQuanYi Zen Hei"/>
        <family val="2"/>
      </rPr>
      <t xml:space="preserve">／策略投資出資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</si>
  <si>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0.688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JV 0.550</t>
    </r>
    <r>
      <rPr>
        <sz val="9"/>
        <color rgb="FF595959"/>
        <rFont val="WenQuanYi Zen Hei"/>
        <family val="2"/>
      </rPr>
      <t xml:space="preserve">＋策略投資 </t>
    </r>
    <r>
      <rPr>
        <sz val="9"/>
        <color rgb="FF595959"/>
        <rFont val="Arial"/>
        <family val="0"/>
        <charset val="1"/>
      </rPr>
      <t xml:space="preserve">0.138</t>
    </r>
    <r>
      <rPr>
        <sz val="9"/>
        <color rgb="FF595959"/>
        <rFont val="WenQuanYi Zen Hei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模型。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已承諾 </t>
    </r>
    <r>
      <rPr>
        <sz val="9"/>
        <color rgb="FF595959"/>
        <rFont val="Arial"/>
        <family val="0"/>
        <charset val="1"/>
      </rPr>
      <t xml:space="preserve">1.7bn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不發股息</t>
    </r>
  </si>
  <si>
    <r>
      <rPr>
        <sz val="10"/>
        <rFont val="WenQuanYi Zen Hei"/>
        <family val="2"/>
      </rPr>
      <t xml:space="preserve">　電力（</t>
    </r>
    <r>
      <rPr>
        <sz val="10"/>
        <rFont val="Arial"/>
        <family val="0"/>
        <charset val="1"/>
      </rPr>
      <t xml:space="preserve">overlay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</si>
  <si>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Accepted MW×8760×PUE×</t>
    </r>
    <r>
      <rPr>
        <sz val="9"/>
        <color rgb="FF595959"/>
        <rFont val="WenQuanYi Zen Hei"/>
        <family val="2"/>
      </rPr>
      <t xml:space="preserve">電價</t>
    </r>
    <r>
      <rPr>
        <sz val="9"/>
        <color rgb="FF595959"/>
        <rFont val="Arial"/>
        <family val="0"/>
        <charset val="1"/>
      </rPr>
      <t xml:space="preserve">÷1e9×</t>
    </r>
    <r>
      <rPr>
        <sz val="9"/>
        <color rgb="FF595959"/>
        <rFont val="WenQuanYi Zen Hei"/>
        <family val="2"/>
      </rPr>
      <t xml:space="preserve">期間係數。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電費多經房東轉嫁，預設關閉</t>
    </r>
  </si>
  <si>
    <r>
      <rPr>
        <sz val="10"/>
        <rFont val="WenQuanYi Zen Hei"/>
        <family val="2"/>
      </rPr>
      <t xml:space="preserve">　維護（</t>
    </r>
    <r>
      <rPr>
        <sz val="10"/>
        <rFont val="Arial"/>
        <family val="0"/>
        <charset val="1"/>
      </rPr>
      <t xml:space="preserve">overlay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</si>
  <si>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⑤ 排程還本（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本金表）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</si>
  <si>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5.219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4.413</t>
    </r>
  </si>
  <si>
    <r>
      <rPr>
        <sz val="10"/>
        <rFont val="Arial"/>
        <family val="0"/>
        <charset val="1"/>
      </rPr>
      <t xml:space="preserve">⑥ capped call </t>
    </r>
    <r>
      <rPr>
        <sz val="10"/>
        <rFont val="WenQuanYi Zen Hei"/>
        <family val="2"/>
      </rPr>
      <t xml:space="preserve">支出（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實際）</t>
    </r>
  </si>
  <si>
    <r>
      <rPr>
        <sz val="9"/>
        <color rgb="FF595959"/>
        <rFont val="Arial"/>
        <family val="0"/>
        <charset val="1"/>
      </rPr>
      <t xml:space="preserve">Q2 4.0bn </t>
    </r>
    <r>
      <rPr>
        <sz val="9"/>
        <color rgb="FF595959"/>
        <rFont val="WenQuanYi Zen Hei"/>
        <family val="2"/>
      </rPr>
      <t xml:space="preserve">可轉債的 </t>
    </r>
    <r>
      <rPr>
        <sz val="9"/>
        <color rgb="FF595959"/>
        <rFont val="Arial"/>
        <family val="0"/>
        <charset val="1"/>
      </rPr>
      <t xml:space="preserve">capped call </t>
    </r>
    <r>
      <rPr>
        <sz val="9"/>
        <color rgb="FF595959"/>
        <rFont val="WenQuanYi Zen Hei"/>
        <family val="2"/>
      </rPr>
      <t xml:space="preserve">現金支出</t>
    </r>
  </si>
  <si>
    <t xml:space="preserve">用途合計（現金口徑）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</si>
  <si>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部分採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現金流量表口徑（現金購置、還款、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的利息與租金已含在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內，不重複列</t>
    </r>
  </si>
  <si>
    <t xml:space="preserve">來源（四層）</t>
  </si>
  <si>
    <r>
      <rPr>
        <sz val="10"/>
        <rFont val="Arial"/>
        <family val="0"/>
        <charset val="1"/>
      </rPr>
      <t xml:space="preserve">Ⓐ0 1H26 </t>
    </r>
    <r>
      <rPr>
        <sz val="10"/>
        <rFont val="WenQuanYi Zen Hei"/>
        <family val="2"/>
      </rPr>
      <t xml:space="preserve">實際營運現金流（</t>
    </r>
    <r>
      <rPr>
        <sz val="10"/>
        <rFont val="Arial"/>
        <family val="0"/>
        <charset val="1"/>
      </rPr>
      <t xml:space="preserve">CFO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</si>
  <si>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實際值，取代模型推算；已含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的利息、租金與客戶預付</t>
    </r>
  </si>
  <si>
    <r>
      <rPr>
        <sz val="10"/>
        <rFont val="Arial"/>
        <family val="0"/>
        <charset val="1"/>
      </rPr>
      <t xml:space="preserve">Ⓐ RPO </t>
    </r>
    <r>
      <rPr>
        <sz val="10"/>
        <rFont val="WenQuanYi Zen Hei"/>
        <family val="2"/>
      </rPr>
      <t xml:space="preserve">現金（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起）</t>
    </r>
  </si>
  <si>
    <t xml:space="preserve">Ⓑ 新簽約現金</t>
  </si>
  <si>
    <t xml:space="preserve">Ⓒ 非算力服務現金</t>
  </si>
  <si>
    <r>
      <rPr>
        <sz val="10"/>
        <rFont val="WenQuanYi Zen Hei"/>
        <family val="2"/>
      </rPr>
      <t xml:space="preserve">Ⓓ 客戶預付（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起）</t>
    </r>
  </si>
  <si>
    <t xml:space="preserve">營運來源合計</t>
  </si>
  <si>
    <t xml:space="preserve">Ⓔ 股權／可轉債（融資）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</si>
  <si>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私募股權 </t>
    </r>
    <r>
      <rPr>
        <sz val="9"/>
        <color rgb="FF595959"/>
        <rFont val="Arial"/>
        <family val="0"/>
        <charset val="1"/>
      </rPr>
      <t xml:space="preserve">2.982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可轉債淨現金 </t>
    </r>
    <r>
      <rPr>
        <sz val="9"/>
        <color rgb="FF595959"/>
        <rFont val="Arial"/>
        <family val="0"/>
        <charset val="1"/>
      </rPr>
      <t xml:space="preserve">3.2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WenQuanYi Zen Hei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2.8</t>
    </r>
  </si>
  <si>
    <r>
      <rPr>
        <sz val="10"/>
        <rFont val="Arial"/>
        <family val="0"/>
        <charset val="1"/>
      </rPr>
      <t xml:space="preserve">Ⓕ 1H26 </t>
    </r>
    <r>
      <rPr>
        <sz val="10"/>
        <rFont val="WenQuanYi Zen Hei"/>
        <family val="2"/>
      </rPr>
      <t xml:space="preserve">實際借款（融資）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</si>
  <si>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WenQuanYi Zen Hei"/>
        <family val="2"/>
      </rPr>
      <t xml:space="preserve">借款 </t>
    </r>
    <r>
      <rPr>
        <sz val="9"/>
        <color rgb="FF595959"/>
        <rFont val="Arial"/>
        <family val="0"/>
        <charset val="1"/>
      </rPr>
      <t xml:space="preserve">16.747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的缺口實際上就是靠舉債填補的</t>
    </r>
  </si>
  <si>
    <t xml:space="preserve">Ⓖ 瀑布：新債（額度＋資產層）</t>
  </si>
  <si>
    <t xml:space="preserve">見下方「期前融資瀑布」</t>
  </si>
  <si>
    <t xml:space="preserve">Ⓗ 瀑布：股權募資</t>
  </si>
  <si>
    <t xml:space="preserve">債務用罄後的殘差；每年不超過股權吸收上限</t>
  </si>
  <si>
    <t xml:space="preserve">Ⓘ 瀑布：高息債（股權上限溢出）</t>
  </si>
  <si>
    <r>
      <rPr>
        <sz val="9"/>
        <color rgb="FF595959"/>
        <rFont val="WenQuanYi Zen Hei"/>
        <family val="2"/>
      </rPr>
      <t xml:space="preserve">股權超過每年上限的部分；不受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WenQuanYi Zen Hei"/>
        <family val="2"/>
      </rPr>
      <t xml:space="preserve">上限約束</t>
    </r>
  </si>
  <si>
    <t xml:space="preserve">總來源（含融資）</t>
  </si>
  <si>
    <t xml:space="preserve">缺口與現金橋</t>
  </si>
  <si>
    <r>
      <rPr>
        <sz val="10"/>
        <rFont val="WenQuanYi Zen Hei"/>
        <family val="2"/>
      </rPr>
      <t xml:space="preserve">　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其他／受限現金調節</t>
    </r>
  </si>
  <si>
    <r>
      <rPr>
        <sz val="9"/>
        <color rgb="FF595959"/>
        <rFont val="WenQuanYi Zen Hei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實際流量接回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現金餘額；差額來自受限現金重分類與未逐項列出的項目</t>
    </r>
  </si>
  <si>
    <t xml:space="preserve">營運缺口（不含融資、不含還本）</t>
  </si>
  <si>
    <r>
      <rPr>
        <sz val="9"/>
        <color rgb="FF595959"/>
        <rFont val="WenQuanYi Zen Hei"/>
        <family val="2"/>
      </rPr>
      <t xml:space="preserve">本業能不能自給：營運來源 −（用途 − 排程還本 − 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WenQuanYi Zen Hei"/>
        <family val="2"/>
      </rPr>
      <t xml:space="preserve">）</t>
    </r>
  </si>
  <si>
    <t xml:space="preserve">期間缺口（含融資）</t>
  </si>
  <si>
    <t xml:space="preserve">期末累積現金</t>
  </si>
  <si>
    <t xml:space="preserve">期前融資：每期末不低於最低現金</t>
  </si>
  <si>
    <t xml:space="preserve">期前融資瀑布（缺口在需要前一期先融好：額度 → 資產層新債 → 股權）</t>
  </si>
  <si>
    <t xml:space="preserve">用途（不含新債利息）</t>
  </si>
  <si>
    <t xml:space="preserve">避免循環參照：直接由各支出列加總</t>
  </si>
  <si>
    <t xml:space="preserve">新債期初餘額</t>
  </si>
  <si>
    <r>
      <rPr>
        <sz val="10"/>
        <rFont val="WenQuanYi Zen Hei"/>
        <family val="2"/>
      </rPr>
      <t xml:space="preserve">新債利率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期間長度</t>
    </r>
  </si>
  <si>
    <t xml:space="preserve">高息債期初餘額</t>
  </si>
  <si>
    <r>
      <rPr>
        <sz val="10"/>
        <rFont val="WenQuanYi Zen Hei"/>
        <family val="2"/>
      </rPr>
      <t xml:space="preserve">高息債利率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期間長度</t>
    </r>
  </si>
  <si>
    <t xml:space="preserve">融資前現金（扣既有新債利息）</t>
  </si>
  <si>
    <t xml:space="preserve">融資需求（補足至最低現金）</t>
  </si>
  <si>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</si>
  <si>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6/30 RPO 103.7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25</t>
    </r>
  </si>
  <si>
    <r>
      <rPr>
        <sz val="10"/>
        <rFont val="WenQuanYi Zen Hei"/>
        <family val="2"/>
      </rPr>
      <t xml:space="preserve">　新簽合約增量（年化增量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年期）</t>
    </r>
  </si>
  <si>
    <r>
      <rPr>
        <sz val="10"/>
        <rFont val="WenQuanYi Zen Hei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</si>
  <si>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t xml:space="preserve">＝期初 − 排程認列 − 新簽約認列 ＋ 新簽合約增量</t>
  </si>
  <si>
    <r>
      <rPr>
        <sz val="10"/>
        <rFont val="WenQuanYi Zen Hei"/>
        <family val="2"/>
      </rPr>
      <t xml:space="preserve">既有債務＋</t>
    </r>
    <r>
      <rPr>
        <sz val="10"/>
        <rFont val="Arial"/>
        <family val="0"/>
        <charset val="1"/>
      </rPr>
      <t xml:space="preserve">9/17 </t>
    </r>
    <r>
      <rPr>
        <sz val="10"/>
        <rFont val="WenQuanYi Zen Hei"/>
        <family val="2"/>
      </rPr>
      <t xml:space="preserve">可轉債（期末）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</si>
  <si>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依到期表遞減的既有本金，若關閉攤還則維持 </t>
    </r>
    <r>
      <rPr>
        <sz val="9"/>
        <color rgb="FF595959"/>
        <rFont val="Arial"/>
        <family val="0"/>
        <charset val="1"/>
      </rPr>
      <t xml:space="preserve">35.551)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9/17 </t>
    </r>
    <r>
      <rPr>
        <sz val="9"/>
        <color rgb="FF595959"/>
        <rFont val="WenQuanYi Zen Hei"/>
        <family val="2"/>
      </rPr>
      <t xml:space="preserve">可轉債 </t>
    </r>
    <r>
      <rPr>
        <sz val="9"/>
        <color rgb="FF595959"/>
        <rFont val="Arial"/>
        <family val="0"/>
        <charset val="1"/>
      </rPr>
      <t xml:space="preserve">3.7</t>
    </r>
  </si>
  <si>
    <r>
      <rPr>
        <sz val="10"/>
        <rFont val="WenQuanYi Zen Hei"/>
        <family val="2"/>
      </rPr>
      <t xml:space="preserve">債務上限（債務／</t>
    </r>
    <r>
      <rPr>
        <sz val="10"/>
        <rFont val="Arial"/>
        <family val="0"/>
        <charset val="1"/>
      </rPr>
      <t xml:space="preserve">backlog × </t>
    </r>
    <r>
      <rPr>
        <sz val="10"/>
        <rFont val="WenQuanYi Zen Hei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  <r>
      <rPr>
        <sz val="10"/>
        <rFont val="WenQuanYi Zen Hei"/>
        <family val="2"/>
      </rPr>
      <t xml:space="preserve">）</t>
    </r>
  </si>
  <si>
    <t xml:space="preserve">未動用額度（期初）</t>
  </si>
  <si>
    <t xml:space="preserve">新債可借上限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</si>
  <si>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WenQuanYi Zen Hei"/>
        <family val="2"/>
      </rPr>
      <t xml:space="preserve">上限 − 既有債務 − 期初新債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未動用額度</t>
    </r>
    <r>
      <rPr>
        <sz val="9"/>
        <color rgb="FF595959"/>
        <rFont val="Arial"/>
        <family val="0"/>
        <charset val="1"/>
      </rPr>
      <t xml:space="preserve">)</t>
    </r>
  </si>
  <si>
    <t xml:space="preserve">新債舉借</t>
  </si>
  <si>
    <r>
      <rPr>
        <sz val="9"/>
        <color rgb="FF595959"/>
        <rFont val="WenQuanYi Zen Hei"/>
        <family val="2"/>
      </rPr>
      <t xml:space="preserve">期前融資：期初到位，當期全額計息，所以需求要除以 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WenQuanYi Zen Hei"/>
        <family val="2"/>
      </rPr>
      <t xml:space="preserve">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</t>
    </r>
    <r>
      <rPr>
        <sz val="9"/>
        <color rgb="FF595959"/>
        <rFont val="Arial"/>
        <family val="0"/>
        <charset val="1"/>
      </rPr>
      <t xml:space="preserve">)</t>
    </r>
  </si>
  <si>
    <t xml:space="preserve">債務後剩餘需求</t>
  </si>
  <si>
    <t xml:space="preserve">每年股權吸收上限</t>
  </si>
  <si>
    <r>
      <rPr>
        <sz val="9"/>
        <color rgb="FF595959"/>
        <rFont val="WenQuanYi Zen Hei"/>
        <family val="2"/>
      </rPr>
      <t xml:space="preserve">＝現市值（發行參考價 </t>
    </r>
    <r>
      <rPr>
        <sz val="9"/>
        <color rgb="FF595959"/>
        <rFont val="Arial"/>
        <family val="0"/>
        <charset val="1"/>
      </rPr>
      <t xml:space="preserve">× 0.5865bn </t>
    </r>
    <r>
      <rPr>
        <sz val="9"/>
        <color rgb="FF595959"/>
        <rFont val="WenQuanYi Zen Hei"/>
        <family val="2"/>
      </rPr>
      <t xml:space="preserve">股）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% × </t>
    </r>
    <r>
      <rPr>
        <sz val="9"/>
        <color rgb="FF595959"/>
        <rFont val="WenQuanYi Zen Hei"/>
        <family val="2"/>
      </rPr>
      <t xml:space="preserve">期間長度</t>
    </r>
  </si>
  <si>
    <t xml:space="preserve">股權募資</t>
  </si>
  <si>
    <t xml:space="preserve">高息債舉借（溢出）</t>
  </si>
  <si>
    <t xml:space="preserve">新債＋高息債利息（期初餘額＋本期舉借）</t>
  </si>
  <si>
    <r>
      <rPr>
        <sz val="10"/>
        <rFont val="WenQuanYi Zen Hei"/>
        <family val="2"/>
      </rPr>
      <t xml:space="preserve">發行價（現價</t>
    </r>
    <r>
      <rPr>
        <sz val="10"/>
        <rFont val="Arial"/>
        <family val="0"/>
        <charset val="1"/>
      </rPr>
      <t xml:space="preserve">×(1−</t>
    </r>
    <r>
      <rPr>
        <sz val="10"/>
        <rFont val="WenQuanYi Zen Hei"/>
        <family val="2"/>
      </rPr>
      <t xml:space="preserve">折價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）</t>
    </r>
  </si>
  <si>
    <t xml:space="preserve">新發行股數</t>
  </si>
  <si>
    <t xml:space="preserve">累計新股</t>
  </si>
  <si>
    <t xml:space="preserve">新債期末餘額</t>
  </si>
  <si>
    <t xml:space="preserve">未動用額度（期末）</t>
  </si>
  <si>
    <t xml:space="preserve">高息債期末餘額</t>
  </si>
  <si>
    <t xml:space="preserve">期末總債務（既有＋可轉債＋新債＋高息債）</t>
  </si>
  <si>
    <t xml:space="preserve">融資前累積現金</t>
  </si>
  <si>
    <t xml:space="preserve">若不做任何新融資的累積現金；負值＝外部資金需求</t>
  </si>
  <si>
    <t xml:space="preserve">四層橋（驗算）</t>
  </si>
  <si>
    <r>
      <rPr>
        <sz val="10"/>
        <rFont val="WenQuanYi Zen Hei"/>
        <family val="2"/>
      </rPr>
      <t xml:space="preserve">期初現金（</t>
    </r>
    <r>
      <rPr>
        <sz val="10"/>
        <rFont val="Arial"/>
        <family val="0"/>
        <charset val="1"/>
      </rPr>
      <t xml:space="preserve">2025-12-31</t>
    </r>
    <r>
      <rPr>
        <sz val="10"/>
        <rFont val="WenQuanYi Zen Hei"/>
        <family val="2"/>
      </rPr>
      <t xml:space="preserve">）</t>
    </r>
  </si>
  <si>
    <t xml:space="preserve">＋ 營運缺口合計</t>
  </si>
  <si>
    <t xml:space="preserve">＋ 股權／可轉債合計</t>
  </si>
  <si>
    <r>
      <rPr>
        <sz val="10"/>
        <rFont val="WenQuanYi Zen Hei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實際借款</t>
    </r>
  </si>
  <si>
    <r>
      <rPr>
        <sz val="10"/>
        <rFont val="Arial"/>
        <family val="0"/>
        <charset val="1"/>
      </rPr>
      <t xml:space="preserve">− capped call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1H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</si>
  <si>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其他／受限現金調節</t>
    </r>
  </si>
  <si>
    <t xml:space="preserve">＋ 瀑布新債＋股權＋高息債合計</t>
  </si>
  <si>
    <t xml:space="preserve">− 排程還本合計</t>
  </si>
  <si>
    <t xml:space="preserve">＝ 期末現金（橋算）</t>
  </si>
  <si>
    <t xml:space="preserve">對照：期末累積現金（表算）</t>
  </si>
  <si>
    <r>
      <rPr>
        <b val="true"/>
        <sz val="10"/>
        <rFont val="WenQuanYi Zen Hei"/>
        <family val="2"/>
      </rPr>
      <t xml:space="preserve">差異（應為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</si>
  <si>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若不為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，表示公式鏈被改壞</t>
    </r>
  </si>
  <si>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WenQuanYi Zen Hei"/>
        <family val="2"/>
      </rPr>
      <t xml:space="preserve">全年備忘（對照公司指引）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</si>
  <si>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總營收（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模型）</t>
    </r>
  </si>
  <si>
    <r>
      <rPr>
        <sz val="9"/>
        <color rgb="FF595959"/>
        <rFont val="WenQuanYi Zen Hei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12.4–13.2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</si>
  <si>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WenQuanYi Zen Hei"/>
        <family val="2"/>
      </rPr>
      <t xml:space="preserve">認列（</t>
    </r>
    <r>
      <rPr>
        <sz val="10"/>
        <rFont val="Arial"/>
        <family val="0"/>
        <charset val="1"/>
      </rPr>
      <t xml:space="preserve">1H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2H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</si>
  <si>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35–39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</si>
  <si>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模型）</t>
    </r>
  </si>
  <si>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指引 </t>
    </r>
    <r>
      <rPr>
        <sz val="9"/>
        <color rgb="FF595959"/>
        <rFont val="Arial"/>
        <family val="0"/>
        <charset val="1"/>
      </rPr>
      <t xml:space="preserve">0.86–0.94</t>
    </r>
    <r>
      <rPr>
        <sz val="9"/>
        <color rgb="FF595959"/>
        <rFont val="WenQuanYi Zen Hei"/>
        <family val="2"/>
      </rPr>
      <t xml:space="preserve">／季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</si>
  <si>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租賃現金（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模型）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</si>
  <si>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實際支付 </t>
    </r>
    <r>
      <rPr>
        <sz val="9"/>
        <color rgb="FF595959"/>
        <rFont val="Arial"/>
        <family val="0"/>
        <charset val="1"/>
      </rPr>
      <t xml:space="preserve">0.748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</si>
  <si>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排程還本（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</si>
  <si>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5.219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4.413</t>
    </r>
  </si>
  <si>
    <r>
      <rPr>
        <b val="true"/>
        <sz val="14"/>
        <rFont val="WenQuanYi Zen Hei"/>
        <family val="2"/>
      </rPr>
      <t xml:space="preserve">產能與收入 — 合約排程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WenQuanYi Zen Hei"/>
        <family val="2"/>
      </rPr>
      <t xml:space="preserve">機房產能</t>
    </r>
  </si>
  <si>
    <r>
      <rPr>
        <sz val="9"/>
        <color rgb="FF595959"/>
        <rFont val="WenQuanYi Zen Hei"/>
        <family val="2"/>
      </rPr>
      <t xml:space="preserve">兩條線獨立產生後相減：排程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WenQuanYi Zen Hei"/>
        <family val="2"/>
      </rPr>
      <t xml:space="preserve">容量→瓶頸（收不到）；容量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WenQuanYi Zen Hei"/>
        <family val="2"/>
      </rPr>
      <t xml:space="preserve">排程→剩餘產能（要靠新簽約賣掉）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</si>
  <si>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欄口徑：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為年底存量；標示「（模型期）」的收入列只含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下半年——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桶自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WenQuanYi Zen Hei"/>
        <family val="2"/>
      </rPr>
      <t xml:space="preserve">起算，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收入已實現、不再受產能約束。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實際單列，兩者相加即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全年（見本頁「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全年」列）。</t>
    </r>
  </si>
  <si>
    <t xml:space="preserve">模型期間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</si>
  <si>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的模型期只有下半年；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已實現的營收單列於下方</t>
    </r>
  </si>
  <si>
    <t xml:space="preserve">只用於下方三處：容量上限、電力、維護——把年率換算成該期金額</t>
  </si>
  <si>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WenQuanYi Zen Hei"/>
        <family val="2"/>
      </rPr>
      <t xml:space="preserve">）機房：容量上限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</si>
  <si>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（已驗收，單調不減）</t>
    </r>
  </si>
  <si>
    <t xml:space="preserve">引擎規則：不得低於前期（產能不會消失）</t>
  </si>
  <si>
    <r>
      <rPr>
        <sz val="10"/>
        <rFont val="Arial"/>
        <family val="0"/>
        <charset val="1"/>
      </rPr>
      <t xml:space="preserve">Billable MW</t>
    </r>
    <r>
      <rPr>
        <sz val="10"/>
        <rFont val="WenQuanYi Zen Hei"/>
        <family val="2"/>
      </rPr>
      <t xml:space="preserve">（上限為 </t>
    </r>
    <r>
      <rPr>
        <sz val="10"/>
        <rFont val="Arial"/>
        <family val="0"/>
        <charset val="1"/>
      </rPr>
      <t xml:space="preserve">Accepted</t>
    </r>
    <r>
      <rPr>
        <sz val="10"/>
        <rFont val="WenQuanYi Zen Hei"/>
        <family val="2"/>
      </rPr>
      <t xml:space="preserve">）</t>
    </r>
  </si>
  <si>
    <t xml:space="preserve">引擎規則：可計費不得超過已驗收</t>
  </si>
  <si>
    <r>
      <rPr>
        <sz val="10"/>
        <rFont val="WenQuanYi Zen Hei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</si>
  <si>
    <t xml:space="preserve">前期期末＝本期期初</t>
  </si>
  <si>
    <r>
      <rPr>
        <sz val="10"/>
        <rFont val="WenQuanYi Zen Hei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欄為下半年平均）</t>
    </r>
  </si>
  <si>
    <r>
      <rPr>
        <sz val="9"/>
        <color rgb="FF595959"/>
        <rFont val="WenQuanYi Zen Hei"/>
        <family val="2"/>
      </rPr>
      <t xml:space="preserve">開關在輸入頁：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期初</t>
    </r>
    <r>
      <rPr>
        <sz val="9"/>
        <color rgb="FF595959"/>
        <rFont val="Arial"/>
        <family val="0"/>
        <charset val="1"/>
      </rPr>
      <t xml:space="preserve">+</t>
    </r>
    <r>
      <rPr>
        <sz val="9"/>
        <color rgb="FF595959"/>
        <rFont val="WenQuanYi Zen Hei"/>
        <family val="2"/>
      </rPr>
      <t xml:space="preserve">期末</t>
    </r>
    <r>
      <rPr>
        <sz val="9"/>
        <color rgb="FF595959"/>
        <rFont val="Arial"/>
        <family val="0"/>
        <charset val="1"/>
      </rPr>
      <t xml:space="preserve">)/2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＝期末全期化</t>
    </r>
  </si>
  <si>
    <t xml:space="preserve">容量上限（模型期最多能交付的收入）</t>
  </si>
  <si>
    <r>
      <rPr>
        <sz val="9"/>
        <color rgb="FF595959"/>
        <rFont val="WenQuanYi Zen Hei"/>
        <family val="2"/>
      </rPr>
      <t xml:space="preserve">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期間係數。只看機房，不看合約</t>
    </r>
  </si>
  <si>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WenQuanYi Zen Hei"/>
        <family val="2"/>
      </rPr>
      <t xml:space="preserve">）合約：排程 </t>
    </r>
    <r>
      <rPr>
        <b val="true"/>
        <sz val="10"/>
        <rFont val="Arial"/>
        <family val="0"/>
        <charset val="1"/>
      </rPr>
      <t xml:space="preserve">RPO</t>
    </r>
  </si>
  <si>
    <r>
      <rPr>
        <sz val="10"/>
        <rFont val="WenQuanYi Zen Hei"/>
        <family val="2"/>
      </rPr>
      <t xml:space="preserve">排程 </t>
    </r>
    <r>
      <rPr>
        <sz val="10"/>
        <rFont val="Arial"/>
        <family val="0"/>
        <charset val="1"/>
      </rPr>
      <t xml:space="preserve">RPO</t>
    </r>
    <r>
      <rPr>
        <sz val="10"/>
        <rFont val="WenQuanYi Zen Hei"/>
        <family val="2"/>
      </rPr>
      <t xml:space="preserve">（模型期，依 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桶分攤）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</si>
  <si>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(6/30 RPO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新增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WenQuanYi Zen Hei"/>
        <family val="2"/>
      </rPr>
      <t xml:space="preserve">本期權重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權重合計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五期認列比例。只看合約，不看機房</t>
    </r>
  </si>
  <si>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WenQuanYi Zen Hei"/>
        <family val="2"/>
      </rPr>
      <t xml:space="preserve">）兩條線相減</t>
    </r>
  </si>
  <si>
    <t xml:space="preserve">產能瓶頸（模型期：排程 − 容量）</t>
  </si>
  <si>
    <t xml:space="preserve">合約有、機房沒有 → 本期收不到，且不遞延到下期（保守處理）</t>
  </si>
  <si>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轉換收入（模型期）</t>
    </r>
  </si>
  <si>
    <r>
      <rPr>
        <sz val="9"/>
        <color rgb="FF595959"/>
        <rFont val="WenQuanYi Zen Hei"/>
        <family val="2"/>
      </rPr>
      <t xml:space="preserve">＝排程 − 瓶頸。當瓶頸</t>
    </r>
    <r>
      <rPr>
        <sz val="9"/>
        <color rgb="FF595959"/>
        <rFont val="Arial"/>
        <family val="0"/>
        <charset val="1"/>
      </rPr>
      <t xml:space="preserve">&gt;0 </t>
    </r>
    <r>
      <rPr>
        <sz val="9"/>
        <color rgb="FF595959"/>
        <rFont val="WenQuanYi Zen Hei"/>
        <family val="2"/>
      </rPr>
      <t xml:space="preserve">時，此值恆等於容量上限</t>
    </r>
  </si>
  <si>
    <r>
      <rPr>
        <sz val="10"/>
        <rFont val="WenQuanYi Zen Hei"/>
        <family val="2"/>
      </rPr>
      <t xml:space="preserve">未被期初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占用的產能</t>
    </r>
  </si>
  <si>
    <t xml:space="preserve">容量 − 排程。機房有、期初合約沒占滿 → 要靠新簽約</t>
  </si>
  <si>
    <t xml:space="preserve">新簽約收入</t>
  </si>
  <si>
    <r>
      <rPr>
        <sz val="9"/>
        <color rgb="FF595959"/>
        <rFont val="WenQuanYi Zen Hei"/>
        <family val="2"/>
      </rPr>
      <t xml:space="preserve">尚未簽署的合約。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WenQuanYi Zen Hei"/>
        <family val="2"/>
      </rPr>
      <t xml:space="preserve">起模型收入主要來自此列——</t>
    </r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WenQuanYi Zen Hei"/>
        <family val="2"/>
      </rPr>
      <t xml:space="preserve">敘事的風險集中點</t>
    </r>
  </si>
  <si>
    <t xml:space="preserve">未售產能（浪費）</t>
  </si>
  <si>
    <r>
      <rPr>
        <sz val="9"/>
        <color rgb="FF595959"/>
        <rFont val="WenQuanYi Zen Hei"/>
        <family val="2"/>
      </rPr>
      <t xml:space="preserve">蓋好但賣不掉。</t>
    </r>
    <r>
      <rPr>
        <sz val="9"/>
        <color rgb="FF595959"/>
        <rFont val="Arial"/>
        <family val="0"/>
        <charset val="1"/>
      </rPr>
      <t xml:space="preserve">Bernstein</t>
    </r>
    <r>
      <rPr>
        <sz val="9"/>
        <color rgb="FF595959"/>
        <rFont val="WenQuanYi Zen Hei"/>
        <family val="2"/>
      </rPr>
      <t xml:space="preserve">：簽約電力 </t>
    </r>
    <r>
      <rPr>
        <sz val="9"/>
        <color rgb="FF595959"/>
        <rFont val="Arial"/>
        <family val="0"/>
        <charset val="1"/>
      </rPr>
      <t xml:space="preserve">74% </t>
    </r>
    <r>
      <rPr>
        <sz val="9"/>
        <color rgb="FF595959"/>
        <rFont val="WenQuanYi Zen Hei"/>
        <family val="2"/>
      </rPr>
      <t xml:space="preserve">位於 </t>
    </r>
    <r>
      <rPr>
        <sz val="9"/>
        <color rgb="FF595959"/>
        <rFont val="Arial"/>
        <family val="0"/>
        <charset val="1"/>
      </rPr>
      <t xml:space="preserve">Tier 3/4 </t>
    </r>
    <r>
      <rPr>
        <sz val="9"/>
        <color rgb="FF595959"/>
        <rFont val="WenQuanYi Zen Hei"/>
        <family val="2"/>
      </rPr>
      <t xml:space="preserve">市場</t>
    </r>
  </si>
  <si>
    <r>
      <rPr>
        <sz val="10"/>
        <rFont val="WenQuanYi Zen Hei"/>
        <family val="2"/>
      </rPr>
      <t xml:space="preserve">損益用算力收入（模型期＝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轉換＋新簽約）</t>
    </r>
  </si>
  <si>
    <t xml:space="preserve">損益與評價頁的算力收入由此連結，確保現金與損益同一組數字</t>
  </si>
  <si>
    <r>
      <rPr>
        <sz val="10"/>
        <rFont val="Arial"/>
        <family val="0"/>
        <charset val="1"/>
      </rPr>
      <t xml:space="preserve">1H26 </t>
    </r>
    <r>
      <rPr>
        <sz val="10"/>
        <rFont val="WenQuanYi Zen Hei"/>
        <family val="2"/>
      </rPr>
      <t xml:space="preserve">實際營收（</t>
    </r>
    <r>
      <rPr>
        <sz val="10"/>
        <rFont val="Arial"/>
        <family val="0"/>
        <charset val="1"/>
      </rPr>
      <t xml:space="preserve">10-Q</t>
    </r>
    <r>
      <rPr>
        <sz val="10"/>
        <rFont val="WenQuanYi Zen Hei"/>
        <family val="2"/>
      </rPr>
      <t xml:space="preserve">，已實現）</t>
    </r>
  </si>
  <si>
    <r>
      <rPr>
        <sz val="9"/>
        <color rgb="FF595959"/>
        <rFont val="Arial"/>
        <family val="0"/>
        <charset val="1"/>
      </rPr>
      <t xml:space="preserve">2026-01-01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06-30 </t>
    </r>
    <r>
      <rPr>
        <sz val="9"/>
        <color rgb="FF595959"/>
        <rFont val="WenQuanYi Zen Hei"/>
        <family val="2"/>
      </rPr>
      <t xml:space="preserve">已認列營收。已實現，不受下半年產能約束，故不進入上方的瓶頸計算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</si>
  <si>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全年總營收（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實際＋模型期算力＋服務）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</si>
  <si>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欄可直接對照公司全年指引 </t>
    </r>
    <r>
      <rPr>
        <sz val="9"/>
        <color rgb="FF595959"/>
        <rFont val="Arial"/>
        <family val="0"/>
        <charset val="1"/>
      </rPr>
      <t xml:space="preserve">12.4–13.2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以後即為該年度總營收</t>
    </r>
  </si>
  <si>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）收入 → 現金：三道折扣</t>
    </r>
  </si>
  <si>
    <r>
      <rPr>
        <sz val="10"/>
        <rFont val="WenQuanYi Zen Hei"/>
        <family val="2"/>
      </rPr>
      <t xml:space="preserve">信用損失（期初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部分）</t>
    </r>
  </si>
  <si>
    <r>
      <rPr>
        <sz val="9"/>
        <color rgb="FF595959"/>
        <rFont val="WenQuanYi Zen Hei"/>
        <family val="2"/>
      </rPr>
      <t xml:space="preserve">＝收入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違約率 </t>
    </r>
    <r>
      <rPr>
        <sz val="9"/>
        <color rgb="FF595959"/>
        <rFont val="Arial"/>
        <family val="0"/>
        <charset val="1"/>
      </rPr>
      <t xml:space="preserve">× (1−</t>
    </r>
    <r>
      <rPr>
        <sz val="9"/>
        <color rgb="FF595959"/>
        <rFont val="WenQuanYi Zen Hei"/>
        <family val="2"/>
      </rPr>
      <t xml:space="preserve">回收率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</si>
  <si>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收現（期初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部分）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</si>
  <si>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率（損益與資金共用）</t>
    </r>
  </si>
  <si>
    <t xml:space="preserve">起始→穩態線性爬升</t>
  </si>
  <si>
    <t xml:space="preserve">模型期總營收（算力＋服務）</t>
  </si>
  <si>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</rPr>
      <t xml:space="preserve">率（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WenQuanYi Zen Hei"/>
        <family val="2"/>
      </rPr>
      <t xml:space="preserve">營收）</t>
    </r>
  </si>
  <si>
    <r>
      <rPr>
        <sz val="9"/>
        <color rgb="FF595959"/>
        <rFont val="WenQuanYi Zen Hei"/>
        <family val="2"/>
      </rPr>
      <t xml:space="preserve">租金前的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已扣租金，而資金模型把租金列在支出端，所以要加回，避免重複扣除</t>
    </r>
  </si>
  <si>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現金（可支應資本用途）</t>
    </r>
  </si>
  <si>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WenQuanYi Zen Hei"/>
        <family val="2"/>
      </rPr>
      <t xml:space="preserve">率。租金與利息在支出頁單獨列示</t>
    </r>
  </si>
  <si>
    <t xml:space="preserve">新簽約現金</t>
  </si>
  <si>
    <r>
      <rPr>
        <sz val="9"/>
        <color rgb="FF595959"/>
        <rFont val="WenQuanYi Zen Hei"/>
        <family val="2"/>
      </rPr>
      <t xml:space="preserve">同樣扣信用損失、乘 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WenQuanYi Zen Hei"/>
        <family val="2"/>
      </rPr>
      <t xml:space="preserve">率</t>
    </r>
  </si>
  <si>
    <r>
      <rPr>
        <b val="true"/>
        <sz val="10"/>
        <rFont val="WenQuanYi Zen Hei"/>
        <family val="2"/>
      </rPr>
      <t xml:space="preserve">讀法：</t>
    </r>
    <r>
      <rPr>
        <b val="true"/>
        <sz val="10"/>
        <rFont val="Arial"/>
        <family val="0"/>
        <charset val="1"/>
      </rPr>
      <t xml:space="preserve">FY26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2H</t>
    </r>
    <r>
      <rPr>
        <b val="true"/>
        <sz val="10"/>
        <rFont val="WenQuanYi Zen Hei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FY27 </t>
    </r>
    <r>
      <rPr>
        <b val="true"/>
        <sz val="10"/>
        <rFont val="WenQuanYi Zen Hei"/>
        <family val="2"/>
      </rPr>
      <t xml:space="preserve">瓶頸</t>
    </r>
    <r>
      <rPr>
        <b val="true"/>
        <sz val="10"/>
        <rFont val="Arial"/>
        <family val="0"/>
        <charset val="1"/>
      </rPr>
      <t xml:space="preserve">&gt;0</t>
    </r>
    <r>
      <rPr>
        <b val="true"/>
        <sz val="10"/>
        <rFont val="WenQuanYi Zen Hei"/>
        <family val="2"/>
      </rPr>
      <t xml:space="preserve">，合約多於機房；</t>
    </r>
    <r>
      <rPr>
        <b val="true"/>
        <sz val="10"/>
        <rFont val="Arial"/>
        <family val="0"/>
        <charset val="1"/>
      </rPr>
      <t xml:space="preserve">FY28 </t>
    </r>
    <r>
      <rPr>
        <b val="true"/>
        <sz val="10"/>
        <rFont val="WenQuanYi Zen Hei"/>
        <family val="2"/>
      </rPr>
      <t xml:space="preserve">起反轉，收入愈來愈靠『新簽約收入』這一列。</t>
    </r>
  </si>
  <si>
    <r>
      <rPr>
        <sz val="9"/>
        <color rgb="FF595959"/>
        <rFont val="WenQuanYi Zen Hei"/>
        <family val="2"/>
      </rPr>
      <t xml:space="preserve">把『新產能簽約率』調到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，就能看到只靠期初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的資金缺口有多大——這是最重要的一個壓力測試。</t>
    </r>
  </si>
  <si>
    <r>
      <rPr>
        <b val="true"/>
        <sz val="14"/>
        <rFont val="WenQuanYi Zen Hei"/>
        <family val="2"/>
      </rPr>
      <t xml:space="preserve">站點租賃 — 房東揭露 </t>
    </r>
    <r>
      <rPr>
        <b val="true"/>
        <sz val="14"/>
        <rFont val="Arial"/>
        <family val="0"/>
        <charset val="1"/>
      </rPr>
      <t xml:space="preserve">vs 10-Q </t>
    </r>
    <r>
      <rPr>
        <b val="true"/>
        <sz val="14"/>
        <rFont val="WenQuanYi Zen Hei"/>
        <family val="2"/>
      </rPr>
      <t xml:space="preserve">總額（檢驗租金路徑用）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</si>
  <si>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不揭露逐站租金；下表為房東公告的合約值（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），用來檢驗『每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年租金』與模型租金路徑是否一致</t>
    </r>
  </si>
  <si>
    <t xml:space="preserve">站點</t>
  </si>
  <si>
    <t xml:space="preserve">房東</t>
  </si>
  <si>
    <r>
      <rPr>
        <b val="true"/>
        <sz val="11"/>
        <color rgb="FFFFFFFF"/>
        <rFont val="WenQuanYi Zen Hei"/>
        <family val="2"/>
      </rPr>
      <t xml:space="preserve">契約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</si>
  <si>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WenQuanYi Zen Hei"/>
        <family val="2"/>
      </rPr>
      <t xml:space="preserve">已起租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</si>
  <si>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WenQuanYi Zen Hei"/>
        <family val="2"/>
      </rPr>
      <t xml:space="preserve">合約總值 </t>
    </r>
    <r>
      <rPr>
        <b val="true"/>
        <sz val="11"/>
        <color rgb="FFFFFFFF"/>
        <rFont val="Arial"/>
        <family val="0"/>
        <charset val="1"/>
      </rPr>
      <t xml:space="preserve">$bn</t>
    </r>
  </si>
  <si>
    <t xml:space="preserve">年期</t>
  </si>
  <si>
    <r>
      <rPr>
        <b val="true"/>
        <sz val="11"/>
        <color rgb="FFFFFFFF"/>
        <rFont val="WenQuanYi Zen Hei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$bn</t>
    </r>
  </si>
  <si>
    <r>
      <rPr>
        <b val="true"/>
        <sz val="11"/>
        <color rgb="FFFFFFFF"/>
        <rFont val="WenQuanYi Zen Hei"/>
        <family val="2"/>
      </rPr>
      <t xml:space="preserve">每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WenQuanYi Zen Hei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$m</t>
    </r>
  </si>
  <si>
    <t xml:space="preserve">起租時程</t>
  </si>
  <si>
    <r>
      <rPr>
        <b val="true"/>
        <sz val="11"/>
        <color rgb="FFFFFFFF"/>
        <rFont val="Arial"/>
        <family val="0"/>
        <charset val="1"/>
      </rPr>
      <t xml:space="preserve">10-Q </t>
    </r>
    <r>
      <rPr>
        <b val="true"/>
        <sz val="11"/>
        <color rgb="FFFFFFFF"/>
        <rFont val="WenQuanYi Zen Hei"/>
        <family val="2"/>
      </rPr>
      <t xml:space="preserve">對應</t>
    </r>
  </si>
  <si>
    <t xml:space="preserve">來源</t>
  </si>
  <si>
    <r>
      <rPr>
        <sz val="10"/>
        <rFont val="Arial"/>
        <family val="0"/>
        <charset val="1"/>
      </rPr>
      <t xml:space="preserve">Helios</t>
    </r>
    <r>
      <rPr>
        <sz val="10"/>
        <rFont val="WenQuanYi Zen Hei"/>
        <family val="2"/>
      </rPr>
      <t xml:space="preserve">（德州 </t>
    </r>
    <r>
      <rPr>
        <sz val="10"/>
        <rFont val="Arial"/>
        <family val="0"/>
        <charset val="1"/>
      </rPr>
      <t xml:space="preserve">Dickens</t>
    </r>
    <r>
      <rPr>
        <sz val="10"/>
        <rFont val="WenQuanYi Zen Hei"/>
        <family val="2"/>
      </rPr>
      <t xml:space="preserve">）</t>
    </r>
  </si>
  <si>
    <t xml:space="preserve">Galaxy (GLXY)</t>
  </si>
  <si>
    <r>
      <rPr>
        <sz val="9"/>
        <color rgb="FF595959"/>
        <rFont val="Arial"/>
        <family val="0"/>
        <charset val="1"/>
      </rPr>
      <t xml:space="preserve">Ph I 133 MW 2026Q2 </t>
    </r>
    <r>
      <rPr>
        <sz val="9"/>
        <color rgb="FF595959"/>
        <rFont val="WenQuanYi Zen Hei"/>
        <family val="2"/>
      </rPr>
      <t xml:space="preserve">起租；</t>
    </r>
    <r>
      <rPr>
        <sz val="9"/>
        <color rgb="FF595959"/>
        <rFont val="Arial"/>
        <family val="0"/>
        <charset val="1"/>
      </rPr>
      <t xml:space="preserve">Ph II 260 MW 2027H1 </t>
    </r>
    <r>
      <rPr>
        <sz val="9"/>
        <color rgb="FF595959"/>
        <rFont val="WenQuanYi Zen Hei"/>
        <family val="2"/>
      </rPr>
      <t xml:space="preserve">起；</t>
    </r>
    <r>
      <rPr>
        <sz val="9"/>
        <color rgb="FF595959"/>
        <rFont val="Arial"/>
        <family val="0"/>
        <charset val="1"/>
      </rPr>
      <t xml:space="preserve">Ph III 133 MW</t>
    </r>
  </si>
  <si>
    <r>
      <rPr>
        <sz val="9"/>
        <color rgb="FF595959"/>
        <rFont val="WenQuanYi Zen Hei"/>
        <family val="2"/>
      </rPr>
      <t xml:space="preserve">未交付 </t>
    </r>
    <r>
      <rPr>
        <sz val="9"/>
        <color rgb="FF595959"/>
        <rFont val="Arial"/>
        <family val="0"/>
        <charset val="1"/>
      </rPr>
      <t xml:space="preserve">393 MW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「單站上限 </t>
    </r>
    <r>
      <rPr>
        <sz val="9"/>
        <color rgb="FF595959"/>
        <rFont val="Arial"/>
        <family val="0"/>
        <charset val="1"/>
      </rPr>
      <t xml:space="preserve">14.7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WenQuanYi Zen Hei"/>
        <family val="2"/>
      </rPr>
      <t xml:space="preserve">年」</t>
    </r>
  </si>
  <si>
    <r>
      <rPr>
        <sz val="9"/>
        <color rgb="FF595959"/>
        <rFont val="Arial"/>
        <family val="0"/>
        <charset val="1"/>
      </rPr>
      <t xml:space="preserve">Galaxy 2026-07-06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526 MW</t>
    </r>
    <r>
      <rPr>
        <sz val="9"/>
        <color rgb="FF595959"/>
        <rFont val="WenQuanYi Zen Hei"/>
        <family val="2"/>
      </rPr>
      <t xml:space="preserve">、年均租金 </t>
    </r>
    <r>
      <rPr>
        <sz val="9"/>
        <color rgb="FF595959"/>
        <rFont val="Arial"/>
        <family val="0"/>
        <charset val="1"/>
      </rPr>
      <t xml:space="preserve">&gt;$1bn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WenQuanYi Zen Hei"/>
        <family val="2"/>
      </rPr>
      <t xml:space="preserve">年＋</t>
    </r>
    <r>
      <rPr>
        <sz val="9"/>
        <color rgb="FF595959"/>
        <rFont val="Arial"/>
        <family val="0"/>
        <charset val="1"/>
      </rPr>
      <t xml:space="preserve">2×5 </t>
    </r>
    <r>
      <rPr>
        <sz val="9"/>
        <color rgb="FF595959"/>
        <rFont val="WenQuanYi Zen Hei"/>
        <family val="2"/>
      </rPr>
      <t xml:space="preserve">年延長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</si>
  <si>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Polaris Forge 1</t>
    </r>
    <r>
      <rPr>
        <sz val="10"/>
        <rFont val="WenQuanYi Zen Hei"/>
        <family val="2"/>
      </rPr>
      <t xml:space="preserve">（北達科他 </t>
    </r>
    <r>
      <rPr>
        <sz val="10"/>
        <rFont val="Arial"/>
        <family val="0"/>
        <charset val="1"/>
      </rPr>
      <t xml:space="preserve">Ellendale</t>
    </r>
    <r>
      <rPr>
        <sz val="10"/>
        <rFont val="WenQuanYi Zen Hei"/>
        <family val="2"/>
      </rPr>
      <t xml:space="preserve">）</t>
    </r>
  </si>
  <si>
    <t xml:space="preserve">Applied Digital (APLD)</t>
  </si>
  <si>
    <r>
      <rPr>
        <sz val="9"/>
        <color rgb="FF595959"/>
        <rFont val="Arial"/>
        <family val="0"/>
        <charset val="1"/>
      </rPr>
      <t xml:space="preserve">100 MW 2025Q4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150 MW 2026 </t>
    </r>
    <r>
      <rPr>
        <sz val="9"/>
        <color rgb="FF595959"/>
        <rFont val="WenQuanYi Zen Hei"/>
        <family val="2"/>
      </rPr>
      <t xml:space="preserve">年中；</t>
    </r>
    <r>
      <rPr>
        <sz val="9"/>
        <color rgb="FF595959"/>
        <rFont val="Arial"/>
        <family val="0"/>
        <charset val="1"/>
      </rPr>
      <t xml:space="preserve">150 MW 2027</t>
    </r>
  </si>
  <si>
    <r>
      <rPr>
        <sz val="9"/>
        <color rgb="FF595959"/>
        <rFont val="WenQuanYi Zen Hei"/>
        <family val="2"/>
      </rPr>
      <t xml:space="preserve">大致落在未起租 </t>
    </r>
    <r>
      <rPr>
        <sz val="9"/>
        <color rgb="FF595959"/>
        <rFont val="Arial"/>
        <family val="0"/>
        <charset val="1"/>
      </rPr>
      <t xml:space="preserve">35.5 </t>
    </r>
    <r>
      <rPr>
        <sz val="9"/>
        <color rgb="FF595959"/>
        <rFont val="WenQuanYi Zen Hei"/>
        <family val="2"/>
      </rPr>
      <t xml:space="preserve">內</t>
    </r>
  </si>
  <si>
    <r>
      <rPr>
        <sz val="9"/>
        <color rgb="FF595959"/>
        <rFont val="Arial"/>
        <family val="0"/>
        <charset val="1"/>
      </rPr>
      <t xml:space="preserve">APLD 2025-08-29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FQ2 </t>
    </r>
    <r>
      <rPr>
        <sz val="9"/>
        <color rgb="FF595959"/>
        <rFont val="WenQuanYi Zen Hei"/>
        <family val="2"/>
      </rPr>
      <t xml:space="preserve">法說：</t>
    </r>
    <r>
      <rPr>
        <sz val="9"/>
        <color rgb="FF595959"/>
        <rFont val="Arial"/>
        <family val="0"/>
        <charset val="1"/>
      </rPr>
      <t xml:space="preserve">400 MW</t>
    </r>
    <r>
      <rPr>
        <sz val="9"/>
        <color rgb="FF595959"/>
        <rFont val="WenQuanYi Zen Hei"/>
        <family val="2"/>
      </rPr>
      <t xml:space="preserve">、約 </t>
    </r>
    <r>
      <rPr>
        <sz val="9"/>
        <color rgb="FF595959"/>
        <rFont val="Arial"/>
        <family val="0"/>
        <charset val="1"/>
      </rPr>
      <t xml:space="preserve">$11bn</t>
    </r>
    <r>
      <rPr>
        <sz val="9"/>
        <color rgb="FF595959"/>
        <rFont val="WenQuanYi Zen Hei"/>
        <family val="2"/>
      </rPr>
      <t xml:space="preserve">、約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WenQuanYi Zen Hei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</si>
  <si>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Core Scientific </t>
    </r>
    <r>
      <rPr>
        <sz val="10"/>
        <rFont val="WenQuanYi Zen Hei"/>
        <family val="2"/>
      </rPr>
      <t xml:space="preserve">六站（</t>
    </r>
    <r>
      <rPr>
        <sz val="10"/>
        <rFont val="Arial"/>
        <family val="0"/>
        <charset val="1"/>
      </rPr>
      <t xml:space="preserve">Denton </t>
    </r>
    <r>
      <rPr>
        <sz val="10"/>
        <rFont val="WenQuanYi Zen Hei"/>
        <family val="2"/>
      </rPr>
      <t xml:space="preserve">等）</t>
    </r>
  </si>
  <si>
    <t xml:space="preserve">Core Scientific (CORZ)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</si>
  <si>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年約 </t>
    </r>
    <r>
      <rPr>
        <sz val="9"/>
        <color rgb="FF595959"/>
        <rFont val="Arial"/>
        <family val="0"/>
        <charset val="1"/>
      </rPr>
      <t xml:space="preserve">250 MW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年初全數 </t>
    </r>
    <r>
      <rPr>
        <sz val="9"/>
        <color rgb="FF595959"/>
        <rFont val="Arial"/>
        <family val="0"/>
        <charset val="1"/>
      </rPr>
      <t xml:space="preserve">590 MW</t>
    </r>
  </si>
  <si>
    <r>
      <rPr>
        <sz val="9"/>
        <color rgb="FF595959"/>
        <rFont val="WenQuanYi Zen Hei"/>
        <family val="2"/>
      </rPr>
      <t xml:space="preserve">部分在帳、部分未起租；「按造價計租」</t>
    </r>
    <r>
      <rPr>
        <sz val="9"/>
        <color rgb="FF595959"/>
        <rFont val="Arial"/>
        <family val="0"/>
        <charset val="1"/>
      </rPr>
      <t xml:space="preserve">355 MW </t>
    </r>
    <r>
      <rPr>
        <sz val="9"/>
        <color rgb="FF595959"/>
        <rFont val="WenQuanYi Zen Hei"/>
        <family val="2"/>
      </rPr>
      <t xml:space="preserve">可能含部分</t>
    </r>
  </si>
  <si>
    <r>
      <rPr>
        <sz val="9"/>
        <color rgb="FF595959"/>
        <rFont val="Arial"/>
        <family val="0"/>
        <charset val="1"/>
      </rPr>
      <t xml:space="preserve">CORZ 2025-02-26</t>
    </r>
    <r>
      <rPr>
        <sz val="9"/>
        <color rgb="FF595959"/>
        <rFont val="WenQuanYi Zen Hei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590 MW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$10.2bn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WenQuanYi Zen Hei"/>
        <family val="2"/>
      </rPr>
      <t xml:space="preserve">年；年均約 </t>
    </r>
    <r>
      <rPr>
        <sz val="9"/>
        <color rgb="FF595959"/>
        <rFont val="Arial"/>
        <family val="0"/>
        <charset val="1"/>
      </rPr>
      <t xml:space="preserve">$850m [Interested-party]</t>
    </r>
  </si>
  <si>
    <r>
      <rPr>
        <sz val="10"/>
        <rFont val="Arial"/>
        <family val="0"/>
        <charset val="1"/>
      </rPr>
      <t xml:space="preserve">Kenilworth</t>
    </r>
    <r>
      <rPr>
        <sz val="10"/>
        <rFont val="WenQuanYi Zen Hei"/>
        <family val="2"/>
      </rPr>
      <t xml:space="preserve">（新澤西 </t>
    </r>
    <r>
      <rPr>
        <sz val="10"/>
        <rFont val="Arial"/>
        <family val="0"/>
        <charset val="1"/>
      </rPr>
      <t xml:space="preserve">JV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</si>
  <si>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持股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WenQuanYi Zen Hei"/>
        <family val="2"/>
      </rPr>
      <t xml:space="preserve">）</t>
    </r>
  </si>
  <si>
    <t xml:space="preserve">未揭露</t>
  </si>
  <si>
    <t xml:space="preserve">施工中；完工後起租</t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</si>
  <si>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：租金＝建造成本的一定比例，推定屬「按造價計租」</t>
    </r>
    <r>
      <rPr>
        <sz val="9"/>
        <color rgb="FF595959"/>
        <rFont val="Arial"/>
        <family val="0"/>
        <charset val="1"/>
      </rPr>
      <t xml:space="preserve">355 MW</t>
    </r>
  </si>
  <si>
    <r>
      <rPr>
        <sz val="9"/>
        <color rgb="FF595959"/>
        <rFont val="Arial"/>
        <family val="0"/>
        <charset val="1"/>
      </rPr>
      <t xml:space="preserve">10-Q Note 3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WenQuanYi Zen Hei"/>
        <family val="2"/>
      </rPr>
      <t xml:space="preserve">年租約、租金依建造成本計；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與金額未揭露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</si>
  <si>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具名站點合計</t>
  </si>
  <si>
    <r>
      <rPr>
        <sz val="9"/>
        <color rgb="FF595959"/>
        <rFont val="WenQuanYi Zen Hei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年租金＝具名站點的市場基準</t>
    </r>
  </si>
  <si>
    <r>
      <rPr>
        <b val="true"/>
        <sz val="10"/>
        <rFont val="WenQuanYi Zen Hei"/>
        <family val="2"/>
      </rPr>
      <t xml:space="preserve">對帳：具名站點 </t>
    </r>
    <r>
      <rPr>
        <b val="true"/>
        <sz val="10"/>
        <rFont val="Arial"/>
        <family val="0"/>
        <charset val="1"/>
      </rPr>
      <t xml:space="preserve">vs 10-Q </t>
    </r>
    <r>
      <rPr>
        <b val="true"/>
        <sz val="10"/>
        <rFont val="WenQuanYi Zen Hei"/>
        <family val="2"/>
      </rPr>
      <t xml:space="preserve">租賃承諾總額</t>
    </r>
  </si>
  <si>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在帳租賃（未折現，已起租）</t>
    </r>
  </si>
  <si>
    <r>
      <rPr>
        <sz val="9"/>
        <color rgb="FF595959"/>
        <rFont val="WenQuanYi Zen Hei"/>
        <family val="2"/>
      </rPr>
      <t xml:space="preserve">營業 </t>
    </r>
    <r>
      <rPr>
        <sz val="9"/>
        <color rgb="FF595959"/>
        <rFont val="Arial"/>
        <family val="0"/>
        <charset val="1"/>
      </rPr>
      <t xml:space="preserve">29.135</t>
    </r>
    <r>
      <rPr>
        <sz val="9"/>
        <color rgb="FF595959"/>
        <rFont val="WenQuanYi Zen Hei"/>
        <family val="2"/>
      </rPr>
      <t xml:space="preserve">＋融資 </t>
    </r>
    <r>
      <rPr>
        <sz val="9"/>
        <color rgb="FF595959"/>
        <rFont val="Arial"/>
        <family val="0"/>
        <charset val="1"/>
      </rPr>
      <t xml:space="preserve">0.235 [Verified]</t>
    </r>
  </si>
  <si>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未起租租賃（未折現）</t>
    </r>
  </si>
  <si>
    <r>
      <rPr>
        <sz val="9"/>
        <color rgb="FF595959"/>
        <rFont val="Arial"/>
        <family val="0"/>
        <charset val="1"/>
      </rPr>
      <t xml:space="preserve">2026–2029 </t>
    </r>
    <r>
      <rPr>
        <sz val="9"/>
        <color rgb="FF595959"/>
        <rFont val="WenQuanYi Zen Hei"/>
        <family val="2"/>
      </rPr>
      <t xml:space="preserve">起租、</t>
    </r>
    <r>
      <rPr>
        <sz val="9"/>
        <color rgb="FF595959"/>
        <rFont val="Arial"/>
        <family val="0"/>
        <charset val="1"/>
      </rPr>
      <t xml:space="preserve">7–16 </t>
    </r>
    <r>
      <rPr>
        <sz val="9"/>
        <color rgb="FF595959"/>
        <rFont val="WenQuanYi Zen Hei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</si>
  <si>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單站按造價計租上限</t>
    </r>
  </si>
  <si>
    <r>
      <rPr>
        <sz val="9"/>
        <color rgb="FF595959"/>
        <rFont val="WenQuanYi Zen Hei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Helios </t>
    </r>
    <r>
      <rPr>
        <sz val="9"/>
        <color rgb="FF595959"/>
        <rFont val="WenQuanYi Zen Hei"/>
        <family val="2"/>
      </rPr>
      <t xml:space="preserve">未交付 </t>
    </r>
    <r>
      <rPr>
        <sz val="9"/>
        <color rgb="FF595959"/>
        <rFont val="Arial"/>
        <family val="0"/>
        <charset val="1"/>
      </rPr>
      <t xml:space="preserve">393 MW [Verified]</t>
    </r>
  </si>
  <si>
    <r>
      <rPr>
        <b val="true"/>
        <sz val="10"/>
        <rFont val="Arial"/>
        <family val="0"/>
        <charset val="1"/>
      </rPr>
      <t xml:space="preserve">10-Q </t>
    </r>
    <r>
      <rPr>
        <b val="true"/>
        <sz val="10"/>
        <rFont val="WenQuanYi Zen Hei"/>
        <family val="2"/>
      </rPr>
      <t xml:space="preserve">已揭露租賃承諾合計</t>
    </r>
  </si>
  <si>
    <r>
      <rPr>
        <sz val="9"/>
        <color rgb="FF595959"/>
        <rFont val="WenQuanYi Zen Hei"/>
        <family val="2"/>
      </rPr>
      <t xml:space="preserve">另有 </t>
    </r>
    <r>
      <rPr>
        <sz val="9"/>
        <color rgb="FF595959"/>
        <rFont val="Arial"/>
        <family val="0"/>
        <charset val="1"/>
      </rPr>
      <t xml:space="preserve">355 MW </t>
    </r>
    <r>
      <rPr>
        <sz val="9"/>
        <color rgb="FF595959"/>
        <rFont val="WenQuanYi Zen Hei"/>
        <family val="2"/>
      </rPr>
      <t xml:space="preserve">按造價計租，金額未定，未含</t>
    </r>
  </si>
  <si>
    <t xml:space="preserve">減：具名站點合約總值</t>
  </si>
  <si>
    <t xml:space="preserve">＝ 未具名站點（殘差）</t>
  </si>
  <si>
    <r>
      <rPr>
        <sz val="9"/>
        <color rgb="FF595959"/>
        <rFont val="Arial"/>
        <family val="0"/>
        <charset val="1"/>
      </rPr>
      <t xml:space="preserve">43 </t>
    </r>
    <r>
      <rPr>
        <sz val="9"/>
        <color rgb="FF595959"/>
        <rFont val="WenQuanYi Zen Hei"/>
        <family val="2"/>
      </rPr>
      <t xml:space="preserve">座以上資料中心中未具名者（</t>
    </r>
    <r>
      <rPr>
        <sz val="9"/>
        <color rgb="FF595959"/>
        <rFont val="Arial"/>
        <family val="0"/>
        <charset val="1"/>
      </rPr>
      <t xml:space="preserve">Equinix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Switch </t>
    </r>
    <r>
      <rPr>
        <sz val="9"/>
        <color rgb="FF595959"/>
        <rFont val="WenQuanYi Zen Hei"/>
        <family val="2"/>
      </rPr>
      <t xml:space="preserve">等託管，以及其他房東）。殘差大是必然——公司不揭露逐站</t>
    </r>
  </si>
  <si>
    <r>
      <rPr>
        <sz val="10"/>
        <rFont val="WenQuanYi Zen Hei"/>
        <family val="2"/>
      </rPr>
      <t xml:space="preserve">殘差占 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總額</t>
    </r>
  </si>
  <si>
    <r>
      <rPr>
        <b val="true"/>
        <sz val="10"/>
        <rFont val="WenQuanYi Zen Hei"/>
        <family val="2"/>
      </rPr>
      <t xml:space="preserve">檢驗：模型租金路徑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在役 </t>
    </r>
    <r>
      <rPr>
        <b val="true"/>
        <sz val="10"/>
        <rFont val="Arial"/>
        <family val="0"/>
        <charset val="1"/>
      </rPr>
      <t xml:space="preserve">MW vs </t>
    </r>
    <r>
      <rPr>
        <b val="true"/>
        <sz val="10"/>
        <rFont val="WenQuanYi Zen Hei"/>
        <family val="2"/>
      </rPr>
      <t xml:space="preserve">市場基準</t>
    </r>
  </si>
  <si>
    <t xml:space="preserve">模型租金（在帳＋表外）</t>
  </si>
  <si>
    <r>
      <rPr>
        <sz val="10"/>
        <rFont val="WenQuanYi Zen Hei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Accepted</t>
    </r>
    <r>
      <rPr>
        <sz val="1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</si>
  <si>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模型每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年租金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</si>
  <si>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欄只含下半年租金、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取全年平均，略有低估</t>
    </r>
  </si>
  <si>
    <t xml:space="preserve">第三方租賃占比</t>
  </si>
  <si>
    <r>
      <rPr>
        <sz val="9"/>
        <color rgb="FF595959"/>
        <rFont val="WenQuanYi Zen Hei"/>
        <family val="2"/>
      </rPr>
      <t xml:space="preserve">其餘為自建／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Kenilworth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Lancaster</t>
    </r>
    <r>
      <rPr>
        <sz val="9"/>
        <color rgb="FF595959"/>
        <rFont val="WenQuanYi Zen Hei"/>
        <family val="2"/>
      </rPr>
      <t xml:space="preserve">），成本走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JV </t>
    </r>
    <r>
      <rPr>
        <sz val="9"/>
        <color rgb="FF595959"/>
        <rFont val="WenQuanYi Zen Hei"/>
        <family val="2"/>
      </rPr>
      <t xml:space="preserve">出資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</si>
  <si>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基準租金（</t>
    </r>
    <r>
      <rPr>
        <sz val="10"/>
        <rFont val="Arial"/>
        <family val="0"/>
        <charset val="1"/>
      </rPr>
      <t xml:space="preserve">MW×</t>
    </r>
    <r>
      <rPr>
        <sz val="10"/>
        <rFont val="WenQuanYi Zen Hei"/>
        <family val="2"/>
      </rPr>
      <t xml:space="preserve">市場基準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占比）</t>
    </r>
  </si>
  <si>
    <r>
      <rPr>
        <sz val="9"/>
        <color rgb="FF595959"/>
        <rFont val="WenQuanYi Zen Hei"/>
        <family val="2"/>
      </rPr>
      <t xml:space="preserve">若 </t>
    </r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WenQuanYi Zen Hei"/>
        <family val="2"/>
      </rPr>
      <t xml:space="preserve">多數比照 </t>
    </r>
    <r>
      <rPr>
        <sz val="9"/>
        <color rgb="FF595959"/>
        <rFont val="Arial"/>
        <family val="0"/>
        <charset val="1"/>
      </rPr>
      <t xml:space="preserve">Helios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APLD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CORZ </t>
    </r>
    <r>
      <rPr>
        <sz val="9"/>
        <color rgb="FF595959"/>
        <rFont val="WenQuanYi Zen Hei"/>
        <family val="2"/>
      </rPr>
      <t xml:space="preserve">的租金水準</t>
    </r>
  </si>
  <si>
    <t xml:space="preserve">差額（基準 − 模型）</t>
  </si>
  <si>
    <t xml:space="preserve">正值＝模型租金可能低估的金額</t>
  </si>
  <si>
    <t xml:space="preserve">五期差額合計</t>
  </si>
  <si>
    <r>
      <rPr>
        <b val="true"/>
        <sz val="14"/>
        <rFont val="WenQuanYi Zen Hei"/>
        <family val="2"/>
      </rPr>
      <t xml:space="preserve">債務明細 — </t>
    </r>
    <r>
      <rPr>
        <b val="true"/>
        <sz val="14"/>
        <rFont val="Arial"/>
        <family val="0"/>
        <charset val="1"/>
      </rPr>
      <t xml:space="preserve">10-Q Note 10</t>
    </r>
    <r>
      <rPr>
        <b val="true"/>
        <sz val="14"/>
        <rFont val="WenQuanYi Zen Hei"/>
        <family val="2"/>
      </rPr>
      <t xml:space="preserve">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WenQuanYi Zen Hei"/>
        <family val="2"/>
      </rPr>
      <t xml:space="preserve">）逐筆＋存量利息推導</t>
    </r>
  </si>
  <si>
    <r>
      <rPr>
        <sz val="9"/>
        <color rgb="FF595959"/>
        <rFont val="WenQuanYi Zen Hei"/>
        <family val="2"/>
      </rPr>
      <t xml:space="preserve">有效利率為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揭露值（含折價攤銷，四捨五入至整數 </t>
    </r>
    <r>
      <rPr>
        <sz val="9"/>
        <color rgb="FF595959"/>
        <rFont val="Arial"/>
        <family val="0"/>
        <charset val="1"/>
      </rPr>
      <t xml:space="preserve">%</t>
    </r>
    <r>
      <rPr>
        <sz val="9"/>
        <color rgb="FF595959"/>
        <rFont val="WenQuanYi Zen Hei"/>
        <family val="2"/>
      </rPr>
      <t xml:space="preserve">）。本頁算出的存量利息連回『輸入』頁，再進入支出與資金頁</t>
    </r>
  </si>
  <si>
    <t xml:space="preserve">工具</t>
  </si>
  <si>
    <t xml:space="preserve">類別</t>
  </si>
  <si>
    <t xml:space="preserve">到期</t>
  </si>
  <si>
    <t xml:space="preserve">有效利率</t>
  </si>
  <si>
    <r>
      <rPr>
        <b val="true"/>
        <sz val="11"/>
        <color rgb="FFFFFFFF"/>
        <rFont val="Arial"/>
        <family val="0"/>
        <charset val="1"/>
      </rPr>
      <t xml:space="preserve">6/30 </t>
    </r>
    <r>
      <rPr>
        <b val="true"/>
        <sz val="11"/>
        <color rgb="FFFFFFFF"/>
        <rFont val="WenQuanYi Zen Hei"/>
        <family val="2"/>
      </rPr>
      <t xml:space="preserve">本金</t>
    </r>
  </si>
  <si>
    <t xml:space="preserve">年化利息</t>
  </si>
  <si>
    <t xml:space="preserve">備註</t>
  </si>
  <si>
    <t xml:space="preserve">DDTL 1.0</t>
  </si>
  <si>
    <t xml:space="preserve">追索</t>
  </si>
  <si>
    <t xml:space="preserve">2028-03</t>
  </si>
  <si>
    <r>
      <rPr>
        <sz val="9"/>
        <color rgb="FF595959"/>
        <rFont val="WenQuanYi Zen Hei"/>
        <family val="2"/>
      </rPr>
      <t xml:space="preserve">資產層、隨客戶付款攤還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</si>
  <si>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DDTL 2.0</t>
  </si>
  <si>
    <t xml:space="preserve">2030-08</t>
  </si>
  <si>
    <t xml:space="preserve">DDTL 2.1</t>
  </si>
  <si>
    <t xml:space="preserve">2031-03</t>
  </si>
  <si>
    <t xml:space="preserve">DDTL 3.0</t>
  </si>
  <si>
    <t xml:space="preserve">DDTL 5.0</t>
  </si>
  <si>
    <t xml:space="preserve">2031-11</t>
  </si>
  <si>
    <r>
      <rPr>
        <sz val="9"/>
        <color rgb="FF595959"/>
        <rFont val="Arial"/>
        <family val="0"/>
        <charset val="1"/>
      </rPr>
      <t xml:space="preserve">SOFR+4.50%</t>
    </r>
    <r>
      <rPr>
        <sz val="9"/>
        <color rgb="FF595959"/>
        <rFont val="WenQuanYi Zen Hei"/>
        <family val="2"/>
      </rPr>
      <t xml:space="preserve">；額度 </t>
    </r>
    <r>
      <rPr>
        <sz val="9"/>
        <color rgb="FF595959"/>
        <rFont val="Arial"/>
        <family val="0"/>
        <charset val="1"/>
      </rPr>
      <t xml:space="preserve">3.1 [Verified]</t>
    </r>
  </si>
  <si>
    <t xml:space="preserve">2030 Senior Notes</t>
  </si>
  <si>
    <t xml:space="preserve">2030-06</t>
  </si>
  <si>
    <r>
      <rPr>
        <sz val="9"/>
        <color rgb="FF595959"/>
        <rFont val="WenQuanYi Zen Hei"/>
        <family val="2"/>
      </rPr>
      <t xml:space="preserve">到期一次還本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</si>
  <si>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2031 9.00% Senior Notes</t>
  </si>
  <si>
    <t xml:space="preserve">2031-02</t>
  </si>
  <si>
    <t xml:space="preserve">2031 9.75% Senior Notes</t>
  </si>
  <si>
    <t xml:space="preserve">2031-10</t>
  </si>
  <si>
    <r>
      <rPr>
        <sz val="9"/>
        <color rgb="FF595959"/>
        <rFont val="Arial"/>
        <family val="0"/>
        <charset val="1"/>
      </rPr>
      <t xml:space="preserve">2026-04 </t>
    </r>
    <r>
      <rPr>
        <sz val="9"/>
        <color rgb="FF595959"/>
        <rFont val="WenQuanYi Zen Hei"/>
        <family val="2"/>
      </rPr>
      <t xml:space="preserve">發行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</si>
  <si>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2032 9.625% Senior Notes</t>
  </si>
  <si>
    <t xml:space="preserve">2032-07</t>
  </si>
  <si>
    <r>
      <rPr>
        <sz val="9"/>
        <color rgb="FF595959"/>
        <rFont val="Arial"/>
        <family val="0"/>
        <charset val="1"/>
      </rPr>
      <t xml:space="preserve">2026-06 </t>
    </r>
    <r>
      <rPr>
        <sz val="9"/>
        <color rgb="FF595959"/>
        <rFont val="WenQuanYi Zen Hei"/>
        <family val="2"/>
      </rPr>
      <t xml:space="preserve">發行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</si>
  <si>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2032 EUR Senior Notes</t>
    </r>
    <r>
      <rPr>
        <sz val="10"/>
        <rFont val="WenQuanYi Zen Hei"/>
        <family val="2"/>
      </rPr>
      <t xml:space="preserve">（€</t>
    </r>
    <r>
      <rPr>
        <sz val="10"/>
        <rFont val="Arial"/>
        <family val="0"/>
        <charset val="1"/>
      </rPr>
      <t xml:space="preserve">2.0bn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</si>
  <si>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票面 </t>
    </r>
    <r>
      <rPr>
        <sz val="9"/>
        <color rgb="FF595959"/>
        <rFont val="Arial"/>
        <family val="0"/>
        <charset val="1"/>
      </rPr>
      <t xml:space="preserve">8.50%</t>
    </r>
    <r>
      <rPr>
        <sz val="9"/>
        <color rgb="FF595959"/>
        <rFont val="WenQuanYi Zen Hei"/>
        <family val="2"/>
      </rPr>
      <t xml:space="preserve">；已做換匯換利避險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</si>
  <si>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2031 </t>
    </r>
    <r>
      <rPr>
        <sz val="10"/>
        <rFont val="WenQuanYi Zen Hei"/>
        <family val="2"/>
      </rPr>
      <t xml:space="preserve">可轉債</t>
    </r>
  </si>
  <si>
    <t xml:space="preserve">2031-12</t>
  </si>
  <si>
    <r>
      <rPr>
        <sz val="10"/>
        <rFont val="Arial"/>
        <family val="0"/>
        <charset val="1"/>
      </rPr>
      <t xml:space="preserve">2032 </t>
    </r>
    <r>
      <rPr>
        <sz val="10"/>
        <rFont val="WenQuanYi Zen Hei"/>
        <family val="2"/>
      </rPr>
      <t xml:space="preserve">可轉債</t>
    </r>
  </si>
  <si>
    <t xml:space="preserve">2032-10</t>
  </si>
  <si>
    <r>
      <rPr>
        <sz val="9"/>
        <color rgb="FF595959"/>
        <rFont val="WenQuanYi Zen Hei"/>
        <family val="2"/>
      </rPr>
      <t xml:space="preserve">票面 </t>
    </r>
    <r>
      <rPr>
        <sz val="9"/>
        <color rgb="FF595959"/>
        <rFont val="Arial"/>
        <family val="0"/>
        <charset val="1"/>
      </rPr>
      <t xml:space="preserve">1.75%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2026-04 </t>
    </r>
    <r>
      <rPr>
        <sz val="9"/>
        <color rgb="FF595959"/>
        <rFont val="WenQuanYi Zen Hei"/>
        <family val="2"/>
      </rPr>
      <t xml:space="preserve">發行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</si>
  <si>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OEM </t>
    </r>
    <r>
      <rPr>
        <sz val="10"/>
        <rFont val="WenQuanYi Zen Hei"/>
        <family val="2"/>
      </rPr>
      <t xml:space="preserve">與軟體授權融資</t>
    </r>
  </si>
  <si>
    <r>
      <rPr>
        <sz val="9"/>
        <color rgb="FF595959"/>
        <rFont val="Arial"/>
        <family val="0"/>
        <charset val="1"/>
      </rPr>
      <t xml:space="preserve">2026-12</t>
    </r>
    <r>
      <rPr>
        <sz val="9"/>
        <color rgb="FF595959"/>
        <rFont val="WenQuanYi Zen Hei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2030-07</t>
    </r>
  </si>
  <si>
    <r>
      <rPr>
        <sz val="9"/>
        <color rgb="FF595959"/>
        <rFont val="WenQuanYi Zen Hei"/>
        <family val="2"/>
      </rPr>
      <t xml:space="preserve">短期部分加權 </t>
    </r>
    <r>
      <rPr>
        <sz val="9"/>
        <color rgb="FF595959"/>
        <rFont val="Arial"/>
        <family val="0"/>
        <charset val="1"/>
      </rPr>
      <t xml:space="preserve">9% [Verified]</t>
    </r>
  </si>
  <si>
    <t xml:space="preserve">Magnetar Loan</t>
  </si>
  <si>
    <t xml:space="preserve">2029-01</t>
  </si>
  <si>
    <t xml:space="preserve">DDTL 4.0</t>
  </si>
  <si>
    <t xml:space="preserve">非追索</t>
  </si>
  <si>
    <t xml:space="preserve">2032-03</t>
  </si>
  <si>
    <r>
      <rPr>
        <sz val="9"/>
        <color rgb="FF595959"/>
        <rFont val="Arial"/>
        <family val="0"/>
        <charset val="1"/>
      </rPr>
      <t xml:space="preserve">SOFR+2.25%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Treasury+2.00%</t>
    </r>
    <r>
      <rPr>
        <sz val="9"/>
        <color rgb="FF595959"/>
        <rFont val="WenQuanYi Zen Hei"/>
        <family val="2"/>
      </rPr>
      <t xml:space="preserve">；額度 </t>
    </r>
    <r>
      <rPr>
        <sz val="9"/>
        <color rgb="FF595959"/>
        <rFont val="Arial"/>
        <family val="0"/>
        <charset val="1"/>
      </rPr>
      <t xml:space="preserve">8.5</t>
    </r>
    <r>
      <rPr>
        <sz val="9"/>
        <color rgb="FF595959"/>
        <rFont val="WenQuanYi Zen Hei"/>
        <family val="2"/>
      </rPr>
      <t xml:space="preserve">，可動用至 </t>
    </r>
    <r>
      <rPr>
        <sz val="9"/>
        <color rgb="FF595959"/>
        <rFont val="Arial"/>
        <family val="0"/>
        <charset val="1"/>
      </rPr>
      <t xml:space="preserve">2027-06 [Verified]</t>
    </r>
  </si>
  <si>
    <r>
      <rPr>
        <sz val="10"/>
        <rFont val="Arial"/>
        <family val="0"/>
        <charset val="1"/>
      </rPr>
      <t xml:space="preserve">OEM </t>
    </r>
    <r>
      <rPr>
        <sz val="10"/>
        <rFont val="WenQuanYi Zen Hei"/>
        <family val="2"/>
      </rPr>
      <t xml:space="preserve">融資（非追索）</t>
    </r>
  </si>
  <si>
    <r>
      <rPr>
        <sz val="9"/>
        <color rgb="FF595959"/>
        <rFont val="Arial"/>
        <family val="0"/>
        <charset val="1"/>
      </rPr>
      <t xml:space="preserve">2026-08</t>
    </r>
    <r>
      <rPr>
        <sz val="9"/>
        <color rgb="FF595959"/>
        <rFont val="WenQuanYi Zen Hei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2028-08</t>
    </r>
  </si>
  <si>
    <r>
      <rPr>
        <b val="true"/>
        <sz val="10"/>
        <rFont val="WenQuanYi Zen Hei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6/30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</si>
  <si>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應等於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本金合計 </t>
    </r>
    <r>
      <rPr>
        <sz val="9"/>
        <color rgb="FF595959"/>
        <rFont val="Arial"/>
        <family val="0"/>
        <charset val="1"/>
      </rPr>
      <t xml:space="preserve">35.551</t>
    </r>
  </si>
  <si>
    <t xml:space="preserve">加權有效利率</t>
  </si>
  <si>
    <r>
      <rPr>
        <sz val="9"/>
        <color rgb="FF595959"/>
        <rFont val="WenQuanYi Zen Hei"/>
        <family val="2"/>
      </rPr>
      <t xml:space="preserve">公司 </t>
    </r>
    <r>
      <rPr>
        <sz val="9"/>
        <color rgb="FF595959"/>
        <rFont val="Arial"/>
        <family val="0"/>
        <charset val="1"/>
      </rPr>
      <t xml:space="preserve">9/17 </t>
    </r>
    <r>
      <rPr>
        <sz val="9"/>
        <color rgb="FF595959"/>
        <rFont val="WenQuanYi Zen Hei"/>
        <family val="2"/>
      </rPr>
      <t xml:space="preserve">簡報：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加權 </t>
    </r>
    <r>
      <rPr>
        <sz val="9"/>
        <color rgb="FF595959"/>
        <rFont val="Arial"/>
        <family val="0"/>
        <charset val="1"/>
      </rPr>
      <t xml:space="preserve">8.3%</t>
    </r>
    <r>
      <rPr>
        <sz val="9"/>
        <color rgb="FF595959"/>
        <rFont val="WenQuanYi Zen Hei"/>
        <family val="2"/>
      </rPr>
      <t xml:space="preserve">、含新可轉債 </t>
    </r>
    <r>
      <rPr>
        <sz val="9"/>
        <color rgb="FF595959"/>
        <rFont val="Arial"/>
        <family val="0"/>
        <charset val="1"/>
      </rPr>
      <t xml:space="preserve">pro forma 7.8%</t>
    </r>
    <r>
      <rPr>
        <sz val="9"/>
        <color rgb="FF595959"/>
        <rFont val="WenQuanYi Zen Hei"/>
        <family val="2"/>
      </rPr>
      <t xml:space="preserve">（該口徑用票面，本頁用有效利率）</t>
    </r>
  </si>
  <si>
    <r>
      <rPr>
        <sz val="10"/>
        <rFont val="Arial"/>
        <family val="0"/>
        <charset val="1"/>
      </rPr>
      <t xml:space="preserve">9/17 </t>
    </r>
    <r>
      <rPr>
        <sz val="10"/>
        <rFont val="WenQuanYi Zen Hei"/>
        <family val="2"/>
      </rPr>
      <t xml:space="preserve">期後：</t>
    </r>
    <r>
      <rPr>
        <sz val="10"/>
        <rFont val="Arial"/>
        <family val="0"/>
        <charset val="1"/>
      </rPr>
      <t xml:space="preserve">2033 </t>
    </r>
    <r>
      <rPr>
        <sz val="10"/>
        <rFont val="WenQuanYi Zen Hei"/>
        <family val="2"/>
      </rPr>
      <t xml:space="preserve">可轉債</t>
    </r>
  </si>
  <si>
    <r>
      <rPr>
        <sz val="9"/>
        <color rgb="FF595959"/>
        <rFont val="WenQuanYi Zen Hei"/>
        <family val="2"/>
      </rPr>
      <t xml:space="preserve">轉換價 </t>
    </r>
    <r>
      <rPr>
        <sz val="9"/>
        <color rgb="FF595959"/>
        <rFont val="Arial"/>
        <family val="0"/>
        <charset val="1"/>
      </rPr>
      <t xml:space="preserve">$97.85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2033 </t>
    </r>
    <r>
      <rPr>
        <sz val="9"/>
        <color rgb="FF595959"/>
        <rFont val="WenQuanYi Zen Hei"/>
        <family val="2"/>
      </rPr>
      <t xml:space="preserve">到期，不在五期還本表內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</si>
  <si>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b val="true"/>
        <sz val="10"/>
        <rFont val="WenQuanYi Zen Hei"/>
        <family val="2"/>
      </rPr>
      <t xml:space="preserve">存量利息推導（本金依 </t>
    </r>
    <r>
      <rPr>
        <b val="true"/>
        <sz val="10"/>
        <rFont val="Arial"/>
        <family val="0"/>
        <charset val="1"/>
      </rPr>
      <t xml:space="preserve">10-Q </t>
    </r>
    <r>
      <rPr>
        <b val="true"/>
        <sz val="10"/>
        <rFont val="WenQuanYi Zen Hei"/>
        <family val="2"/>
      </rPr>
      <t xml:space="preserve">到期表遞減）</t>
    </r>
  </si>
  <si>
    <t xml:space="preserve">期初本金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</si>
  <si>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期初為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本金（模型期起點）</t>
    </r>
  </si>
  <si>
    <t xml:space="preserve">排程還本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</si>
  <si>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到期表</t>
    </r>
  </si>
  <si>
    <t xml:space="preserve">期末本金</t>
  </si>
  <si>
    <t xml:space="preserve">平均本金</t>
  </si>
  <si>
    <t xml:space="preserve">存量債務利息</t>
  </si>
  <si>
    <r>
      <rPr>
        <sz val="9"/>
        <color rgb="FF595959"/>
        <rFont val="WenQuanYi Zen Hei"/>
        <family val="2"/>
      </rPr>
      <t xml:space="preserve">＝平均本金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期間長度。限制：假設利率組合不變（實際上 </t>
    </r>
    <r>
      <rPr>
        <sz val="9"/>
        <color rgb="FF595959"/>
        <rFont val="Arial"/>
        <family val="0"/>
        <charset val="1"/>
      </rPr>
      <t xml:space="preserve">15%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DDTL 1.0 </t>
    </r>
    <r>
      <rPr>
        <sz val="9"/>
        <color rgb="FF595959"/>
        <rFont val="WenQuanYi Zen Hei"/>
        <family val="2"/>
      </rPr>
      <t xml:space="preserve">先到期，後期利率會略降）</t>
    </r>
  </si>
  <si>
    <r>
      <rPr>
        <sz val="10"/>
        <rFont val="Arial"/>
        <family val="0"/>
        <charset val="1"/>
      </rPr>
      <t xml:space="preserve">9/17 </t>
    </r>
    <r>
      <rPr>
        <sz val="10"/>
        <rFont val="WenQuanYi Zen Hei"/>
        <family val="2"/>
      </rPr>
      <t xml:space="preserve">可轉債利息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</si>
  <si>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新增借款利息校準</t>
    </r>
  </si>
  <si>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指引 </t>
    </r>
    <r>
      <rPr>
        <sz val="9"/>
        <color rgb="FF595959"/>
        <rFont val="Arial"/>
        <family val="0"/>
        <charset val="1"/>
      </rPr>
      <t xml:space="preserve">0.86–0.94</t>
    </r>
    <r>
      <rPr>
        <sz val="9"/>
        <color rgb="FF595959"/>
        <rFont val="WenQuanYi Zen Hei"/>
        <family val="2"/>
      </rPr>
      <t xml:space="preserve">／季含 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新動用的 </t>
    </r>
    <r>
      <rPr>
        <sz val="9"/>
        <color rgb="FF595959"/>
        <rFont val="Arial"/>
        <family val="0"/>
        <charset val="1"/>
      </rPr>
      <t xml:space="preserve">DDTL</t>
    </r>
    <r>
      <rPr>
        <sz val="9"/>
        <color rgb="FF595959"/>
        <rFont val="WenQuanYi Zen Hei"/>
        <family val="2"/>
      </rPr>
      <t xml:space="preserve">；存量推算約 </t>
    </r>
    <r>
      <rPr>
        <sz val="9"/>
        <color rgb="FF595959"/>
        <rFont val="Arial"/>
        <family val="0"/>
        <charset val="1"/>
      </rPr>
      <t xml:space="preserve">0.73</t>
    </r>
    <r>
      <rPr>
        <sz val="9"/>
        <color rgb="FF595959"/>
        <rFont val="WenQuanYi Zen Hei"/>
        <family val="2"/>
      </rPr>
      <t xml:space="preserve">／季，差額</t>
    </r>
    <r>
      <rPr>
        <sz val="9"/>
        <color rgb="FF595959"/>
        <rFont val="Arial"/>
        <family val="0"/>
        <charset val="1"/>
      </rPr>
      <t xml:space="preserve">×2 </t>
    </r>
    <r>
      <rPr>
        <sz val="9"/>
        <color rgb="FF595959"/>
        <rFont val="WenQuanYi Zen Hei"/>
        <family val="2"/>
      </rPr>
      <t xml:space="preserve">季≈</t>
    </r>
    <r>
      <rPr>
        <sz val="9"/>
        <color rgb="FF595959"/>
        <rFont val="Arial"/>
        <family val="0"/>
        <charset val="1"/>
      </rPr>
      <t xml:space="preserve">0.35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起新增借款改由瀑布新債利息承接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</si>
  <si>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存量利息合計（連回輸入頁）</t>
  </si>
  <si>
    <r>
      <rPr>
        <sz val="9"/>
        <color rgb="FF595959"/>
        <rFont val="Arial"/>
        <family val="0"/>
        <charset val="1"/>
      </rPr>
      <t xml:space="preserve">v1.4 </t>
    </r>
    <r>
      <rPr>
        <sz val="9"/>
        <color rgb="FF595959"/>
        <rFont val="WenQuanYi Zen Hei"/>
        <family val="2"/>
      </rPr>
      <t xml:space="preserve">手動值為 </t>
    </r>
    <r>
      <rPr>
        <sz val="9"/>
        <color rgb="FF595959"/>
        <rFont val="Arial"/>
        <family val="0"/>
        <charset val="1"/>
      </rPr>
      <t xml:space="preserve">1.8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2.7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1.8</t>
    </r>
  </si>
  <si>
    <t xml:space="preserve">新債與新股（類資產負債表：現金、債務、股本、槓桿）</t>
  </si>
  <si>
    <r>
      <rPr>
        <sz val="9"/>
        <color rgb="FF595959"/>
        <rFont val="WenQuanYi Zen Hei"/>
        <family val="2"/>
      </rPr>
      <t xml:space="preserve">全部為連結公式。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欄的現金自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WenQuanYi Zen Hei"/>
        <family val="2"/>
      </rPr>
      <t xml:space="preserve">起算（模型期），與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WenQuanYi Zen Hei"/>
        <family val="2"/>
      </rPr>
      <t xml:space="preserve">『資產與負債 → 新債與新股』同口徑</t>
    </r>
  </si>
  <si>
    <t xml:space="preserve">現金</t>
  </si>
  <si>
    <t xml:space="preserve">期初現金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</si>
  <si>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現金（模型期起點）</t>
    </r>
  </si>
  <si>
    <r>
      <rPr>
        <sz val="10"/>
        <rFont val="WenQuanYi Zen Hei"/>
        <family val="2"/>
      </rPr>
      <t xml:space="preserve">營運收支淨額（含 </t>
    </r>
    <r>
      <rPr>
        <sz val="10"/>
        <rFont val="Arial"/>
        <family val="0"/>
        <charset val="1"/>
      </rPr>
      <t xml:space="preserve">9/17 </t>
    </r>
    <r>
      <rPr>
        <sz val="10"/>
        <rFont val="WenQuanYi Zen Hei"/>
        <family val="2"/>
      </rPr>
      <t xml:space="preserve">可轉債／</t>
    </r>
    <r>
      <rPr>
        <sz val="10"/>
        <rFont val="Arial"/>
        <family val="0"/>
        <charset val="1"/>
      </rPr>
      <t xml:space="preserve">ATM</t>
    </r>
    <r>
      <rPr>
        <sz val="10"/>
        <rFont val="WenQuanYi Zen Hei"/>
        <family val="2"/>
      </rPr>
      <t xml:space="preserve">，不含瀑布）</t>
    </r>
  </si>
  <si>
    <t xml:space="preserve">＝融資前累積現金的當期變動；負值即當期外部資金需求</t>
  </si>
  <si>
    <t xml:space="preserve">＋ 瀑布：新債（額度＋資產層）</t>
  </si>
  <si>
    <t xml:space="preserve">＋ 瀑布：高息債</t>
  </si>
  <si>
    <t xml:space="preserve">＋ 瀑布：股權募資</t>
  </si>
  <si>
    <t xml:space="preserve">− 新融資利息（新債＋高息債）</t>
  </si>
  <si>
    <t xml:space="preserve">期末現金</t>
  </si>
  <si>
    <t xml:space="preserve">應等於『各期收支』期末累積現金（見下列驗算）</t>
  </si>
  <si>
    <t xml:space="preserve">　驗算：與各期收支期末現金差異</t>
  </si>
  <si>
    <r>
      <rPr>
        <sz val="9"/>
        <color rgb="FF595959"/>
        <rFont val="WenQuanYi Zen Hei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</si>
  <si>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債務</t>
  </si>
  <si>
    <r>
      <rPr>
        <sz val="10"/>
        <rFont val="WenQuanYi Zen Hei"/>
        <family val="2"/>
      </rPr>
      <t xml:space="preserve">既有債務期初（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本金）</t>
    </r>
  </si>
  <si>
    <t xml:space="preserve">− 排程還本（模型期）</t>
  </si>
  <si>
    <t xml:space="preserve">既有債務期末</t>
  </si>
  <si>
    <r>
      <rPr>
        <sz val="9"/>
        <color rgb="FF595959"/>
        <rFont val="WenQuanYi Zen Hei"/>
        <family val="2"/>
      </rPr>
      <t xml:space="preserve">＝依到期表遞減（關閉攤還時維持 </t>
    </r>
    <r>
      <rPr>
        <sz val="9"/>
        <color rgb="FF595959"/>
        <rFont val="Arial"/>
        <family val="0"/>
        <charset val="1"/>
      </rPr>
      <t xml:space="preserve">35.551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</si>
  <si>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＋ </t>
    </r>
    <r>
      <rPr>
        <sz val="10"/>
        <rFont val="Arial"/>
        <family val="0"/>
        <charset val="1"/>
      </rPr>
      <t xml:space="preserve">9/17 </t>
    </r>
    <r>
      <rPr>
        <sz val="10"/>
        <rFont val="WenQuanYi Zen Hei"/>
        <family val="2"/>
      </rPr>
      <t xml:space="preserve">可轉債（</t>
    </r>
    <r>
      <rPr>
        <sz val="10"/>
        <rFont val="Arial"/>
        <family val="0"/>
        <charset val="1"/>
      </rPr>
      <t xml:space="preserve">2033 </t>
    </r>
    <r>
      <rPr>
        <sz val="10"/>
        <rFont val="WenQuanYi Zen Hei"/>
        <family val="2"/>
      </rPr>
      <t xml:space="preserve">到期）</t>
    </r>
  </si>
  <si>
    <t xml:space="preserve">＋ 瀑布新債餘額</t>
  </si>
  <si>
    <t xml:space="preserve">＋ 高息債餘額</t>
  </si>
  <si>
    <t xml:space="preserve">總債務</t>
  </si>
  <si>
    <t xml:space="preserve">應等於『各期收支』期末總債務</t>
  </si>
  <si>
    <t xml:space="preserve">淨負債（總債務 − 期末現金）</t>
  </si>
  <si>
    <t xml:space="preserve">股本</t>
  </si>
  <si>
    <r>
      <rPr>
        <sz val="10"/>
        <rFont val="WenQuanYi Zen Hei"/>
        <family val="2"/>
      </rPr>
      <t xml:space="preserve">基礎股數（含 </t>
    </r>
    <r>
      <rPr>
        <sz val="10"/>
        <rFont val="Arial"/>
        <family val="0"/>
        <charset val="1"/>
      </rPr>
      <t xml:space="preserve">ATM </t>
    </r>
    <r>
      <rPr>
        <sz val="10"/>
        <rFont val="WenQuanYi Zen Hei"/>
        <family val="2"/>
      </rPr>
      <t xml:space="preserve">上限、</t>
    </r>
    <r>
      <rPr>
        <sz val="10"/>
        <rFont val="Arial"/>
        <family val="0"/>
        <charset val="1"/>
      </rPr>
      <t xml:space="preserve">SBC </t>
    </r>
    <r>
      <rPr>
        <sz val="10"/>
        <rFont val="WenQuanYi Zen Hei"/>
        <family val="2"/>
      </rPr>
      <t xml:space="preserve">稀釋）</t>
    </r>
  </si>
  <si>
    <t xml:space="preserve">＋ 本期新股</t>
  </si>
  <si>
    <t xml:space="preserve">總股數（期末）</t>
  </si>
  <si>
    <t xml:space="preserve">＝基礎股數＋累計新股</t>
  </si>
  <si>
    <t xml:space="preserve">槓桿</t>
  </si>
  <si>
    <r>
      <rPr>
        <sz val="10"/>
        <rFont val="WenQuanYi Zen Hei"/>
        <family val="2"/>
      </rPr>
      <t xml:space="preserve">總債務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</si>
  <si>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WenQuanYi Zen Hei"/>
        <family val="2"/>
      </rPr>
      <t xml:space="preserve">高息債不受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WenQuanYi Zen Hei"/>
        <family val="2"/>
      </rPr>
      <t xml:space="preserve">上限約束</t>
    </r>
  </si>
  <si>
    <r>
      <rPr>
        <sz val="10"/>
        <rFont val="WenQuanYi Zen Hei"/>
        <family val="2"/>
      </rPr>
      <t xml:space="preserve">總債務 </t>
    </r>
    <r>
      <rPr>
        <sz val="10"/>
        <rFont val="Arial"/>
        <family val="0"/>
        <charset val="1"/>
      </rPr>
      <t xml:space="preserve">÷ EBITDA</t>
    </r>
    <r>
      <rPr>
        <sz val="10"/>
        <rFont val="WenQuanYi Zen Hei"/>
        <family val="2"/>
      </rPr>
      <t xml:space="preserve">（年化）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</si>
  <si>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模型期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以半年</t>
    </r>
    <r>
      <rPr>
        <sz val="9"/>
        <color rgb="FF595959"/>
        <rFont val="Arial"/>
        <family val="0"/>
        <charset val="1"/>
      </rPr>
      <t xml:space="preserve">×2 </t>
    </r>
    <r>
      <rPr>
        <sz val="9"/>
        <color rgb="FF595959"/>
        <rFont val="WenQuanYi Zen Hei"/>
        <family val="2"/>
      </rPr>
      <t xml:space="preserve">年化</t>
    </r>
  </si>
  <si>
    <r>
      <rPr>
        <b val="true"/>
        <sz val="14"/>
        <rFont val="WenQuanYi Zen Hei"/>
        <family val="2"/>
      </rPr>
      <t xml:space="preserve">租賃與承諾 — </t>
    </r>
    <r>
      <rPr>
        <b val="true"/>
        <sz val="14"/>
        <rFont val="Arial"/>
        <family val="0"/>
        <charset val="1"/>
      </rPr>
      <t xml:space="preserve">10-Q</t>
    </r>
    <r>
      <rPr>
        <b val="true"/>
        <sz val="14"/>
        <rFont val="WenQuanYi Zen Hei"/>
        <family val="2"/>
      </rPr>
      <t xml:space="preserve">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WenQuanYi Zen Hei"/>
        <family val="2"/>
      </rPr>
      <t xml:space="preserve">）原始揭露</t>
    </r>
  </si>
  <si>
    <t xml:space="preserve">本頁為硬編碼的申報數字（藍字），支出與資金頁的租金與還本列由此而來</t>
  </si>
  <si>
    <t xml:space="preserve">在帳租賃到期表（未折現）</t>
  </si>
  <si>
    <r>
      <rPr>
        <b val="true"/>
        <sz val="11"/>
        <color rgb="FFFFFFFF"/>
        <rFont val="Arial"/>
        <family val="0"/>
        <charset val="1"/>
      </rPr>
      <t xml:space="preserve">2026 </t>
    </r>
    <r>
      <rPr>
        <b val="true"/>
        <sz val="11"/>
        <color rgb="FFFFFFFF"/>
        <rFont val="WenQuanYi Zen Hei"/>
        <family val="2"/>
      </rPr>
      <t xml:space="preserve">下半</t>
    </r>
  </si>
  <si>
    <t xml:space="preserve">2027</t>
  </si>
  <si>
    <t xml:space="preserve">2028</t>
  </si>
  <si>
    <t xml:space="preserve">2029</t>
  </si>
  <si>
    <t xml:space="preserve">2030</t>
  </si>
  <si>
    <t xml:space="preserve">其後</t>
  </si>
  <si>
    <t xml:space="preserve">營業租賃付款</t>
  </si>
  <si>
    <t xml:space="preserve">融資租賃付款</t>
  </si>
  <si>
    <t xml:space="preserve">合計（＝支出頁「在帳現金租金」）</t>
  </si>
  <si>
    <r>
      <rPr>
        <sz val="9"/>
        <color rgb="FF595959"/>
        <rFont val="WenQuanYi Zen Hei"/>
        <family val="2"/>
      </rPr>
      <t xml:space="preserve">營業租賃負債現值 </t>
    </r>
    <r>
      <rPr>
        <sz val="9"/>
        <color rgb="FF595959"/>
        <rFont val="Arial"/>
        <family val="0"/>
        <charset val="1"/>
      </rPr>
      <t xml:space="preserve">16.319</t>
    </r>
    <r>
      <rPr>
        <sz val="9"/>
        <color rgb="FF595959"/>
        <rFont val="WenQuanYi Zen Hei"/>
        <family val="2"/>
      </rPr>
      <t xml:space="preserve">、融資租賃 </t>
    </r>
    <r>
      <rPr>
        <sz val="9"/>
        <color rgb="FF595959"/>
        <rFont val="Arial"/>
        <family val="0"/>
        <charset val="1"/>
      </rPr>
      <t xml:space="preserve">0.221</t>
    </r>
    <r>
      <rPr>
        <sz val="9"/>
        <color rgb="FF595959"/>
        <rFont val="WenQuanYi Zen Hei"/>
        <family val="2"/>
      </rPr>
      <t xml:space="preserve">；加權剩餘租期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WenQuanYi Zen Hei"/>
        <family val="2"/>
      </rPr>
      <t xml:space="preserve">年、折現率 </t>
    </r>
    <r>
      <rPr>
        <sz val="9"/>
        <color rgb="FF595959"/>
        <rFont val="Arial"/>
        <family val="0"/>
        <charset val="1"/>
      </rPr>
      <t xml:space="preserve">10% [Verified]</t>
    </r>
  </si>
  <si>
    <t xml:space="preserve">債務本金到期表</t>
  </si>
  <si>
    <t xml:space="preserve">本金（＝支出頁「排程還本」）</t>
  </si>
  <si>
    <r>
      <rPr>
        <sz val="9"/>
        <color rgb="FF595959"/>
        <rFont val="WenQuanYi Zen Hei"/>
        <family val="2"/>
      </rPr>
      <t xml:space="preserve">本金合計 </t>
    </r>
    <r>
      <rPr>
        <sz val="9"/>
        <color rgb="FF595959"/>
        <rFont val="Arial"/>
        <family val="0"/>
        <charset val="1"/>
      </rPr>
      <t xml:space="preserve">35.551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DDTL 13.6</t>
    </r>
    <r>
      <rPr>
        <sz val="9"/>
        <color rgb="FF595959"/>
        <rFont val="WenQuanYi Zen Hei"/>
        <family val="2"/>
      </rPr>
      <t xml:space="preserve">、票據 </t>
    </r>
    <r>
      <rPr>
        <sz val="9"/>
        <color rgb="FF595959"/>
        <rFont val="Arial"/>
        <family val="0"/>
        <charset val="1"/>
      </rPr>
      <t xml:space="preserve">16.6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OEM 5.1 </t>
    </r>
    <r>
      <rPr>
        <sz val="9"/>
        <color rgb="FF595959"/>
        <rFont val="WenQuanYi Zen Hei"/>
        <family val="2"/>
      </rPr>
      <t xml:space="preserve">等）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</si>
  <si>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合計</t>
  </si>
  <si>
    <t xml:space="preserve">表外與契約性承諾（未入表）</t>
  </si>
  <si>
    <t xml:space="preserve">金額</t>
  </si>
  <si>
    <t xml:space="preserve">時程</t>
  </si>
  <si>
    <t xml:space="preserve">入表？</t>
  </si>
  <si>
    <t xml:space="preserve">模型位置</t>
  </si>
  <si>
    <t xml:space="preserve">未起租租賃（未折現）</t>
  </si>
  <si>
    <r>
      <rPr>
        <sz val="9"/>
        <color rgb="FF595959"/>
        <rFont val="Arial"/>
        <family val="0"/>
        <charset val="1"/>
      </rPr>
      <t xml:space="preserve">2026–2029 </t>
    </r>
    <r>
      <rPr>
        <sz val="9"/>
        <color rgb="FF595959"/>
        <rFont val="WenQuanYi Zen Hei"/>
        <family val="2"/>
      </rPr>
      <t xml:space="preserve">起租，</t>
    </r>
    <r>
      <rPr>
        <sz val="9"/>
        <color rgb="FF595959"/>
        <rFont val="Arial"/>
        <family val="0"/>
        <charset val="1"/>
      </rPr>
      <t xml:space="preserve">7–16 </t>
    </r>
    <r>
      <rPr>
        <sz val="9"/>
        <color rgb="FF595959"/>
        <rFont val="WenQuanYi Zen Hei"/>
        <family val="2"/>
      </rPr>
      <t xml:space="preserve">年</t>
    </r>
  </si>
  <si>
    <t xml:space="preserve">否</t>
  </si>
  <si>
    <t xml:space="preserve">表外現金租金</t>
  </si>
  <si>
    <t xml:space="preserve">單站按造價計租，上限</t>
  </si>
  <si>
    <r>
      <rPr>
        <sz val="9"/>
        <color rgb="FF595959"/>
        <rFont val="Arial"/>
        <family val="0"/>
        <charset val="1"/>
      </rPr>
      <t xml:space="preserve">393 MW </t>
    </r>
    <r>
      <rPr>
        <sz val="9"/>
        <color rgb="FF595959"/>
        <rFont val="WenQuanYi Zen Hei"/>
        <family val="2"/>
      </rPr>
      <t xml:space="preserve">未交付，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WenQuanYi Zen Hei"/>
        <family val="2"/>
      </rPr>
      <t xml:space="preserve">年</t>
    </r>
  </si>
  <si>
    <r>
      <rPr>
        <sz val="10"/>
        <rFont val="WenQuanYi Zen Hei"/>
        <family val="2"/>
      </rPr>
      <t xml:space="preserve">按造價計租，</t>
    </r>
    <r>
      <rPr>
        <sz val="10"/>
        <rFont val="Arial"/>
        <family val="0"/>
        <charset val="1"/>
      </rPr>
      <t xml:space="preserve">355 MW</t>
    </r>
  </si>
  <si>
    <t xml:space="preserve">未定</t>
  </si>
  <si>
    <r>
      <rPr>
        <sz val="9"/>
        <color rgb="FF595959"/>
        <rFont val="Arial"/>
        <family val="0"/>
        <charset val="1"/>
      </rPr>
      <t xml:space="preserve">2026–2028 </t>
    </r>
    <r>
      <rPr>
        <sz val="9"/>
        <color rgb="FF595959"/>
        <rFont val="WenQuanYi Zen Hei"/>
        <family val="2"/>
      </rPr>
      <t xml:space="preserve">分期，金額未定</t>
    </r>
  </si>
  <si>
    <t xml:space="preserve">承租人自備設備承諾</t>
  </si>
  <si>
    <r>
      <rPr>
        <sz val="9"/>
        <color rgb="FF595959"/>
        <rFont val="Arial"/>
        <family val="0"/>
        <charset val="1"/>
      </rPr>
      <t xml:space="preserve">0.5–1.2</t>
    </r>
    <r>
      <rPr>
        <sz val="9"/>
        <color rgb="FF595959"/>
        <rFont val="WenQuanYi Zen Hei"/>
        <family val="2"/>
      </rPr>
      <t xml:space="preserve">，分期至 </t>
    </r>
    <r>
      <rPr>
        <sz val="9"/>
        <color rgb="FF595959"/>
        <rFont val="Arial"/>
        <family val="0"/>
        <charset val="1"/>
      </rPr>
      <t xml:space="preserve">2028</t>
    </r>
  </si>
  <si>
    <r>
      <rPr>
        <sz val="9"/>
        <color rgb="FF595959"/>
        <rFont val="WenQuanYi Zen Hei"/>
        <family val="2"/>
      </rPr>
      <t xml:space="preserve">併入毛 </t>
    </r>
    <r>
      <rPr>
        <sz val="9"/>
        <color rgb="FF595959"/>
        <rFont val="Arial"/>
        <family val="0"/>
        <charset val="1"/>
      </rPr>
      <t xml:space="preserve">CapEx</t>
    </r>
  </si>
  <si>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出資承諾</t>
    </r>
  </si>
  <si>
    <r>
      <rPr>
        <sz val="9"/>
        <color rgb="FF595959"/>
        <rFont val="WenQuanYi Zen Hei"/>
        <family val="2"/>
      </rPr>
      <t xml:space="preserve">已付 </t>
    </r>
    <r>
      <rPr>
        <sz val="9"/>
        <color rgb="FF595959"/>
        <rFont val="Arial"/>
        <family val="0"/>
        <charset val="1"/>
      </rPr>
      <t xml:space="preserve">0.55</t>
    </r>
  </si>
  <si>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WenQuanYi Zen Hei"/>
        <family val="2"/>
      </rPr>
      <t xml:space="preserve">／策略投資出資</t>
    </r>
  </si>
  <si>
    <r>
      <rPr>
        <sz val="10"/>
        <rFont val="Arial"/>
        <family val="0"/>
        <charset val="1"/>
      </rPr>
      <t xml:space="preserve">VIE </t>
    </r>
    <r>
      <rPr>
        <sz val="10"/>
        <rFont val="WenQuanYi Zen Hei"/>
        <family val="2"/>
      </rPr>
      <t xml:space="preserve">最大損失暴露</t>
    </r>
  </si>
  <si>
    <t xml:space="preserve">—</t>
  </si>
  <si>
    <t xml:space="preserve">不另列</t>
  </si>
  <si>
    <r>
      <rPr>
        <sz val="10"/>
        <rFont val="WenQuanYi Zen Hei"/>
        <family val="2"/>
      </rPr>
      <t xml:space="preserve">可用信用額度（</t>
    </r>
    <r>
      <rPr>
        <sz val="10"/>
        <rFont val="Arial"/>
        <family val="0"/>
        <charset val="1"/>
      </rPr>
      <t xml:space="preserve">RCF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DDTL </t>
    </r>
    <r>
      <rPr>
        <sz val="10"/>
        <rFont val="WenQuanYi Zen Hei"/>
        <family val="2"/>
      </rPr>
      <t xml:space="preserve">未動用）</t>
    </r>
  </si>
  <si>
    <r>
      <rPr>
        <sz val="9"/>
        <color rgb="FF595959"/>
        <rFont val="Arial"/>
        <family val="0"/>
        <charset val="1"/>
      </rPr>
      <t xml:space="preserve">DDTL 4.0 </t>
    </r>
    <r>
      <rPr>
        <sz val="9"/>
        <color rgb="FF595959"/>
        <rFont val="WenQuanYi Zen Hei"/>
        <family val="2"/>
      </rPr>
      <t xml:space="preserve">可動用至 </t>
    </r>
    <r>
      <rPr>
        <sz val="9"/>
        <color rgb="FF595959"/>
        <rFont val="Arial"/>
        <family val="0"/>
        <charset val="1"/>
      </rPr>
      <t xml:space="preserve">2027-06</t>
    </r>
  </si>
  <si>
    <t xml:space="preserve">否（來源）</t>
  </si>
  <si>
    <t xml:space="preserve">選用開關</t>
  </si>
  <si>
    <t xml:space="preserve">已揭露金額之承諾合計（未起租＋單站上限）</t>
  </si>
  <si>
    <t xml:space="preserve">模型表外租金五期合計</t>
  </si>
  <si>
    <r>
      <rPr>
        <sz val="10"/>
        <rFont val="WenQuanYi Zen Hei"/>
        <family val="2"/>
      </rPr>
      <t xml:space="preserve">模型表外租金尾端（</t>
    </r>
    <r>
      <rPr>
        <sz val="10"/>
        <rFont val="Arial"/>
        <family val="0"/>
        <charset val="1"/>
      </rPr>
      <t xml:space="preserve">FY30×12 </t>
    </r>
    <r>
      <rPr>
        <sz val="10"/>
        <rFont val="WenQuanYi Zen Hei"/>
        <family val="2"/>
      </rPr>
      <t xml:space="preserve">年）</t>
    </r>
  </si>
  <si>
    <r>
      <rPr>
        <b val="true"/>
        <sz val="10"/>
        <rFont val="WenQuanYi Zen Hei"/>
        <family val="2"/>
      </rPr>
      <t xml:space="preserve">模型路徑合計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已承諾（≥</t>
    </r>
    <r>
      <rPr>
        <b val="true"/>
        <sz val="10"/>
        <rFont val="Arial"/>
        <family val="0"/>
        <charset val="1"/>
      </rPr>
      <t xml:space="preserve">0.8 </t>
    </r>
    <r>
      <rPr>
        <b val="true"/>
        <sz val="10"/>
        <rFont val="WenQuanYi Zen Hei"/>
        <family val="2"/>
      </rPr>
      <t xml:space="preserve">為合理）</t>
    </r>
  </si>
  <si>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WenQuanYi Zen Hei"/>
        <family val="2"/>
      </rPr>
      <t xml:space="preserve">路徑所需新租約多數尚未簽署，路徑高於已承諾屬假設而非錯誤</t>
    </r>
  </si>
  <si>
    <t xml:space="preserve">損益（類損益表）— 與資金模型同一組收入</t>
  </si>
  <si>
    <r>
      <rPr>
        <sz val="9"/>
        <color rgb="FF595959"/>
        <rFont val="WenQuanYi Zen Hei"/>
        <family val="2"/>
      </rPr>
      <t xml:space="preserve">算力收入、</t>
    </r>
    <r>
      <rPr>
        <sz val="9"/>
        <color rgb="FF595959"/>
        <rFont val="Arial"/>
        <family val="0"/>
        <charset val="1"/>
      </rPr>
      <t xml:space="preserve">Cash CapEx</t>
    </r>
    <r>
      <rPr>
        <sz val="9"/>
        <color rgb="FF595959"/>
        <rFont val="WenQuanYi Zen Hei"/>
        <family val="2"/>
      </rPr>
      <t xml:space="preserve">、利息皆由前面分頁連結而來；改資金假設，此頁會跟著動</t>
    </r>
  </si>
  <si>
    <t xml:space="preserve">損益表</t>
  </si>
  <si>
    <t xml:space="preserve">算力收入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</si>
  <si>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轉換＋新簽約</t>
    </r>
  </si>
  <si>
    <t xml:space="preserve">非算力服務</t>
  </si>
  <si>
    <t xml:space="preserve">總營收</t>
  </si>
  <si>
    <r>
      <rPr>
        <sz val="10"/>
        <rFont val="WenQuanYi Zen Hei"/>
        <family val="2"/>
      </rPr>
      <t xml:space="preserve">營業利益（</t>
    </r>
    <r>
      <rPr>
        <sz val="10"/>
        <rFont val="Arial"/>
        <family val="0"/>
        <charset val="1"/>
      </rPr>
      <t xml:space="preserve">EBIT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</si>
  <si>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＝營收</t>
    </r>
    <r>
      <rPr>
        <sz val="9"/>
        <color rgb="FF595959"/>
        <rFont val="Arial"/>
        <family val="0"/>
        <charset val="1"/>
      </rPr>
      <t xml:space="preserve">×EBITDA </t>
    </r>
    <r>
      <rPr>
        <sz val="9"/>
        <color rgb="FF595959"/>
        <rFont val="WenQuanYi Zen Hei"/>
        <family val="2"/>
      </rPr>
      <t xml:space="preserve">率 − 車隊 </t>
    </r>
    <r>
      <rPr>
        <sz val="9"/>
        <color rgb="FF595959"/>
        <rFont val="Arial"/>
        <family val="0"/>
        <charset val="1"/>
      </rPr>
      <t xml:space="preserve">D&amp;A</t>
    </r>
  </si>
  <si>
    <t xml:space="preserve">利息（含瀑布新債）</t>
  </si>
  <si>
    <t xml:space="preserve">稅前損益</t>
  </si>
  <si>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期初餘額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</si>
  <si>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4.0</t>
    </r>
  </si>
  <si>
    <r>
      <rPr>
        <sz val="10"/>
        <rFont val="WenQuanYi Zen Hei"/>
        <family val="2"/>
      </rPr>
      <t xml:space="preserve">　本期動用 </t>
    </r>
    <r>
      <rPr>
        <sz val="10"/>
        <rFont val="Arial"/>
        <family val="0"/>
        <charset val="1"/>
      </rPr>
      <t xml:space="preserve">NOL</t>
    </r>
  </si>
  <si>
    <r>
      <rPr>
        <sz val="9"/>
        <color rgb="FF595959"/>
        <rFont val="WenQuanYi Zen Hei"/>
        <family val="2"/>
      </rPr>
      <t xml:space="preserve">美國規定：抵扣上限為應稅所得 </t>
    </r>
    <r>
      <rPr>
        <sz val="9"/>
        <color rgb="FF595959"/>
        <rFont val="Arial"/>
        <family val="0"/>
        <charset val="1"/>
      </rPr>
      <t xml:space="preserve">80%</t>
    </r>
  </si>
  <si>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期末餘額</t>
    </r>
  </si>
  <si>
    <t xml:space="preserve">所得稅</t>
  </si>
  <si>
    <t xml:space="preserve">虧損年不認列稅盾（與公司評價備抵一致）</t>
  </si>
  <si>
    <t xml:space="preserve">淨利</t>
  </si>
  <si>
    <t xml:space="preserve">車隊折舊，見輸入頁</t>
  </si>
  <si>
    <t xml:space="preserve">EBITDA</t>
  </si>
  <si>
    <r>
      <rPr>
        <sz val="10"/>
        <rFont val="WenQuanYi Zen Hei"/>
        <family val="2"/>
      </rPr>
      <t xml:space="preserve">　基礎股數（每年 </t>
    </r>
    <r>
      <rPr>
        <sz val="10"/>
        <rFont val="Arial"/>
        <family val="0"/>
        <charset val="1"/>
      </rPr>
      <t xml:space="preserve">+SBC </t>
    </r>
    <r>
      <rPr>
        <sz val="10"/>
        <rFont val="WenQuanYi Zen Hei"/>
        <family val="2"/>
      </rPr>
      <t xml:space="preserve">稀釋）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</si>
  <si>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＝含 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WenQuanYi Zen Hei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0.587</t>
    </r>
    <r>
      <rPr>
        <sz val="9"/>
        <color rgb="FF595959"/>
        <rFont val="WenQuanYi Zen Hei"/>
        <family val="2"/>
      </rPr>
      <t xml:space="preserve">；之後每年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WenQuanYi Zen Hei"/>
        <family val="2"/>
      </rPr>
      <t xml:space="preserve">＋股數年增</t>
    </r>
    <r>
      <rPr>
        <sz val="9"/>
        <color rgb="FF595959"/>
        <rFont val="Arial"/>
        <family val="0"/>
        <charset val="1"/>
      </rPr>
      <t xml:space="preserve">)</t>
    </r>
  </si>
  <si>
    <t xml:space="preserve">股數（含瀑布新股）</t>
  </si>
  <si>
    <t xml:space="preserve">＝基礎股數＋累計瀑布新股</t>
  </si>
  <si>
    <r>
      <rPr>
        <sz val="10"/>
        <rFont val="WenQuanYi Zen Hei"/>
        <family val="2"/>
      </rPr>
      <t xml:space="preserve">每股盈餘（</t>
    </r>
    <r>
      <rPr>
        <sz val="10"/>
        <rFont val="Arial"/>
        <family val="0"/>
        <charset val="1"/>
      </rPr>
      <t xml:space="preserve">EPS</t>
    </r>
    <r>
      <rPr>
        <sz val="10"/>
        <rFont val="WenQuanYi Zen Hei"/>
        <family val="2"/>
      </rPr>
      <t xml:space="preserve">，模型期）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</si>
  <si>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欄只含下半年；全年口徑見下方</t>
    </r>
  </si>
  <si>
    <r>
      <rPr>
        <b val="true"/>
        <sz val="10"/>
        <rFont val="WenQuanYi Zen Hei"/>
        <family val="2"/>
      </rPr>
      <t xml:space="preserve">損益表（全年口徑；</t>
    </r>
    <r>
      <rPr>
        <b val="true"/>
        <sz val="10"/>
        <rFont val="Arial"/>
        <family val="0"/>
        <charset val="1"/>
      </rPr>
      <t xml:space="preserve">FY26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WenQuanYi Zen Hei"/>
        <family val="2"/>
      </rPr>
      <t xml:space="preserve">實際＋下半年模型；與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WenQuanYi Zen Hei"/>
        <family val="2"/>
      </rPr>
      <t xml:space="preserve">損益簡表一致）</t>
    </r>
  </si>
  <si>
    <r>
      <rPr>
        <sz val="10"/>
        <rFont val="Arial"/>
        <family val="0"/>
        <charset val="1"/>
      </rPr>
      <t xml:space="preserve">1H26 </t>
    </r>
    <r>
      <rPr>
        <sz val="10"/>
        <rFont val="WenQuanYi Zen Hei"/>
        <family val="2"/>
      </rPr>
      <t xml:space="preserve">實際營收（已實現）</t>
    </r>
  </si>
  <si>
    <t xml:space="preserve">全年總營收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</si>
  <si>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可對照指引 </t>
    </r>
    <r>
      <rPr>
        <sz val="9"/>
        <color rgb="FF595959"/>
        <rFont val="Arial"/>
        <family val="0"/>
        <charset val="1"/>
      </rPr>
      <t xml:space="preserve">12.4–13.2</t>
    </r>
  </si>
  <si>
    <r>
      <rPr>
        <sz val="10"/>
        <rFont val="WenQuanYi Zen Hei"/>
        <family val="2"/>
      </rPr>
      <t xml:space="preserve">營收 </t>
    </r>
    <r>
      <rPr>
        <sz val="10"/>
        <rFont val="Arial"/>
        <family val="0"/>
        <charset val="1"/>
      </rPr>
      <t xml:space="preserve">YoY</t>
    </r>
  </si>
  <si>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5.131</t>
    </r>
  </si>
  <si>
    <r>
      <rPr>
        <sz val="10"/>
        <rFont val="WenQuanYi Zen Hei"/>
        <family val="2"/>
      </rPr>
      <t xml:space="preserve">全年 </t>
    </r>
    <r>
      <rPr>
        <sz val="10"/>
        <rFont val="Arial"/>
        <family val="0"/>
        <charset val="1"/>
      </rPr>
      <t xml:space="preserve">GAAP </t>
    </r>
    <r>
      <rPr>
        <sz val="10"/>
        <rFont val="WenQuanYi Zen Hei"/>
        <family val="2"/>
      </rPr>
      <t xml:space="preserve">營業利益</t>
    </r>
  </si>
  <si>
    <t xml:space="preserve">營利率</t>
  </si>
  <si>
    <r>
      <rPr>
        <sz val="10"/>
        <rFont val="WenQuanYi Zen Hei"/>
        <family val="2"/>
      </rPr>
      <t xml:space="preserve">全年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</si>
  <si>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2.540</t>
    </r>
  </si>
  <si>
    <r>
      <rPr>
        <b val="true"/>
        <sz val="10"/>
        <rFont val="WenQuanYi Zen Hei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EBITDA</t>
    </r>
  </si>
  <si>
    <t xml:space="preserve">全年利息（含瀑布新債）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</si>
  <si>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起瀑布新債利息（</t>
    </r>
    <r>
      <rPr>
        <sz val="9"/>
        <color rgb="FF595959"/>
        <rFont val="Arial"/>
        <family val="0"/>
        <charset val="1"/>
      </rPr>
      <t xml:space="preserve">9%</t>
    </r>
    <r>
      <rPr>
        <sz val="9"/>
        <color rgb="FF595959"/>
        <rFont val="WenQuanYi Zen Hei"/>
        <family val="2"/>
      </rPr>
      <t xml:space="preserve">）與新股同時影響 </t>
    </r>
    <r>
      <rPr>
        <sz val="9"/>
        <color rgb="FF595959"/>
        <rFont val="Arial"/>
        <family val="0"/>
        <charset val="1"/>
      </rPr>
      <t xml:space="preserve">EPS</t>
    </r>
  </si>
  <si>
    <t xml:space="preserve">全年淨利</t>
  </si>
  <si>
    <t xml:space="preserve">淨利率</t>
  </si>
  <si>
    <r>
      <rPr>
        <b val="true"/>
        <sz val="10"/>
        <rFont val="WenQuanYi Zen Hei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GAAP EPS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</si>
  <si>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EPS −2.53</t>
    </r>
    <r>
      <rPr>
        <sz val="9"/>
        <color rgb="FF595959"/>
        <rFont val="WenQuanYi Zen Hei"/>
        <family val="2"/>
      </rPr>
      <t xml:space="preserve">＋下半年淨利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股數</t>
    </r>
  </si>
  <si>
    <r>
      <rPr>
        <sz val="10"/>
        <rFont val="WenQuanYi Zen Hei"/>
        <family val="2"/>
      </rPr>
      <t xml:space="preserve">全年 </t>
    </r>
    <r>
      <rPr>
        <sz val="10"/>
        <rFont val="Arial"/>
        <family val="0"/>
        <charset val="1"/>
      </rPr>
      <t xml:space="preserve">EPS</t>
    </r>
    <r>
      <rPr>
        <sz val="10"/>
        <rFont val="WenQuanYi Zen Hei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</si>
  <si>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淨利＋</t>
    </r>
    <r>
      <rPr>
        <sz val="9"/>
        <color rgb="FF595959"/>
        <rFont val="Arial"/>
        <family val="0"/>
        <charset val="1"/>
      </rPr>
      <t xml:space="preserve">SBC)÷</t>
    </r>
    <r>
      <rPr>
        <sz val="9"/>
        <color rgb="FF595959"/>
        <rFont val="WenQuanYi Zen Hei"/>
        <family val="2"/>
      </rPr>
      <t xml:space="preserve">股數；</t>
    </r>
    <r>
      <rPr>
        <sz val="9"/>
        <color rgb="FF595959"/>
        <rFont val="Arial"/>
        <family val="0"/>
        <charset val="1"/>
      </rPr>
      <t xml:space="preserve">NOL </t>
    </r>
    <r>
      <rPr>
        <sz val="9"/>
        <color rgb="FF595959"/>
        <rFont val="WenQuanYi Zen Hei"/>
        <family val="2"/>
      </rPr>
      <t xml:space="preserve">狀態無現金稅，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WenQuanYi Zen Hei"/>
        <family val="2"/>
      </rPr>
      <t xml:space="preserve">全額加回</t>
    </r>
  </si>
  <si>
    <r>
      <rPr>
        <b val="true"/>
        <sz val="14"/>
        <rFont val="WenQuanYi Zen Hei"/>
        <family val="2"/>
      </rPr>
      <t xml:space="preserve">評價 — </t>
    </r>
    <r>
      <rPr>
        <b val="true"/>
        <sz val="14"/>
        <rFont val="Arial"/>
        <family val="0"/>
        <charset val="1"/>
      </rPr>
      <t xml:space="preserve">DCF</t>
    </r>
    <r>
      <rPr>
        <b val="true"/>
        <sz val="14"/>
        <rFont val="WenQuanYi Zen Hei"/>
        <family val="2"/>
      </rPr>
      <t xml:space="preserve">、</t>
    </r>
    <r>
      <rPr>
        <b val="true"/>
        <sz val="14"/>
        <rFont val="Arial"/>
        <family val="0"/>
        <charset val="1"/>
      </rPr>
      <t xml:space="preserve">EV/EBITDA</t>
    </r>
    <r>
      <rPr>
        <b val="true"/>
        <sz val="14"/>
        <rFont val="WenQuanYi Zen Hei"/>
        <family val="2"/>
      </rPr>
      <t xml:space="preserve">、加權目標價</t>
    </r>
  </si>
  <si>
    <r>
      <rPr>
        <sz val="9"/>
        <color rgb="FF595959"/>
        <rFont val="WenQuanYi Zen Hei"/>
        <family val="2"/>
      </rPr>
      <t xml:space="preserve">營收、營業利益、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、股數引用『損益』頁；</t>
    </r>
    <r>
      <rPr>
        <sz val="9"/>
        <color rgb="FF595959"/>
        <rFont val="Arial"/>
        <family val="0"/>
        <charset val="1"/>
      </rPr>
      <t xml:space="preserve">Cash CapEx </t>
    </r>
    <r>
      <rPr>
        <sz val="9"/>
        <color rgb="FF595959"/>
        <rFont val="WenQuanYi Zen Hei"/>
        <family val="2"/>
      </rPr>
      <t xml:space="preserve">與融資引用『各期收支』頁</t>
    </r>
  </si>
  <si>
    <r>
      <rPr>
        <b val="true"/>
        <sz val="10"/>
        <rFont val="Arial"/>
        <family val="0"/>
        <charset val="1"/>
      </rPr>
      <t xml:space="preserve">DCF</t>
    </r>
    <r>
      <rPr>
        <b val="true"/>
        <sz val="10"/>
        <rFont val="WenQuanYi Zen Hei"/>
        <family val="2"/>
      </rPr>
      <t xml:space="preserve">（無槓桿自由現金流；起點為 </t>
    </r>
    <r>
      <rPr>
        <b val="true"/>
        <sz val="10"/>
        <rFont val="Arial"/>
        <family val="0"/>
        <charset val="1"/>
      </rPr>
      <t xml:space="preserve">2026-06-30</t>
    </r>
    <r>
      <rPr>
        <b val="true"/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</si>
  <si>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現金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2026-06-30 </t>
    </r>
    <r>
      <rPr>
        <sz val="10"/>
        <rFont val="WenQuanYi Zen Hei"/>
        <family val="2"/>
      </rPr>
      <t xml:space="preserve">之後）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</si>
  <si>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起點為 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WenQuanYi Zen Hei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欄只含 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的建置支出，不含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已發生的 </t>
    </r>
    <r>
      <rPr>
        <sz val="9"/>
        <color rgb="FF595959"/>
        <rFont val="Arial"/>
        <family val="0"/>
        <charset val="1"/>
      </rPr>
      <t xml:space="preserve">14.117</t>
    </r>
  </si>
  <si>
    <t xml:space="preserve">比較基期營收</t>
  </si>
  <si>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5.131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基期＝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4.653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模型期營收</t>
    </r>
  </si>
  <si>
    <t xml:space="preserve">營運資金變動</t>
  </si>
  <si>
    <r>
      <rPr>
        <sz val="9"/>
        <color rgb="FF595959"/>
        <rFont val="WenQuanYi Zen Hei"/>
        <family val="2"/>
      </rPr>
      <t xml:space="preserve">營收增量的 </t>
    </r>
    <r>
      <rPr>
        <sz val="9"/>
        <color rgb="FF595959"/>
        <rFont val="Arial"/>
        <family val="0"/>
        <charset val="1"/>
      </rPr>
      <t xml:space="preserve">2%</t>
    </r>
  </si>
  <si>
    <r>
      <rPr>
        <sz val="10"/>
        <rFont val="WenQuanYi Zen Hei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期初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</si>
  <si>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用無槓桿稅（利息不可抵稅，否則稅盾被計兩次：一次在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WenQuanYi Zen Hei"/>
        <family val="2"/>
      </rPr>
      <t xml:space="preserve">、一次在 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WenQuanYi Zen Hei"/>
        <family val="2"/>
      </rPr>
      <t xml:space="preserve">）</t>
    </r>
  </si>
  <si>
    <t xml:space="preserve">　本期動用（無槓桿）</t>
  </si>
  <si>
    <r>
      <rPr>
        <sz val="10"/>
        <rFont val="WenQuanYi Zen Hei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期末</t>
    </r>
  </si>
  <si>
    <r>
      <rPr>
        <sz val="10"/>
        <rFont val="WenQuanYi Zen Hei"/>
        <family val="2"/>
      </rPr>
      <t xml:space="preserve">無槓桿所得稅（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用）</t>
    </r>
  </si>
  <si>
    <r>
      <rPr>
        <sz val="9"/>
        <color rgb="FF595959"/>
        <rFont val="WenQuanYi Zen Hei"/>
        <family val="2"/>
      </rPr>
      <t xml:space="preserve">與損益表的所得稅不同：此處不扣利息，數字較高，這是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的正確口徑</t>
    </r>
  </si>
  <si>
    <t xml:space="preserve">UFCF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</si>
  <si>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EBIT−</t>
    </r>
    <r>
      <rPr>
        <sz val="9"/>
        <color rgb="FF595959"/>
        <rFont val="WenQuanYi Zen Hei"/>
        <family val="2"/>
      </rPr>
      <t xml:space="preserve">無槓桿稅＋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WenQuanYi Zen Hei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CapEx−</t>
    </r>
    <r>
      <rPr>
        <sz val="9"/>
        <color rgb="FF595959"/>
        <rFont val="WenQuanYi Zen Hei"/>
        <family val="2"/>
      </rPr>
      <t xml:space="preserve">營運資金。建置期全為負是正常的</t>
    </r>
  </si>
  <si>
    <t xml:space="preserve">折現期數</t>
  </si>
  <si>
    <r>
      <rPr>
        <sz val="9"/>
        <color rgb="FF595959"/>
        <rFont val="WenQuanYi Zen Hei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WenQuanYi Zen Hei"/>
        <family val="2"/>
      </rPr>
      <t xml:space="preserve">起算；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模型期（下半年）的現金流平均落在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WenQuanYi Zen Hei"/>
        <family val="2"/>
      </rPr>
      <t xml:space="preserve">年</t>
    </r>
  </si>
  <si>
    <t xml:space="preserve">折現因子</t>
  </si>
  <si>
    <r>
      <rPr>
        <sz val="10"/>
        <rFont val="Arial"/>
        <family val="0"/>
        <charset val="1"/>
      </rPr>
      <t xml:space="preserve">UFCF </t>
    </r>
    <r>
      <rPr>
        <sz val="10"/>
        <rFont val="WenQuanYi Zen Hei"/>
        <family val="2"/>
      </rPr>
      <t xml:space="preserve">現值</t>
    </r>
  </si>
  <si>
    <r>
      <rPr>
        <sz val="10"/>
        <rFont val="WenQuanYi Zen Hei"/>
        <family val="2"/>
      </rPr>
      <t xml:space="preserve">五期 </t>
    </r>
    <r>
      <rPr>
        <sz val="10"/>
        <rFont val="Arial"/>
        <family val="0"/>
        <charset val="1"/>
      </rPr>
      <t xml:space="preserve">UFCF </t>
    </r>
    <r>
      <rPr>
        <sz val="10"/>
        <rFont val="WenQuanYi Zen Hei"/>
        <family val="2"/>
      </rPr>
      <t xml:space="preserve">現值合計</t>
    </r>
  </si>
  <si>
    <t xml:space="preserve">建置期現金流現值</t>
  </si>
  <si>
    <r>
      <rPr>
        <sz val="10"/>
        <rFont val="WenQuanYi Zen Hei"/>
        <family val="2"/>
      </rPr>
      <t xml:space="preserve">常態化 </t>
    </r>
    <r>
      <rPr>
        <sz val="10"/>
        <rFont val="Arial"/>
        <family val="0"/>
        <charset val="1"/>
      </rPr>
      <t xml:space="preserve">FCF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</si>
  <si>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EBIT×(1−</t>
    </r>
    <r>
      <rPr>
        <sz val="9"/>
        <color rgb="FF595959"/>
        <rFont val="WenQuanYi Zen Hei"/>
        <family val="2"/>
      </rPr>
      <t xml:space="preserve">稅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WenQuanYi Zen Hei"/>
        <family val="2"/>
      </rPr>
      <t xml:space="preserve">維持性 </t>
    </r>
    <r>
      <rPr>
        <sz val="9"/>
        <color rgb="FF595959"/>
        <rFont val="Arial"/>
        <family val="0"/>
        <charset val="1"/>
      </rPr>
      <t xml:space="preserve">CapEx(D&amp;A×</t>
    </r>
    <r>
      <rPr>
        <sz val="9"/>
        <color rgb="FF595959"/>
        <rFont val="WenQuanYi Zen Hei"/>
        <family val="2"/>
      </rPr>
      <t xml:space="preserve">比率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。不讓成長性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偽裝成永續 </t>
    </r>
    <r>
      <rPr>
        <sz val="9"/>
        <color rgb="FF595959"/>
        <rFont val="Arial"/>
        <family val="0"/>
        <charset val="1"/>
      </rPr>
      <t xml:space="preserve">FCF</t>
    </r>
  </si>
  <si>
    <r>
      <rPr>
        <sz val="10"/>
        <rFont val="WenQuanYi Zen Hei"/>
        <family val="2"/>
      </rPr>
      <t xml:space="preserve">終值（</t>
    </r>
    <r>
      <rPr>
        <sz val="10"/>
        <rFont val="Arial"/>
        <family val="0"/>
        <charset val="1"/>
      </rPr>
      <t xml:space="preserve">Gordon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</si>
  <si>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＝常態化 </t>
    </r>
    <r>
      <rPr>
        <sz val="9"/>
        <color rgb="FF595959"/>
        <rFont val="Arial"/>
        <family val="0"/>
        <charset val="1"/>
      </rPr>
      <t xml:space="preserve">FCF×(1+g)÷(WACC−g)</t>
    </r>
  </si>
  <si>
    <t xml:space="preserve">終值現值</t>
  </si>
  <si>
    <r>
      <rPr>
        <sz val="10"/>
        <rFont val="WenQuanYi Zen Hei"/>
        <family val="2"/>
      </rPr>
      <t xml:space="preserve">企業價值 </t>
    </r>
    <r>
      <rPr>
        <sz val="10"/>
        <rFont val="Arial"/>
        <family val="0"/>
        <charset val="1"/>
      </rPr>
      <t xml:space="preserve">EV</t>
    </r>
  </si>
  <si>
    <t xml:space="preserve">減：淨負債</t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</si>
  <si>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本金 </t>
    </r>
    <r>
      <rPr>
        <sz val="9"/>
        <color rgb="FF595959"/>
        <rFont val="Arial"/>
        <family val="0"/>
        <charset val="1"/>
      </rPr>
      <t xml:space="preserve">35.551 − </t>
    </r>
    <r>
      <rPr>
        <sz val="9"/>
        <color rgb="FF595959"/>
        <rFont val="WenQuanYi Zen Hei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5.524</t>
    </r>
  </si>
  <si>
    <t xml:space="preserve">股權價值</t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</si>
  <si>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</rPr>
      <t xml:space="preserve">每股</t>
    </r>
  </si>
  <si>
    <r>
      <rPr>
        <sz val="9"/>
        <color rgb="FF595959"/>
        <rFont val="WenQuanYi Zen Hei"/>
        <family val="2"/>
      </rPr>
      <t xml:space="preserve">採用值：失效時為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且權重歸零；否則依「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下限方式」取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截斷或選擇權</t>
    </r>
  </si>
  <si>
    <r>
      <rPr>
        <sz val="10"/>
        <rFont val="WenQuanYi Zen Hei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WenQuanYi Zen Hei"/>
        <family val="2"/>
      </rPr>
      <t xml:space="preserve">比重</t>
    </r>
  </si>
  <si>
    <r>
      <rPr>
        <sz val="9"/>
        <color rgb="FF595959"/>
        <rFont val="WenQuanYi Zen Hei"/>
        <family val="2"/>
      </rPr>
      <t xml:space="preserve">超過 </t>
    </r>
    <r>
      <rPr>
        <sz val="9"/>
        <color rgb="FF595959"/>
        <rFont val="Arial"/>
        <family val="0"/>
        <charset val="1"/>
      </rPr>
      <t xml:space="preserve">85% </t>
    </r>
    <r>
      <rPr>
        <sz val="9"/>
        <color rgb="FF595959"/>
        <rFont val="WenQuanYi Zen Hei"/>
        <family val="2"/>
      </rPr>
      <t xml:space="preserve">表示結論由終值假設決定，不由現金流決定</t>
    </r>
  </si>
  <si>
    <t xml:space="preserve">新股募得現金（現值）</t>
  </si>
  <si>
    <r>
      <rPr>
        <sz val="9"/>
        <color rgb="FF595959"/>
        <rFont val="WenQuanYi Zen Hei"/>
        <family val="2"/>
      </rPr>
      <t xml:space="preserve">期初到位，折現期數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WenQuanYi Zen Hei"/>
        <family val="2"/>
      </rPr>
      <t xml:space="preserve">年</t>
    </r>
  </si>
  <si>
    <t xml:space="preserve">融資後股數（含瀑布新股）</t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</si>
  <si>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失效？（</t>
    </r>
    <r>
      <rPr>
        <sz val="10"/>
        <rFont val="Arial"/>
        <family val="0"/>
        <charset val="1"/>
      </rPr>
      <t xml:space="preserve">WACC ≤ g </t>
    </r>
    <r>
      <rPr>
        <sz val="10"/>
        <rFont val="WenQuanYi Zen Hei"/>
        <family val="2"/>
      </rPr>
      <t xml:space="preserve">或常態化 </t>
    </r>
    <r>
      <rPr>
        <sz val="10"/>
        <rFont val="Arial"/>
        <family val="0"/>
        <charset val="1"/>
      </rPr>
      <t xml:space="preserve">FCF ≤ 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</si>
  <si>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＝失效：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權重歸零、</t>
    </r>
    <r>
      <rPr>
        <sz val="9"/>
        <color rgb="FF595959"/>
        <rFont val="Arial"/>
        <family val="0"/>
        <charset val="1"/>
      </rPr>
      <t xml:space="preserve">EV/EBITDA 100%</t>
    </r>
    <r>
      <rPr>
        <sz val="9"/>
        <color rgb="FF595959"/>
        <rFont val="WenQuanYi Zen Hei"/>
        <family val="2"/>
      </rPr>
      <t xml:space="preserve">。股權為負不算失效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</si>
  <si>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</rPr>
      <t xml:space="preserve">每股：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WenQuanYi Zen Hei"/>
        <family val="2"/>
      </rPr>
      <t xml:space="preserve">截斷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</si>
  <si>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</rPr>
      <t xml:space="preserve">每股：選擇權（</t>
    </r>
    <r>
      <rPr>
        <b val="true"/>
        <sz val="10"/>
        <rFont val="Arial"/>
        <family val="0"/>
        <charset val="1"/>
      </rPr>
      <t xml:space="preserve">Merton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</si>
  <si>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Black-Scholes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WenQuanYi Zen Hei"/>
        <family val="2"/>
      </rPr>
      <t xml:space="preserve">＝企業價值＋新股現值、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＝淨負債</t>
    </r>
  </si>
  <si>
    <r>
      <rPr>
        <sz val="10"/>
        <rFont val="WenQuanYi Zen Hei"/>
        <family val="2"/>
      </rPr>
      <t xml:space="preserve">　</t>
    </r>
    <r>
      <rPr>
        <sz val="10"/>
        <rFont val="Arial"/>
        <family val="0"/>
        <charset val="1"/>
      </rPr>
      <t xml:space="preserve">d1</t>
    </r>
  </si>
  <si>
    <r>
      <rPr>
        <sz val="10"/>
        <rFont val="WenQuanYi Zen Hei"/>
        <family val="2"/>
      </rPr>
      <t xml:space="preserve">　</t>
    </r>
    <r>
      <rPr>
        <sz val="10"/>
        <rFont val="Arial"/>
        <family val="0"/>
        <charset val="1"/>
      </rPr>
      <t xml:space="preserve">d2</t>
    </r>
  </si>
  <si>
    <r>
      <rPr>
        <b val="true"/>
        <sz val="10"/>
        <rFont val="WenQuanYi Zen Hei"/>
        <family val="2"/>
      </rPr>
      <t xml:space="preserve">倍數法（錨定年度，預設 </t>
    </r>
    <r>
      <rPr>
        <b val="true"/>
        <sz val="10"/>
        <rFont val="Arial"/>
        <family val="0"/>
        <charset val="1"/>
      </rPr>
      <t xml:space="preserve">FY29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FY28 </t>
    </r>
    <r>
      <rPr>
        <b val="true"/>
        <sz val="10"/>
        <rFont val="WenQuanYi Zen Hei"/>
        <family val="2"/>
      </rPr>
      <t xml:space="preserve">起折回 </t>
    </r>
    <r>
      <rPr>
        <b val="true"/>
        <sz val="10"/>
        <rFont val="Arial"/>
        <family val="0"/>
        <charset val="1"/>
      </rPr>
      <t xml:space="preserve">FY27 </t>
    </r>
    <r>
      <rPr>
        <b val="true"/>
        <sz val="10"/>
        <rFont val="WenQuanYi Zen Hei"/>
        <family val="2"/>
      </rPr>
      <t xml:space="preserve">末）</t>
    </r>
  </si>
  <si>
    <t xml:space="preserve">錨定年度</t>
  </si>
  <si>
    <r>
      <rPr>
        <sz val="9"/>
        <color rgb="FF595959"/>
        <rFont val="WenQuanYi Zen Hei"/>
        <family val="2"/>
      </rPr>
      <t xml:space="preserve">輸入與假設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WenQuanYi Zen Hei"/>
        <family val="2"/>
      </rPr>
      <t xml:space="preserve">區可改</t>
    </r>
  </si>
  <si>
    <r>
      <rPr>
        <sz val="10"/>
        <rFont val="WenQuanYi Zen Hei"/>
        <family val="2"/>
      </rPr>
      <t xml:space="preserve">錨定年度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</si>
  <si>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錨定年度企業價值（倍數 </t>
    </r>
    <r>
      <rPr>
        <sz val="10"/>
        <rFont val="Arial"/>
        <family val="0"/>
        <charset val="1"/>
      </rPr>
      <t xml:space="preserve">× EBITDA</t>
    </r>
    <r>
      <rPr>
        <sz val="10"/>
        <rFont val="WenQuanYi Zen Hei"/>
        <family val="2"/>
      </rPr>
      <t xml:space="preserve">）</t>
    </r>
  </si>
  <si>
    <t xml:space="preserve">錨定年度末淨負債（總債務 − 現金）</t>
  </si>
  <si>
    <t xml:space="preserve">含瀑布新債</t>
  </si>
  <si>
    <t xml:space="preserve">錨定年度末股數（含瀑布新股）</t>
  </si>
  <si>
    <r>
      <rPr>
        <sz val="9"/>
        <color rgb="FF595959"/>
        <rFont val="WenQuanYi Zen Hei"/>
        <family val="2"/>
      </rPr>
      <t xml:space="preserve">損益股數：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WenQuanYi Zen Hei"/>
        <family val="2"/>
      </rPr>
      <t xml:space="preserve">逐年稀釋＋瀑布新股</t>
    </r>
  </si>
  <si>
    <r>
      <rPr>
        <sz val="10"/>
        <rFont val="WenQuanYi Zen Hei"/>
        <family val="2"/>
      </rPr>
      <t xml:space="preserve">折回 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末的折現因子</t>
    </r>
  </si>
  <si>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WenQuanYi Zen Hei"/>
        <family val="2"/>
      </rPr>
      <t xml:space="preserve">折現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</si>
  <si>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每股（融資後）</t>
    </r>
  </si>
  <si>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為下限</t>
    </r>
  </si>
  <si>
    <t xml:space="preserve">加權目標價</t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</si>
  <si>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有效權重</t>
    </r>
  </si>
  <si>
    <r>
      <rPr>
        <sz val="10"/>
        <rFont val="Arial"/>
        <family val="0"/>
        <charset val="1"/>
      </rPr>
      <t xml:space="preserve">EV/EBITDA</t>
    </r>
    <r>
      <rPr>
        <sz val="10"/>
        <rFont val="WenQuanYi Zen Hei"/>
        <family val="2"/>
      </rPr>
      <t xml:space="preserve">（融資後）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有效權重</t>
    </r>
  </si>
  <si>
    <t xml:space="preserve">期前融資瀑布：缺口先由額度與資產層新債支應，殘差以股權募足；估值不再扣缺口本金</t>
  </si>
  <si>
    <t xml:space="preserve">現價</t>
  </si>
  <si>
    <t xml:space="preserve">潛在空間</t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</si>
  <si>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權重說明</t>
    </r>
  </si>
  <si>
    <r>
      <rPr>
        <sz val="9"/>
        <color rgb="FF595959"/>
        <rFont val="WenQuanYi Zen Hei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被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截斷時顯示；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失效時改為一句；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為正時空白（與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同一字串）</t>
    </r>
  </si>
  <si>
    <t xml:space="preserve">目標價區間（情境區間、方法區間；評等仍依點位）</t>
  </si>
  <si>
    <t xml:space="preserve">目標價區間｜點位（目前輸入的加權目標價）</t>
  </si>
  <si>
    <r>
      <rPr>
        <sz val="9"/>
        <color rgb="FF595959"/>
        <rFont val="WenQuanYi Zen Hei"/>
        <family val="2"/>
      </rPr>
      <t xml:space="preserve">評等規則不變：空間 ≥</t>
    </r>
    <r>
      <rPr>
        <sz val="9"/>
        <color rgb="FF595959"/>
        <rFont val="Arial"/>
        <family val="0"/>
        <charset val="1"/>
      </rPr>
      <t xml:space="preserve">25% </t>
    </r>
    <r>
      <rPr>
        <sz val="9"/>
        <color rgb="FF595959"/>
        <rFont val="WenQuanYi Zen Hei"/>
        <family val="2"/>
      </rPr>
      <t xml:space="preserve">且終值占比 </t>
    </r>
    <r>
      <rPr>
        <sz val="9"/>
        <color rgb="FF595959"/>
        <rFont val="Arial"/>
        <family val="0"/>
        <charset val="1"/>
      </rPr>
      <t xml:space="preserve">&lt;90%</t>
    </r>
    <r>
      <rPr>
        <sz val="9"/>
        <color rgb="FF595959"/>
        <rFont val="WenQuanYi Zen Hei"/>
        <family val="2"/>
      </rPr>
      <t xml:space="preserve">、股權募資 ≤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WenQuanYi Zen Hei"/>
        <family val="2"/>
      </rPr>
      <t xml:space="preserve">倍現市值 → 買進；空間 ≤−</t>
    </r>
    <r>
      <rPr>
        <sz val="9"/>
        <color rgb="FF595959"/>
        <rFont val="Arial"/>
        <family val="0"/>
        <charset val="1"/>
      </rPr>
      <t xml:space="preserve">15%</t>
    </r>
    <r>
      <rPr>
        <sz val="9"/>
        <color rgb="FF595959"/>
        <rFont val="WenQuanYi Zen Hei"/>
        <family val="2"/>
      </rPr>
      <t xml:space="preserve">，或股權募資 </t>
    </r>
    <r>
      <rPr>
        <sz val="9"/>
        <color rgb="FF595959"/>
        <rFont val="Arial"/>
        <family val="0"/>
        <charset val="1"/>
      </rPr>
      <t xml:space="preserve">&gt;1.5 </t>
    </r>
    <r>
      <rPr>
        <sz val="9"/>
        <color rgb="FF595959"/>
        <rFont val="WenQuanYi Zen Hei"/>
        <family val="2"/>
      </rPr>
      <t xml:space="preserve">倍且空間 ≤−</t>
    </r>
    <r>
      <rPr>
        <sz val="9"/>
        <color rgb="FF595959"/>
        <rFont val="Arial"/>
        <family val="0"/>
        <charset val="1"/>
      </rPr>
      <t xml:space="preserve">8% → </t>
    </r>
    <r>
      <rPr>
        <sz val="9"/>
        <color rgb="FF595959"/>
        <rFont val="WenQuanYi Zen Hei"/>
        <family val="2"/>
      </rPr>
      <t xml:space="preserve">賣出；其餘中立</t>
    </r>
  </si>
  <si>
    <r>
      <rPr>
        <sz val="10"/>
        <rFont val="WenQuanYi Zen Hei"/>
        <family val="2"/>
      </rPr>
      <t xml:space="preserve">目標價區間｜終值占 </t>
    </r>
    <r>
      <rPr>
        <sz val="10"/>
        <rFont val="Arial"/>
        <family val="0"/>
        <charset val="1"/>
      </rPr>
      <t xml:space="preserve">EV</t>
    </r>
    <r>
      <rPr>
        <sz val="10"/>
        <rFont val="WenQuanYi Zen Hei"/>
        <family val="2"/>
      </rPr>
      <t xml:space="preserve">（評等用）</t>
    </r>
  </si>
  <si>
    <r>
      <rPr>
        <sz val="10"/>
        <rFont val="WenQuanYi Zen Hei"/>
        <family val="2"/>
      </rPr>
      <t xml:space="preserve">目標價區間｜股權募資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現市值（評等用）</t>
    </r>
  </si>
  <si>
    <r>
      <rPr>
        <sz val="10"/>
        <rFont val="WenQuanYi Zen Hei"/>
        <family val="2"/>
      </rPr>
      <t xml:space="preserve">目標價區間｜點位評等代碼（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＝賣出）</t>
    </r>
  </si>
  <si>
    <r>
      <rPr>
        <sz val="10"/>
        <rFont val="WenQuanYi Zen Hei"/>
        <family val="2"/>
      </rPr>
      <t xml:space="preserve">目標價區間｜賣出門檻價（現價 </t>
    </r>
    <r>
      <rPr>
        <sz val="10"/>
        <rFont val="Arial"/>
        <family val="0"/>
        <charset val="1"/>
      </rPr>
      <t xml:space="preserve">× (1 − 15%)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</si>
  <si>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目標價區間｜保守 </t>
    </r>
    <r>
      <rPr>
        <sz val="10"/>
        <rFont val="Arial"/>
        <family val="0"/>
        <charset val="1"/>
      </rPr>
      <t xml:space="preserve">4.2 GW</t>
    </r>
    <r>
      <rPr>
        <sz val="10"/>
        <rFont val="WenQuanYi Zen Hei"/>
        <family val="2"/>
      </rPr>
      <t xml:space="preserve">（加權目標價／評等代碼／距賣出門檻）</t>
    </r>
  </si>
  <si>
    <r>
      <rPr>
        <sz val="9"/>
        <color rgb="FF595959"/>
        <rFont val="WenQuanYi Zen Hei"/>
        <family val="2"/>
      </rPr>
      <t xml:space="preserve">引用『輸入與假設』底部模擬運算表（情境選擇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），保留其餘手動輸入</t>
    </r>
  </si>
  <si>
    <r>
      <rPr>
        <sz val="10"/>
        <rFont val="WenQuanYi Zen Hei"/>
        <family val="2"/>
      </rPr>
      <t xml:space="preserve">目標價區間｜基準 </t>
    </r>
    <r>
      <rPr>
        <sz val="10"/>
        <rFont val="Arial"/>
        <family val="0"/>
        <charset val="1"/>
      </rPr>
      <t xml:space="preserve">5.6 GW</t>
    </r>
    <r>
      <rPr>
        <sz val="10"/>
        <rFont val="WenQuanYi Zen Hei"/>
        <family val="2"/>
      </rPr>
      <t xml:space="preserve">（加權目標價／評等代碼／距賣出門檻）</t>
    </r>
  </si>
  <si>
    <r>
      <rPr>
        <sz val="10"/>
        <rFont val="WenQuanYi Zen Hei"/>
        <family val="2"/>
      </rPr>
      <t xml:space="preserve">目標價區間｜積極 </t>
    </r>
    <r>
      <rPr>
        <sz val="10"/>
        <rFont val="Arial"/>
        <family val="0"/>
        <charset val="1"/>
      </rPr>
      <t xml:space="preserve">8 GW</t>
    </r>
    <r>
      <rPr>
        <sz val="10"/>
        <rFont val="WenQuanYi Zen Hei"/>
        <family val="2"/>
      </rPr>
      <t xml:space="preserve">（加權目標價／評等代碼／距賣出門檻）</t>
    </r>
  </si>
  <si>
    <t xml:space="preserve">目標價區間｜情境區間（下緣／上緣）</t>
  </si>
  <si>
    <t xml:space="preserve">目標價區間｜方法區間倍數（下端／上端）</t>
  </si>
  <si>
    <t xml:space="preserve">目標價區間｜方法區間（下緣／上緣）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</si>
  <si>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有效權重 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腿（倍數換成兩端）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有效權重</t>
    </r>
  </si>
  <si>
    <r>
      <rPr>
        <sz val="10"/>
        <rFont val="WenQuanYi Zen Hei"/>
        <family val="2"/>
      </rPr>
      <t xml:space="preserve">目標價區間｜</t>
    </r>
    <r>
      <rPr>
        <sz val="10"/>
        <rFont val="Arial"/>
        <family val="0"/>
        <charset val="1"/>
      </rPr>
      <t xml:space="preserve">100% EV/EBITDA </t>
    </r>
    <r>
      <rPr>
        <sz val="10"/>
        <rFont val="WenQuanYi Zen Hei"/>
        <family val="2"/>
      </rPr>
      <t xml:space="preserve">目標價（價位／評等代碼）</t>
    </r>
  </si>
  <si>
    <r>
      <rPr>
        <sz val="10"/>
        <rFont val="WenQuanYi Zen Hei"/>
        <family val="2"/>
      </rPr>
      <t xml:space="preserve">目標價區間｜未截斷 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</t>
    </r>
  </si>
  <si>
    <t xml:space="preserve">目標價區間｜點位摘要</t>
  </si>
  <si>
    <t xml:space="preserve">目標價區間｜方法區間標籤</t>
  </si>
  <si>
    <t xml:space="preserve">目標價區間｜點位位置</t>
  </si>
  <si>
    <t xml:space="preserve">目標價區間｜判斷句</t>
  </si>
  <si>
    <r>
      <rPr>
        <b val="true"/>
        <sz val="10"/>
        <rFont val="WenQuanYi Zen Hei"/>
        <family val="2"/>
      </rPr>
      <t xml:space="preserve">錨定年度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倍數矩陣（每股；</t>
    </r>
    <r>
      <rPr>
        <b val="true"/>
        <sz val="10"/>
        <rFont val="Arial"/>
        <family val="0"/>
        <charset val="1"/>
      </rPr>
      <t xml:space="preserve">FY28 </t>
    </r>
    <r>
      <rPr>
        <b val="true"/>
        <sz val="10"/>
        <rFont val="WenQuanYi Zen Hei"/>
        <family val="2"/>
      </rPr>
      <t xml:space="preserve">起以 </t>
    </r>
    <r>
      <rPr>
        <b val="true"/>
        <sz val="10"/>
        <rFont val="Arial"/>
        <family val="0"/>
        <charset val="1"/>
      </rPr>
      <t xml:space="preserve">WACC </t>
    </r>
    <r>
      <rPr>
        <b val="true"/>
        <sz val="10"/>
        <rFont val="WenQuanYi Zen Hei"/>
        <family val="2"/>
      </rPr>
      <t xml:space="preserve">折回 </t>
    </r>
    <r>
      <rPr>
        <b val="true"/>
        <sz val="10"/>
        <rFont val="Arial"/>
        <family val="0"/>
        <charset val="1"/>
      </rPr>
      <t xml:space="preserve">FY27 </t>
    </r>
    <r>
      <rPr>
        <b val="true"/>
        <sz val="10"/>
        <rFont val="WenQuanYi Zen Hei"/>
        <family val="2"/>
      </rPr>
      <t xml:space="preserve">末）</t>
    </r>
  </si>
  <si>
    <r>
      <rPr>
        <b val="true"/>
        <sz val="11"/>
        <color rgb="FFFFFFFF"/>
        <rFont val="WenQuanYi Zen Hei"/>
        <family val="2"/>
      </rPr>
      <t xml:space="preserve">倍數 ＼ 錨定（</t>
    </r>
    <r>
      <rPr>
        <b val="true"/>
        <sz val="11"/>
        <color rgb="FFFFFFFF"/>
        <rFont val="Arial"/>
        <family val="0"/>
        <charset val="1"/>
      </rPr>
      <t xml:space="preserve">EV/EBITDA </t>
    </r>
    <r>
      <rPr>
        <b val="true"/>
        <sz val="11"/>
        <color rgb="FFFFFFFF"/>
        <rFont val="WenQuanYi Zen Hei"/>
        <family val="2"/>
      </rPr>
      <t xml:space="preserve">腿）</t>
    </r>
  </si>
  <si>
    <t xml:space="preserve">倍數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</si>
  <si>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腿＝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錨定年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WenQuanYi Zen Hei"/>
        <family val="2"/>
      </rPr>
      <t xml:space="preserve">倍數 − 錨定年末淨負債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WenQuanYi Zen Hei"/>
        <family val="2"/>
      </rPr>
      <t xml:space="preserve">錨定年末股數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折現因子；加權＝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有效權重 ＋ 腿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有效權重。綠底＝不低於現價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</si>
  <si>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</si>
  <si>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</si>
  <si>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</si>
  <si>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</si>
  <si>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7.0x</t>
    </r>
  </si>
  <si>
    <t xml:space="preserve">倍數 ＼ 錨定（加權目標價）</t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</si>
  <si>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</si>
  <si>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</si>
  <si>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</si>
  <si>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</si>
  <si>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7.0x</t>
    </r>
  </si>
  <si>
    <r>
      <rPr>
        <b val="true"/>
        <sz val="14"/>
        <rFont val="WenQuanYi Zen Hei"/>
        <family val="2"/>
      </rPr>
      <t xml:space="preserve">反向 </t>
    </r>
    <r>
      <rPr>
        <b val="true"/>
        <sz val="14"/>
        <rFont val="Arial"/>
        <family val="0"/>
        <charset val="1"/>
      </rPr>
      <t xml:space="preserve">DCF — </t>
    </r>
    <r>
      <rPr>
        <b val="true"/>
        <sz val="14"/>
        <rFont val="WenQuanYi Zen Hei"/>
        <family val="2"/>
      </rPr>
      <t xml:space="preserve">現價隱含什麼樣的收入與成本</t>
    </r>
  </si>
  <si>
    <r>
      <rPr>
        <sz val="9"/>
        <color rgb="FF595959"/>
        <rFont val="WenQuanYi Zen Hei"/>
        <family val="2"/>
      </rPr>
      <t xml:space="preserve">不是問「值多少」，而是問「要值現價，營運要長什麼樣」。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WenQuanYi Zen Hei"/>
        <family val="2"/>
      </rPr>
      <t xml:space="preserve">以『目標搜尋』反解；下方另附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即時計算結果的快照（</t>
    </r>
    <r>
      <rPr>
        <sz val="9"/>
        <color rgb="FF595959"/>
        <rFont val="Arial"/>
        <family val="0"/>
        <charset val="1"/>
      </rPr>
      <t xml:space="preserve">v4.0 </t>
    </r>
    <r>
      <rPr>
        <sz val="9"/>
        <color rgb="FF595959"/>
        <rFont val="WenQuanYi Zen Hei"/>
        <family val="2"/>
      </rPr>
      <t xml:space="preserve">預設輸入）</t>
    </r>
  </si>
  <si>
    <r>
      <rPr>
        <b val="true"/>
        <sz val="10"/>
        <rFont val="WenQuanYi Zen Hei"/>
        <family val="2"/>
      </rPr>
      <t xml:space="preserve">即時：目前 </t>
    </r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</rPr>
      <t xml:space="preserve">與現價的差距</t>
    </r>
  </si>
  <si>
    <r>
      <rPr>
        <sz val="10"/>
        <rFont val="WenQuanYi Zen Hei"/>
        <family val="2"/>
      </rPr>
      <t xml:space="preserve">目前 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每股（依下限方式）</t>
    </r>
  </si>
  <si>
    <r>
      <rPr>
        <b val="true"/>
        <sz val="10"/>
        <rFont val="WenQuanYi Zen Hei"/>
        <family val="2"/>
      </rPr>
      <t xml:space="preserve">差距（</t>
    </r>
    <r>
      <rPr>
        <b val="true"/>
        <sz val="10"/>
        <rFont val="Arial"/>
        <family val="0"/>
        <charset val="1"/>
      </rPr>
      <t xml:space="preserve">DCF − </t>
    </r>
    <r>
      <rPr>
        <b val="true"/>
        <sz val="10"/>
        <rFont val="WenQuanYi Zen Hei"/>
        <family val="2"/>
      </rPr>
      <t xml:space="preserve">現價）＝目標搜尋的『設定儲存格』</t>
    </r>
  </si>
  <si>
    <r>
      <rPr>
        <sz val="10"/>
        <rFont val="WenQuanYi Zen Hei"/>
        <family val="2"/>
      </rPr>
      <t xml:space="preserve">目前每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年收入倍數／建置成本倍數</t>
    </r>
  </si>
  <si>
    <t xml:space="preserve">操作：用『目標搜尋』反解（資料 → 模擬分析 → 目標搜尋）</t>
  </si>
  <si>
    <r>
      <rPr>
        <sz val="9"/>
        <color rgb="FF595959"/>
        <rFont val="WenQuanYi Zen Hei"/>
        <family val="2"/>
      </rPr>
      <t xml:space="preserve">① 設定儲存格：本頁 </t>
    </r>
    <r>
      <rPr>
        <sz val="9"/>
        <color rgb="FF595959"/>
        <rFont val="Arial"/>
        <family val="0"/>
        <charset val="1"/>
      </rPr>
      <t xml:space="preserve">B7</t>
    </r>
    <r>
      <rPr>
        <sz val="9"/>
        <color rgb="FF595959"/>
        <rFont val="WenQuanYi Zen Hei"/>
        <family val="2"/>
      </rPr>
      <t xml:space="preserve">；目標值：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</si>
  <si>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WenQuanYi Zen Hei"/>
        <family val="2"/>
      </rPr>
      <t xml:space="preserve">② 變數儲存格（擇一）：輸入與假設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年收入倍數』→ 市價隱含單價；或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建置成本倍數』→ 市價隱含建置成本；或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區『穩態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率』</t>
    </r>
  </si>
  <si>
    <r>
      <rPr>
        <sz val="9"/>
        <color rgb="FF595959"/>
        <rFont val="WenQuanYi Zen Hei"/>
        <family val="2"/>
      </rPr>
      <t xml:space="preserve">③ 解完請記下結果，再把倍數改回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（或按 </t>
    </r>
    <r>
      <rPr>
        <sz val="9"/>
        <color rgb="FF595959"/>
        <rFont val="Arial"/>
        <family val="0"/>
        <charset val="1"/>
      </rPr>
      <t xml:space="preserve">Ctrl+Z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截斷時，負值區域斜率為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，請從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以上開始搜尋</t>
    </r>
  </si>
  <si>
    <r>
      <rPr>
        <sz val="9"/>
        <color rgb="FF595959"/>
        <rFont val="WenQuanYi Zen Hei"/>
        <family val="2"/>
      </rPr>
      <t xml:space="preserve">④ 組合分析：先把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區建置成本倍數與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區穩態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率設為想測的值，再對『每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年收入倍數』做目標搜尋，即得下方矩陣中的一格</t>
    </r>
  </si>
  <si>
    <r>
      <rPr>
        <b val="true"/>
        <sz val="10"/>
        <rFont val="WenQuanYi Zen Hei"/>
        <family val="2"/>
      </rPr>
      <t xml:space="preserve">快照：單一槓桿（</t>
    </r>
    <r>
      <rPr>
        <b val="true"/>
        <sz val="10"/>
        <rFont val="Arial"/>
        <family val="0"/>
        <charset val="1"/>
      </rPr>
      <t xml:space="preserve">HTML v4.0 </t>
    </r>
    <r>
      <rPr>
        <b val="true"/>
        <sz val="10"/>
        <rFont val="WenQuanYi Zen Hei"/>
        <family val="2"/>
      </rPr>
      <t xml:space="preserve">預設輸入，</t>
    </r>
    <r>
      <rPr>
        <b val="true"/>
        <sz val="10"/>
        <rFont val="Arial"/>
        <family val="0"/>
        <charset val="1"/>
      </rPr>
      <t xml:space="preserve">DCF 0 </t>
    </r>
    <r>
      <rPr>
        <b val="true"/>
        <sz val="10"/>
        <rFont val="WenQuanYi Zen Hei"/>
        <family val="2"/>
      </rPr>
      <t xml:space="preserve">截斷）</t>
    </r>
  </si>
  <si>
    <t xml:space="preserve">單一槓桿（其他不變）</t>
  </si>
  <si>
    <t xml:space="preserve">目前</t>
  </si>
  <si>
    <t xml:space="preserve">市價隱含</t>
  </si>
  <si>
    <t xml:space="preserve">變動</t>
  </si>
  <si>
    <t xml:space="preserve">對照</t>
  </si>
  <si>
    <r>
      <rPr>
        <sz val="10"/>
        <rFont val="Arial"/>
        <family val="0"/>
        <charset val="1"/>
      </rPr>
      <t xml:space="preserve">FY30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年收入（</t>
    </r>
    <r>
      <rPr>
        <sz val="10"/>
        <rFont val="Arial"/>
        <family val="0"/>
        <charset val="1"/>
      </rPr>
      <t xml:space="preserve">US$m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</si>
  <si>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期末 </t>
    </r>
    <r>
      <rPr>
        <sz val="9"/>
        <color rgb="FF595959"/>
        <rFont val="Arial"/>
        <family val="0"/>
        <charset val="1"/>
      </rPr>
      <t xml:space="preserve">ARR </t>
    </r>
    <r>
      <rPr>
        <sz val="9"/>
        <color rgb="FF595959"/>
        <rFont val="WenQuanYi Zen Hei"/>
        <family val="2"/>
      </rPr>
      <t xml:space="preserve">指引隱含約 </t>
    </r>
    <r>
      <rPr>
        <sz val="9"/>
        <color rgb="FF595959"/>
        <rFont val="Arial"/>
        <family val="0"/>
        <charset val="1"/>
      </rPr>
      <t xml:space="preserve">$10.0–10.5m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WenQuanYi Zen Hei"/>
        <family val="2"/>
      </rPr>
      <t xml:space="preserve">月新約漲價約 </t>
    </r>
    <r>
      <rPr>
        <sz val="9"/>
        <color rgb="FF595959"/>
        <rFont val="Arial"/>
        <family val="0"/>
        <charset val="1"/>
      </rPr>
      <t xml:space="preserve">25%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</si>
  <si>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建置成本（</t>
    </r>
    <r>
      <rPr>
        <sz val="10"/>
        <rFont val="Arial"/>
        <family val="0"/>
        <charset val="1"/>
      </rPr>
      <t xml:space="preserve">US$m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</si>
  <si>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指引隱含約 </t>
    </r>
    <r>
      <rPr>
        <sz val="9"/>
        <color rgb="FF595959"/>
        <rFont val="Arial"/>
        <family val="0"/>
        <charset val="1"/>
      </rPr>
      <t xml:space="preserve">$32–37m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</si>
  <si>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59%</t>
    </r>
    <r>
      <rPr>
        <sz val="9"/>
        <color rgb="FF595959"/>
        <rFont val="WenQuanYi Zen Hei"/>
        <family val="2"/>
      </rPr>
      <t xml:space="preserve">；由下而上上緣約 </t>
    </r>
    <r>
      <rPr>
        <sz val="9"/>
        <color rgb="FF595959"/>
        <rFont val="Arial"/>
        <family val="0"/>
        <charset val="1"/>
      </rPr>
      <t xml:space="preserve">67–71%</t>
    </r>
    <r>
      <rPr>
        <sz val="9"/>
        <color rgb="FF595959"/>
        <rFont val="WenQuanYi Zen Hei"/>
        <family val="2"/>
      </rPr>
      <t xml:space="preserve">（變動為百分點）</t>
    </r>
  </si>
  <si>
    <r>
      <rPr>
        <sz val="10"/>
        <rFont val="WenQuanYi Zen Hei"/>
        <family val="2"/>
      </rPr>
      <t xml:space="preserve">（對照）加權目標價＝現價所需每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</t>
    </r>
  </si>
  <si>
    <r>
      <rPr>
        <sz val="9"/>
        <color rgb="FF595959"/>
        <rFont val="WenQuanYi Zen Hei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EV/EBITDA 6x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WenQuanYi Zen Hei"/>
        <family val="2"/>
      </rPr>
      <t xml:space="preserve">錨定） 腿；非純反向 </t>
    </r>
    <r>
      <rPr>
        <sz val="9"/>
        <color rgb="FF595959"/>
        <rFont val="Arial"/>
        <family val="0"/>
        <charset val="1"/>
      </rPr>
      <t xml:space="preserve">DCF</t>
    </r>
  </si>
  <si>
    <r>
      <rPr>
        <b val="true"/>
        <sz val="10"/>
        <rFont val="WenQuanYi Zen Hei"/>
        <family val="2"/>
      </rPr>
      <t xml:space="preserve">快照：收入與成本的綜合影響——要值現價，</t>
    </r>
    <r>
      <rPr>
        <b val="true"/>
        <sz val="10"/>
        <rFont val="Arial"/>
        <family val="0"/>
        <charset val="1"/>
      </rPr>
      <t xml:space="preserve">FY30 </t>
    </r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年收入需要多少（</t>
    </r>
    <r>
      <rPr>
        <b val="true"/>
        <sz val="10"/>
        <rFont val="Arial"/>
        <family val="0"/>
        <charset val="1"/>
      </rPr>
      <t xml:space="preserve">US$m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</si>
  <si>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1"/>
        <color rgb="FFFFFFFF"/>
        <rFont val="WenQuanYi Zen Hei"/>
        <family val="2"/>
      </rPr>
      <t xml:space="preserve">建置成本 ＼ 穩態 </t>
    </r>
    <r>
      <rPr>
        <b val="true"/>
        <sz val="11"/>
        <color rgb="FFFFFFFF"/>
        <rFont val="Arial"/>
        <family val="0"/>
        <charset val="1"/>
      </rPr>
      <t xml:space="preserve">EBITDA </t>
    </r>
    <r>
      <rPr>
        <b val="true"/>
        <sz val="11"/>
        <color rgb="FFFFFFFF"/>
        <rFont val="WenQuanYi Zen Hei"/>
        <family val="2"/>
      </rPr>
      <t xml:space="preserve">率</t>
    </r>
  </si>
  <si>
    <r>
      <rPr>
        <sz val="10"/>
        <rFont val="Arial"/>
        <family val="0"/>
        <charset val="1"/>
      </rPr>
      <t xml:space="preserve">$23.8m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-30%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</si>
  <si>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$27.2m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-20%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</si>
  <si>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$30.6m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-10%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</si>
  <si>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$34.0m</t>
    </r>
    <r>
      <rPr>
        <sz val="10"/>
        <rFont val="WenQuanYi Zen Hei"/>
        <family val="2"/>
      </rPr>
      <t xml:space="preserve">（目前）</t>
    </r>
  </si>
  <si>
    <r>
      <rPr>
        <sz val="10"/>
        <rFont val="Arial"/>
        <family val="0"/>
        <charset val="1"/>
      </rPr>
      <t xml:space="preserve">$37.4m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+10%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</si>
  <si>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快照為靜態數值（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以同一引擎即時計算）；改變輸入後請以目標搜尋重算，或參考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WenQuanYi Zen Hei"/>
        <family val="2"/>
      </rPr>
      <t xml:space="preserve">『評價 → 反向 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WenQuanYi Zen Hei"/>
        <family val="2"/>
      </rPr>
      <t xml:space="preserve">』</t>
    </r>
  </si>
  <si>
    <r>
      <rPr>
        <b val="true"/>
        <sz val="14"/>
        <rFont val="WenQuanYi Zen Hei"/>
        <family val="2"/>
      </rPr>
      <t xml:space="preserve">可比公司 — 以 </t>
    </r>
    <r>
      <rPr>
        <b val="true"/>
        <sz val="14"/>
        <rFont val="Arial"/>
        <family val="0"/>
        <charset val="1"/>
      </rPr>
      <t xml:space="preserve">EV/Sales </t>
    </r>
    <r>
      <rPr>
        <b val="true"/>
        <sz val="14"/>
        <rFont val="WenQuanYi Zen Hei"/>
        <family val="2"/>
      </rPr>
      <t xml:space="preserve">為主（市值：</t>
    </r>
    <r>
      <rPr>
        <b val="true"/>
        <sz val="14"/>
        <rFont val="Arial"/>
        <family val="0"/>
        <charset val="1"/>
      </rPr>
      <t xml:space="preserve">2026-09-21 </t>
    </r>
    <r>
      <rPr>
        <b val="true"/>
        <sz val="14"/>
        <rFont val="WenQuanYi Zen Hei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</si>
  <si>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WenQuanYi Zen Hei"/>
        <family val="2"/>
      </rPr>
      <t xml:space="preserve">＝市值＋（有息負債−非受限現金）；含租賃＝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WenQuanYi Zen Hei"/>
        <family val="2"/>
      </rPr>
      <t xml:space="preserve">＋營業租賃負債。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僅供參考（同業 </t>
    </r>
    <r>
      <rPr>
        <sz val="9"/>
        <color rgb="FF595959"/>
        <rFont val="Arial"/>
        <family val="0"/>
        <charset val="1"/>
      </rPr>
      <t xml:space="preserve">GAAP EBITDA </t>
    </r>
    <r>
      <rPr>
        <sz val="9"/>
        <color rgb="FF595959"/>
        <rFont val="WenQuanYi Zen Hei"/>
        <family val="2"/>
      </rPr>
      <t xml:space="preserve">皆為負，顯示 </t>
    </r>
    <r>
      <rPr>
        <sz val="9"/>
        <color rgb="FF595959"/>
        <rFont val="Arial"/>
        <family val="0"/>
        <charset val="1"/>
      </rPr>
      <t xml:space="preserve">n/m</t>
    </r>
    <r>
      <rPr>
        <sz val="9"/>
        <color rgb="FF595959"/>
        <rFont val="WenQuanYi Zen Hei"/>
        <family val="2"/>
      </rPr>
      <t xml:space="preserve">）。此表不進入目標價。與 </t>
    </r>
    <r>
      <rPr>
        <sz val="9"/>
        <color rgb="FF595959"/>
        <rFont val="Arial"/>
        <family val="0"/>
        <charset val="1"/>
      </rPr>
      <t xml:space="preserve">HTML Comps </t>
    </r>
    <r>
      <rPr>
        <sz val="9"/>
        <color rgb="FF595959"/>
        <rFont val="WenQuanYi Zen Hei"/>
        <family val="2"/>
      </rPr>
      <t xml:space="preserve">分頁同一組數字</t>
    </r>
  </si>
  <si>
    <t xml:space="preserve">公司</t>
  </si>
  <si>
    <t xml:space="preserve">市值</t>
  </si>
  <si>
    <t xml:space="preserve">淨負債</t>
  </si>
  <si>
    <t xml:space="preserve">EV</t>
  </si>
  <si>
    <r>
      <rPr>
        <b val="true"/>
        <sz val="11"/>
        <color rgb="FFFFFFFF"/>
        <rFont val="Arial"/>
        <family val="0"/>
        <charset val="1"/>
      </rPr>
      <t xml:space="preserve">TTM </t>
    </r>
    <r>
      <rPr>
        <b val="true"/>
        <sz val="11"/>
        <color rgb="FFFFFFFF"/>
        <rFont val="WenQuanYi Zen Hei"/>
        <family val="2"/>
      </rPr>
      <t xml:space="preserve">營收</t>
    </r>
  </si>
  <si>
    <r>
      <rPr>
        <b val="true"/>
        <sz val="11"/>
        <color rgb="FFFFFFFF"/>
        <rFont val="Arial"/>
        <family val="0"/>
        <charset val="1"/>
      </rPr>
      <t xml:space="preserve">EV/Sales</t>
    </r>
    <r>
      <rPr>
        <b val="true"/>
        <sz val="11"/>
        <color rgb="FFFFFFFF"/>
        <rFont val="WenQuanYi Zen Hei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TTM</t>
    </r>
    <r>
      <rPr>
        <b val="true"/>
        <sz val="11"/>
        <color rgb="FFFFFFFF"/>
        <rFont val="WenQuanYi Zen Hei"/>
        <family val="2"/>
      </rPr>
      <t xml:space="preserve">）</t>
    </r>
  </si>
  <si>
    <r>
      <rPr>
        <b val="true"/>
        <sz val="11"/>
        <color rgb="FFFFFFFF"/>
        <rFont val="WenQuanYi Zen Hei"/>
        <family val="2"/>
      </rPr>
      <t xml:space="preserve">含租賃 </t>
    </r>
    <r>
      <rPr>
        <b val="true"/>
        <sz val="11"/>
        <color rgb="FFFFFFFF"/>
        <rFont val="Arial"/>
        <family val="0"/>
        <charset val="1"/>
      </rPr>
      <t xml:space="preserve">EV/Sales</t>
    </r>
  </si>
  <si>
    <t xml:space="preserve">TTM EBITDA</t>
  </si>
  <si>
    <t xml:space="preserve">EV/EBITDA</t>
  </si>
  <si>
    <t xml:space="preserve">資料期</t>
  </si>
  <si>
    <t xml:space="preserve">NBIS Nebius</t>
  </si>
  <si>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FY25 20-F</t>
    </r>
  </si>
  <si>
    <r>
      <rPr>
        <sz val="9"/>
        <color rgb="FF595959"/>
        <rFont val="WenQuanYi Zen Hei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-0.612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WenQuanYi Zen Hei"/>
        <family val="2"/>
      </rPr>
      <t xml:space="preserve">。季報未 </t>
    </r>
    <r>
      <rPr>
        <sz val="9"/>
        <color rgb="FF595959"/>
        <rFont val="Arial"/>
        <family val="0"/>
        <charset val="1"/>
      </rPr>
      <t xml:space="preserve">XBRL </t>
    </r>
    <r>
      <rPr>
        <sz val="9"/>
        <color rgb="FF595959"/>
        <rFont val="WenQuanYi Zen Hei"/>
        <family val="2"/>
      </rPr>
      <t xml:space="preserve">標註，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FY2025</t>
    </r>
    <r>
      <rPr>
        <sz val="9"/>
        <color rgb="FF595959"/>
        <rFont val="WenQuanYi Zen Hei"/>
        <family val="2"/>
      </rPr>
      <t xml:space="preserve">；營收為 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WenQuanYi Zen Hei"/>
        <family val="2"/>
      </rPr>
      <t xml:space="preserve">。前瞻 </t>
    </r>
    <r>
      <rPr>
        <sz val="9"/>
        <color rgb="FF595959"/>
        <rFont val="Arial"/>
        <family val="0"/>
        <charset val="1"/>
      </rPr>
      <t xml:space="preserve">EV/Sales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9.3x</t>
    </r>
    <r>
      <rPr>
        <sz val="9"/>
        <color rgb="FF595959"/>
        <rFont val="WenQuanYi Zen Hei"/>
        <family val="2"/>
      </rPr>
      <t xml:space="preserve">（由 </t>
    </r>
    <r>
      <rPr>
        <sz val="9"/>
        <color rgb="FF595959"/>
        <rFont val="Arial"/>
        <family val="0"/>
        <charset val="1"/>
      </rPr>
      <t xml:space="preserve">9/18 forward PS 8.46 </t>
    </r>
    <r>
      <rPr>
        <sz val="9"/>
        <color rgb="FF595959"/>
        <rFont val="WenQuanYi Zen Hei"/>
        <family val="2"/>
      </rPr>
      <t xml:space="preserve">推算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）</t>
    </r>
  </si>
  <si>
    <t xml:space="preserve">IREN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</si>
  <si>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</si>
  <si>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0.003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-1.047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WenQuanYi Zen Hei"/>
        <family val="2"/>
      </rPr>
      <t xml:space="preserve">。自有電廠、營業租賃負債僅 </t>
    </r>
    <r>
      <rPr>
        <sz val="9"/>
        <color rgb="FF595959"/>
        <rFont val="Arial"/>
        <family val="0"/>
        <charset val="1"/>
      </rPr>
      <t xml:space="preserve">0.003bn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合約 </t>
    </r>
    <r>
      <rPr>
        <sz val="9"/>
        <color rgb="FF595959"/>
        <rFont val="Arial"/>
        <family val="0"/>
        <charset val="1"/>
      </rPr>
      <t xml:space="preserve">ARR 4.0bn</t>
    </r>
  </si>
  <si>
    <t xml:space="preserve">APLD Applied Digital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</si>
  <si>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5/31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</si>
  <si>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0.066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-0.236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0.067</t>
    </r>
    <r>
      <rPr>
        <sz val="9"/>
        <color rgb="FF595959"/>
        <rFont val="WenQuanYi Zen Hei"/>
        <family val="2"/>
      </rPr>
      <t xml:space="preserve">。租約多未起租，營收尚未反映約 </t>
    </r>
    <r>
      <rPr>
        <sz val="9"/>
        <color rgb="FF595959"/>
        <rFont val="Arial"/>
        <family val="0"/>
        <charset val="1"/>
      </rPr>
      <t xml:space="preserve">36bn </t>
    </r>
    <r>
      <rPr>
        <sz val="9"/>
        <color rgb="FF595959"/>
        <rFont val="WenQuanYi Zen Hei"/>
        <family val="2"/>
      </rPr>
      <t xml:space="preserve">合約</t>
    </r>
  </si>
  <si>
    <t xml:space="preserve">CORZ Core Scientific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</si>
  <si>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</si>
  <si>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0.109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-0.561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0.063</t>
    </r>
    <r>
      <rPr>
        <sz val="9"/>
        <color rgb="FF595959"/>
        <rFont val="WenQuanYi Zen Hei"/>
        <family val="2"/>
      </rPr>
      <t xml:space="preserve">。託管轉型期</t>
    </r>
  </si>
  <si>
    <t xml:space="preserve">同業中位數</t>
  </si>
  <si>
    <r>
      <rPr>
        <b val="true"/>
        <sz val="10"/>
        <rFont val="Arial"/>
        <family val="0"/>
        <charset val="1"/>
      </rPr>
      <t xml:space="preserve">CRWV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TTM </t>
    </r>
    <r>
      <rPr>
        <b val="true"/>
        <sz val="10"/>
        <rFont val="WenQuanYi Zen Hei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</si>
  <si>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</si>
  <si>
    <r>
      <rPr>
        <sz val="9"/>
        <color rgb="FF595959"/>
        <rFont val="Arial"/>
        <family val="0"/>
        <charset val="1"/>
      </rPr>
      <t xml:space="preserve">EV </t>
    </r>
    <r>
      <rPr>
        <sz val="9"/>
        <color rgb="FF595959"/>
        <rFont val="WenQuanYi Zen Hei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9/21 </t>
    </r>
    <r>
      <rPr>
        <sz val="9"/>
        <color rgb="FF595959"/>
        <rFont val="WenQuanYi Zen Hei"/>
        <family val="2"/>
      </rPr>
      <t xml:space="preserve">市值與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淨負債；含租賃再加營業租賃負債 </t>
    </r>
    <r>
      <rPr>
        <sz val="9"/>
        <color rgb="FF595959"/>
        <rFont val="Arial"/>
        <family val="0"/>
        <charset val="1"/>
      </rPr>
      <t xml:space="preserve">16.319</t>
    </r>
  </si>
  <si>
    <r>
      <rPr>
        <sz val="10"/>
        <rFont val="Arial"/>
        <family val="0"/>
        <charset val="1"/>
      </rPr>
      <t xml:space="preserve">CRWV </t>
    </r>
    <r>
      <rPr>
        <sz val="10"/>
        <rFont val="WenQuanYi Zen Hei"/>
        <family val="2"/>
      </rPr>
      <t xml:space="preserve">模型 </t>
    </r>
    <r>
      <rPr>
        <sz val="10"/>
        <rFont val="Arial"/>
        <family val="0"/>
        <charset val="1"/>
      </rPr>
      <t xml:space="preserve">FY27E</t>
    </r>
  </si>
  <si>
    <r>
      <rPr>
        <sz val="9"/>
        <color rgb="FF595959"/>
        <rFont val="WenQuanYi Zen Hei"/>
        <family val="2"/>
      </rPr>
      <t xml:space="preserve">市值用模型股數（含 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WenQuanYi Zen Hei"/>
        <family val="2"/>
      </rPr>
      <t xml:space="preserve">上限）；分母為模型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營收</t>
    </r>
  </si>
  <si>
    <r>
      <rPr>
        <sz val="9"/>
        <color rgb="FF595959"/>
        <rFont val="WenQuanYi Zen Hei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TTM EV/Sales </t>
    </r>
    <r>
      <rPr>
        <sz val="9"/>
        <color rgb="FF595959"/>
        <rFont val="WenQuanYi Zen Hei"/>
        <family val="2"/>
      </rPr>
      <t xml:space="preserve">約為同業中位數的四成。折價來源有三，不能全部解讀為便宜：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WenQuanYi Zen Hei"/>
        <family val="2"/>
      </rPr>
      <t xml:space="preserve">同業仍在爬坡，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營收遠小於已簽約規模，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倍數偏高；</t>
    </r>
  </si>
  <si>
    <r>
      <rPr>
        <sz val="9"/>
        <color rgb="FF595959"/>
        <rFont val="Arial"/>
        <family val="0"/>
        <charset val="1"/>
      </rPr>
      <t xml:space="preserve">(2) CRWV </t>
    </r>
    <r>
      <rPr>
        <sz val="9"/>
        <color rgb="FF595959"/>
        <rFont val="WenQuanYi Zen Hei"/>
        <family val="2"/>
      </rPr>
      <t xml:space="preserve">用租約取得機房，加入營業租賃負債後倍數升至約 </t>
    </r>
    <r>
      <rPr>
        <sz val="9"/>
        <color rgb="FF595959"/>
        <rFont val="Arial"/>
        <family val="0"/>
        <charset val="1"/>
      </rPr>
      <t xml:space="preserve">12x</t>
    </r>
    <r>
      <rPr>
        <sz val="9"/>
        <color rgb="FF595959"/>
        <rFont val="WenQuanYi Zen Hei"/>
        <family val="2"/>
      </rPr>
      <t xml:space="preserve">，同業加與不加差別很小；</t>
    </r>
    <r>
      <rPr>
        <sz val="9"/>
        <color rgb="FF595959"/>
        <rFont val="Arial"/>
        <family val="0"/>
        <charset val="1"/>
      </rPr>
      <t xml:space="preserve">(3) </t>
    </r>
    <r>
      <rPr>
        <sz val="9"/>
        <color rgb="FF595959"/>
        <rFont val="WenQuanYi Zen Hei"/>
        <family val="2"/>
      </rPr>
      <t xml:space="preserve">客戶集中（前三大 </t>
    </r>
    <r>
      <rPr>
        <sz val="9"/>
        <color rgb="FF595959"/>
        <rFont val="Arial"/>
        <family val="0"/>
        <charset val="1"/>
      </rPr>
      <t xml:space="preserve">72%</t>
    </r>
    <r>
      <rPr>
        <sz val="9"/>
        <color rgb="FF595959"/>
        <rFont val="WenQuanYi Zen Hei"/>
        <family val="2"/>
      </rPr>
      <t xml:space="preserve">）與五期外部資金需求。</t>
    </r>
  </si>
  <si>
    <r>
      <rPr>
        <sz val="9"/>
        <color rgb="FF595959"/>
        <rFont val="WenQuanYi Zen Hei"/>
        <family val="2"/>
      </rPr>
      <t xml:space="preserve">前瞻：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WenQuanYi Zen Hei"/>
        <family val="2"/>
      </rPr>
      <t xml:space="preserve">前瞻 </t>
    </r>
    <r>
      <rPr>
        <sz val="9"/>
        <color rgb="FF595959"/>
        <rFont val="Arial"/>
        <family val="0"/>
        <charset val="1"/>
      </rPr>
      <t xml:space="preserve">EV/Sales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9.3x</t>
    </r>
    <r>
      <rPr>
        <sz val="9"/>
        <color rgb="FF595959"/>
        <rFont val="WenQuanYi Zen Hei"/>
        <family val="2"/>
      </rPr>
      <t xml:space="preserve">（由 </t>
    </r>
    <r>
      <rPr>
        <sz val="9"/>
        <color rgb="FF595959"/>
        <rFont val="Arial"/>
        <family val="0"/>
        <charset val="1"/>
      </rPr>
      <t xml:space="preserve">9/18 forward PS </t>
    </r>
    <r>
      <rPr>
        <sz val="9"/>
        <color rgb="FF595959"/>
        <rFont val="WenQuanYi Zen Hei"/>
        <family val="2"/>
      </rPr>
      <t xml:space="preserve">推算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FY27E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3x</t>
    </r>
    <r>
      <rPr>
        <sz val="9"/>
        <color rgb="FF595959"/>
        <rFont val="WenQuanYi Zen Hei"/>
        <family val="2"/>
      </rPr>
      <t xml:space="preserve">。此表為市場比較用，不進入目標價（</t>
    </r>
    <r>
      <rPr>
        <sz val="9"/>
        <color rgb="FF595959"/>
        <rFont val="Arial"/>
        <family val="0"/>
        <charset val="1"/>
      </rPr>
      <t xml:space="preserve">DCF 45%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EV/EBITDA 55%</t>
    </r>
    <r>
      <rPr>
        <sz val="9"/>
        <color rgb="FF595959"/>
        <rFont val="WenQuanYi Zen Hei"/>
        <family val="2"/>
      </rPr>
      <t xml:space="preserve">）。</t>
    </r>
  </si>
  <si>
    <t xml:space="preserve">連動檢查 — 恆等式與口徑</t>
  </si>
  <si>
    <t xml:space="preserve">檢查項目</t>
  </si>
  <si>
    <t xml:space="preserve">實際值</t>
  </si>
  <si>
    <t xml:space="preserve">標準</t>
  </si>
  <si>
    <t xml:space="preserve">結果</t>
  </si>
  <si>
    <t xml:space="preserve">說明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</si>
  <si>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桶 </t>
    </r>
    <r>
      <rPr>
        <sz val="9"/>
        <color rgb="FF595959"/>
        <rFont val="Arial"/>
        <family val="0"/>
        <charset val="1"/>
      </rPr>
      <t xml:space="preserve">41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39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WenQuanYi Zen Hei"/>
        <family val="2"/>
      </rPr>
      <t xml:space="preserve">線性分攤後應為 </t>
    </r>
    <r>
      <rPr>
        <sz val="9"/>
        <color rgb="FF595959"/>
        <rFont val="Arial"/>
        <family val="0"/>
        <charset val="1"/>
      </rPr>
      <t xml:space="preserve">84%</t>
    </r>
  </si>
  <si>
    <t xml:space="preserve">現金橋差異</t>
  </si>
  <si>
    <t xml:space="preserve">期初＋營運缺口＋股權＋額度−還本 ＝ 期末</t>
  </si>
  <si>
    <r>
      <rPr>
        <sz val="10"/>
        <rFont val="Arial"/>
        <family val="0"/>
        <charset val="1"/>
      </rPr>
      <t xml:space="preserve">Billable ≤ Accepted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</rPr>
      <t xml:space="preserve">）</t>
    </r>
  </si>
  <si>
    <t xml:space="preserve">≥0</t>
  </si>
  <si>
    <r>
      <rPr>
        <sz val="9"/>
        <color rgb="FF595959"/>
        <rFont val="WenQuanYi Zen Hei"/>
        <family val="2"/>
      </rPr>
      <t xml:space="preserve">引擎已以 </t>
    </r>
    <r>
      <rPr>
        <sz val="9"/>
        <color rgb="FF595959"/>
        <rFont val="Arial"/>
        <family val="0"/>
        <charset val="1"/>
      </rPr>
      <t xml:space="preserve">MIN </t>
    </r>
    <r>
      <rPr>
        <sz val="9"/>
        <color rgb="FF595959"/>
        <rFont val="WenQuanYi Zen Hei"/>
        <family val="2"/>
      </rPr>
      <t xml:space="preserve">截斷；此列驗證截斷有效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</si>
  <si>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WenQuanYi Zen Hei"/>
        <family val="2"/>
      </rPr>
      <t xml:space="preserve">認列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</t>
    </r>
  </si>
  <si>
    <t xml:space="preserve">35–39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</si>
  <si>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16.139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模型；公司 </t>
    </r>
    <r>
      <rPr>
        <sz val="9"/>
        <color rgb="FF595959"/>
        <rFont val="Arial"/>
        <family val="0"/>
        <charset val="1"/>
      </rPr>
      <t xml:space="preserve">8/11 </t>
    </r>
    <r>
      <rPr>
        <sz val="9"/>
        <color rgb="FF595959"/>
        <rFont val="WenQuanYi Zen Hei"/>
        <family val="2"/>
      </rPr>
      <t xml:space="preserve">上修全年 </t>
    </r>
    <r>
      <rPr>
        <sz val="9"/>
        <color rgb="FF595959"/>
        <rFont val="Arial"/>
        <family val="0"/>
        <charset val="1"/>
      </rPr>
      <t xml:space="preserve">35–39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</si>
  <si>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營收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</t>
    </r>
  </si>
  <si>
    <t xml:space="preserve">12.4–13.2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</si>
  <si>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4.653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模型（算力＋非算力服務）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</si>
  <si>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強度（模型期合計）</t>
    </r>
  </si>
  <si>
    <t xml:space="preserve">$28–34m/MW</t>
  </si>
  <si>
    <r>
      <rPr>
        <sz val="9"/>
        <color rgb="FF595959"/>
        <rFont val="WenQuanYi Zen Hei"/>
        <family val="2"/>
      </rPr>
      <t xml:space="preserve">公司自身比率：</t>
    </r>
    <r>
      <rPr>
        <sz val="9"/>
        <color rgb="FF595959"/>
        <rFont val="Arial"/>
        <family val="0"/>
        <charset val="1"/>
      </rPr>
      <t xml:space="preserve">2026 CapEx 35–39bn </t>
    </r>
    <r>
      <rPr>
        <sz val="9"/>
        <color rgb="FF595959"/>
        <rFont val="WenQuanYi Zen Hei"/>
        <family val="2"/>
      </rPr>
      <t xml:space="preserve">對應約 </t>
    </r>
    <r>
      <rPr>
        <sz val="9"/>
        <color rgb="FF595959"/>
        <rFont val="Arial"/>
        <family val="0"/>
        <charset val="1"/>
      </rPr>
      <t xml:space="preserve">+1.25 GW </t>
    </r>
    <r>
      <rPr>
        <sz val="9"/>
        <color rgb="FF595959"/>
        <rFont val="WenQuanYi Zen Hei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$28–34m/MW</t>
    </r>
  </si>
  <si>
    <r>
      <rPr>
        <sz val="10"/>
        <rFont val="WenQuanYi Zen Hei"/>
        <family val="2"/>
      </rPr>
      <t xml:space="preserve">表外租金路徑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已承諾</t>
    </r>
  </si>
  <si>
    <t xml:space="preserve">≥0.8x</t>
  </si>
  <si>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WenQuanYi Zen Hei"/>
        <family val="2"/>
      </rPr>
      <t xml:space="preserve">路徑所需新租約多數未簽，路徑高於承諾屬假設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</si>
  <si>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WenQuanYi Zen Hei"/>
        <family val="2"/>
      </rPr>
      <t xml:space="preserve">）</t>
    </r>
  </si>
  <si>
    <t xml:space="preserve">≥2.9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</si>
  <si>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1.176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1.8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指引 </t>
    </r>
    <r>
      <rPr>
        <sz val="9"/>
        <color rgb="FF595959"/>
        <rFont val="Arial"/>
        <family val="0"/>
        <charset val="1"/>
      </rPr>
      <t xml:space="preserve">0.86–0.94</t>
    </r>
    <r>
      <rPr>
        <sz val="9"/>
        <color rgb="FF595959"/>
        <rFont val="WenQuanYi Zen Hei"/>
        <family val="2"/>
      </rPr>
      <t xml:space="preserve">／季</t>
    </r>
  </si>
  <si>
    <r>
      <rPr>
        <sz val="10"/>
        <rFont val="Arial"/>
        <family val="0"/>
        <charset val="1"/>
      </rPr>
      <t xml:space="preserve">FY28 </t>
    </r>
    <r>
      <rPr>
        <sz val="10"/>
        <rFont val="WenQuanYi Zen Hei"/>
        <family val="2"/>
      </rPr>
      <t xml:space="preserve">起收入是否依賴未簽約</t>
    </r>
  </si>
  <si>
    <r>
      <rPr>
        <sz val="9"/>
        <color rgb="FF595959"/>
        <rFont val="Arial"/>
        <family val="0"/>
        <charset val="1"/>
      </rPr>
      <t xml:space="preserve">&lt;50% </t>
    </r>
    <r>
      <rPr>
        <sz val="9"/>
        <color rgb="FF595959"/>
        <rFont val="WenQuanYi Zen Hei"/>
        <family val="2"/>
      </rPr>
      <t xml:space="preserve">較穩健</t>
    </r>
  </si>
  <si>
    <r>
      <rPr>
        <sz val="9"/>
        <color rgb="FF595959"/>
        <rFont val="Arial"/>
        <family val="0"/>
        <charset val="1"/>
      </rPr>
      <t xml:space="preserve">FY28–30 </t>
    </r>
    <r>
      <rPr>
        <sz val="9"/>
        <color rgb="FF595959"/>
        <rFont val="WenQuanYi Zen Hei"/>
        <family val="2"/>
      </rPr>
      <t xml:space="preserve">新簽約收入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同期總算力收入。高＝</t>
    </r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WenQuanYi Zen Hei"/>
        <family val="2"/>
      </rPr>
      <t xml:space="preserve">敘事的風險集中點</t>
    </r>
  </si>
  <si>
    <t xml:space="preserve">損益營收＝資金營收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</si>
  <si>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損益算力收入 − 產能頁 </t>
    </r>
    <r>
      <rPr>
        <sz val="9"/>
        <color rgb="FF595959"/>
        <rFont val="Arial"/>
        <family val="0"/>
        <charset val="1"/>
      </rPr>
      <t xml:space="preserve">isRev</t>
    </r>
    <r>
      <rPr>
        <sz val="9"/>
        <color rgb="FF595959"/>
        <rFont val="WenQuanYi Zen Hei"/>
        <family val="2"/>
      </rPr>
      <t xml:space="preserve">。兩邊必須同一組數字</t>
    </r>
  </si>
  <si>
    <t xml:space="preserve">&lt;85%</t>
  </si>
  <si>
    <t xml:space="preserve">過高表示結論由終值假設決定</t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</si>
  <si>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單一來源（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損益 </t>
    </r>
    <r>
      <rPr>
        <sz val="10"/>
        <rFont val="Arial"/>
        <family val="0"/>
        <charset val="1"/>
      </rPr>
      <t xml:space="preserve">EBITDA÷</t>
    </r>
    <r>
      <rPr>
        <sz val="10"/>
        <rFont val="WenQuanYi Zen Hei"/>
        <family val="2"/>
      </rPr>
      <t xml:space="preserve">營收 − 輸入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率）</t>
    </r>
  </si>
  <si>
    <r>
      <rPr>
        <sz val="9"/>
        <color rgb="FF595959"/>
        <rFont val="WenQuanYi Zen Hei"/>
        <family val="2"/>
      </rPr>
      <t xml:space="preserve">損益與資金引用同一列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</si>
  <si>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現金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＋ 信用調整 − 損益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</si>
  <si>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現金＋新簽約現金＋服務現金−租金；信用調整＝信用損失</t>
    </r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WenQuanYi Zen Hei"/>
        <family val="2"/>
      </rPr>
      <t xml:space="preserve">率</t>
    </r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</si>
  <si>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有效性（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＝失效）</t>
    </r>
  </si>
  <si>
    <t xml:space="preserve">0</t>
  </si>
  <si>
    <r>
      <rPr>
        <sz val="9"/>
        <color rgb="FF595959"/>
        <rFont val="WenQuanYi Zen Hei"/>
        <family val="2"/>
      </rPr>
      <t xml:space="preserve">失效只定義為 </t>
    </r>
    <r>
      <rPr>
        <sz val="9"/>
        <color rgb="FF595959"/>
        <rFont val="Arial"/>
        <family val="0"/>
        <charset val="1"/>
      </rPr>
      <t xml:space="preserve">WACC ≤ g </t>
    </r>
    <r>
      <rPr>
        <sz val="9"/>
        <color rgb="FF595959"/>
        <rFont val="WenQuanYi Zen Hei"/>
        <family val="2"/>
      </rPr>
      <t xml:space="preserve">或常態化 </t>
    </r>
    <r>
      <rPr>
        <sz val="9"/>
        <color rgb="FF595959"/>
        <rFont val="Arial"/>
        <family val="0"/>
        <charset val="1"/>
      </rPr>
      <t xml:space="preserve">FCF ≤ 0</t>
    </r>
    <r>
      <rPr>
        <sz val="9"/>
        <color rgb="FF595959"/>
        <rFont val="WenQuanYi Zen Hei"/>
        <family val="2"/>
      </rPr>
      <t xml:space="preserve">；股權為負不算失效</t>
    </r>
  </si>
  <si>
    <t xml:space="preserve">期末現金 ≥ 最低現金（期前融資）</t>
  </si>
  <si>
    <t xml:space="preserve">≥2.0</t>
  </si>
  <si>
    <t xml:space="preserve">瀑布每期補足至最低現金；最小值應等於最低現金</t>
  </si>
  <si>
    <r>
      <rPr>
        <sz val="10"/>
        <rFont val="WenQuanYi Zen Hei"/>
        <family val="2"/>
      </rPr>
      <t xml:space="preserve">股權募資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現市值</t>
    </r>
  </si>
  <si>
    <t xml:space="preserve">≤1.5x</t>
  </si>
  <si>
    <r>
      <rPr>
        <sz val="9"/>
        <color rgb="FF595959"/>
        <rFont val="WenQuanYi Zen Hei"/>
        <family val="2"/>
      </rPr>
      <t xml:space="preserve">超過 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WenQuanYi Zen Hei"/>
        <family val="2"/>
      </rPr>
      <t xml:space="preserve">倍：市場吸收能力存疑，結論不得為買進</t>
    </r>
  </si>
  <si>
    <r>
      <rPr>
        <sz val="10"/>
        <rFont val="WenQuanYi Zen Hei"/>
        <family val="2"/>
      </rPr>
      <t xml:space="preserve">債務明細合計 </t>
    </r>
    <r>
      <rPr>
        <sz val="10"/>
        <rFont val="Arial"/>
        <family val="0"/>
        <charset val="1"/>
      </rPr>
      <t xml:space="preserve">= 10-Q </t>
    </r>
    <r>
      <rPr>
        <sz val="10"/>
        <rFont val="WenQuanYi Zen Hei"/>
        <family val="2"/>
      </rPr>
      <t xml:space="preserve">本金 </t>
    </r>
    <r>
      <rPr>
        <sz val="10"/>
        <rFont val="Arial"/>
        <family val="0"/>
        <charset val="1"/>
      </rPr>
      <t xml:space="preserve">35.551</t>
    </r>
  </si>
  <si>
    <t xml:space="preserve">35.551</t>
  </si>
  <si>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WenQuanYi Zen Hei"/>
        <family val="2"/>
      </rPr>
      <t xml:space="preserve">筆工具逐筆加總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</si>
  <si>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全年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公式）</t>
    </r>
  </si>
  <si>
    <r>
      <rPr>
        <sz val="9"/>
        <color rgb="FF595959"/>
        <rFont val="WenQuanYi Zen Hei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YE25 850→YE26 1,850 MW </t>
    </r>
    <r>
      <rPr>
        <sz val="9"/>
        <color rgb="FF595959"/>
        <rFont val="WenQuanYi Zen Hei"/>
        <family val="2"/>
      </rPr>
      <t xml:space="preserve">與預建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推得；應重現公司全年指引</t>
    </r>
  </si>
  <si>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已承諾餘額於 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年內履行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</si>
  <si>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1.7 </t>
    </r>
    <r>
      <rPr>
        <sz val="9"/>
        <color rgb="FF595959"/>
        <rFont val="WenQuanYi Zen Hei"/>
        <family val="2"/>
      </rPr>
      <t xml:space="preserve">承諾預計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年內履行，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WenQuanYi Zen Hei"/>
        <family val="2"/>
      </rPr>
      <t xml:space="preserve">已付 </t>
    </r>
    <r>
      <rPr>
        <sz val="9"/>
        <color rgb="FF595959"/>
        <rFont val="Arial"/>
        <family val="0"/>
        <charset val="1"/>
      </rPr>
      <t xml:space="preserve">0.55</t>
    </r>
  </si>
  <si>
    <r>
      <rPr>
        <sz val="10"/>
        <rFont val="WenQuanYi Zen Hei"/>
        <family val="2"/>
      </rPr>
      <t xml:space="preserve">模型每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年租金（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</si>
  <si>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≥ 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占比</t>
    </r>
  </si>
  <si>
    <r>
      <rPr>
        <sz val="9"/>
        <color rgb="FF595959"/>
        <rFont val="WenQuanYi Zen Hei"/>
        <family val="2"/>
      </rPr>
      <t xml:space="preserve">低於基準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占比的八成即標示：模型租金路徑可能低估</t>
    </r>
  </si>
  <si>
    <t xml:space="preserve">站點租賃：五期租金可能低估</t>
  </si>
  <si>
    <t xml:space="preserve">&lt;10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</si>
  <si>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Σ(</t>
    </r>
    <r>
      <rPr>
        <sz val="9"/>
        <color rgb="FF595959"/>
        <rFont val="WenQuanYi Zen Hei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MW×</t>
    </r>
    <r>
      <rPr>
        <sz val="9"/>
        <color rgb="FF595959"/>
        <rFont val="WenQuanYi Zen Hei"/>
        <family val="2"/>
      </rPr>
      <t xml:space="preserve">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第三方占比 − 模型租金</t>
    </r>
    <r>
      <rPr>
        <sz val="9"/>
        <color rgb="FF595959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</si>
  <si>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關鍵輸出（快照；「模型期」＝</t>
    </r>
    <r>
      <rPr>
        <b val="true"/>
        <sz val="10"/>
        <rFont val="Arial"/>
        <family val="0"/>
        <charset val="1"/>
      </rPr>
      <t xml:space="preserve">2026-07-01</t>
    </r>
    <r>
      <rPr>
        <b val="true"/>
        <sz val="10"/>
        <rFont val="WenQuanYi Zen Hei"/>
        <family val="2"/>
      </rPr>
      <t xml:space="preserve">～</t>
    </r>
    <r>
      <rPr>
        <b val="true"/>
        <sz val="10"/>
        <rFont val="Arial"/>
        <family val="0"/>
        <charset val="1"/>
      </rPr>
      <t xml:space="preserve">2030</t>
    </r>
    <r>
      <rPr>
        <b val="true"/>
        <sz val="10"/>
        <rFont val="WenQuanYi Zen Hei"/>
        <family val="2"/>
      </rPr>
      <t xml:space="preserve">，與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WenQuanYi Zen Hei"/>
        <family val="2"/>
      </rPr>
      <t xml:space="preserve">頂部 </t>
    </r>
    <r>
      <rPr>
        <b val="true"/>
        <sz val="10"/>
        <rFont val="Arial"/>
        <family val="0"/>
        <charset val="1"/>
      </rPr>
      <t xml:space="preserve">KPI </t>
    </r>
    <r>
      <rPr>
        <b val="true"/>
        <sz val="10"/>
        <rFont val="WenQuanYi Zen Hei"/>
        <family val="2"/>
      </rPr>
      <t xml:space="preserve">同口徑）</t>
    </r>
  </si>
  <si>
    <r>
      <rPr>
        <sz val="10"/>
        <rFont val="WenQuanYi Zen Hei"/>
        <family val="2"/>
      </rPr>
      <t xml:space="preserve">模型期排程 </t>
    </r>
    <r>
      <rPr>
        <sz val="10"/>
        <rFont val="Arial"/>
        <family val="0"/>
        <charset val="1"/>
      </rPr>
      <t xml:space="preserve">RPO</t>
    </r>
  </si>
  <si>
    <t xml:space="preserve">模型期產能瓶頸</t>
  </si>
  <si>
    <t xml:space="preserve">模型期新簽約收入</t>
  </si>
  <si>
    <r>
      <rPr>
        <sz val="10"/>
        <rFont val="WenQuanYi Zen Hei"/>
        <family val="2"/>
      </rPr>
      <t xml:space="preserve">模型期毛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起）</t>
    </r>
  </si>
  <si>
    <r>
      <rPr>
        <sz val="10"/>
        <rFont val="WenQuanYi Zen Hei"/>
        <family val="2"/>
      </rPr>
      <t xml:space="preserve">模型期租金（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起）</t>
    </r>
  </si>
  <si>
    <r>
      <rPr>
        <sz val="10"/>
        <rFont val="WenQuanYi Zen Hei"/>
        <family val="2"/>
      </rPr>
      <t xml:space="preserve">模型期利息（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起，含瀑布新債）</t>
    </r>
  </si>
  <si>
    <r>
      <rPr>
        <sz val="10"/>
        <rFont val="WenQuanYi Zen Hei"/>
        <family val="2"/>
      </rPr>
      <t xml:space="preserve">模型期排程還本（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起）</t>
    </r>
  </si>
  <si>
    <r>
      <rPr>
        <sz val="10"/>
        <rFont val="WenQuanYi Zen Hei"/>
        <family val="2"/>
      </rPr>
      <t xml:space="preserve">模型期營運缺口（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</si>
  <si>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全年口徑營運缺口（含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</si>
  <si>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</t>
    </r>
  </si>
  <si>
    <t xml:space="preserve">版本紀錄（基準情境目標價變化與原因）</t>
  </si>
  <si>
    <r>
      <rPr>
        <sz val="9"/>
        <color rgb="FF595959"/>
        <rFont val="Arial"/>
        <family val="0"/>
        <charset val="1"/>
      </rPr>
      <t xml:space="preserve">v2.9 </t>
    </r>
    <r>
      <rPr>
        <sz val="9"/>
        <color rgb="FF595959"/>
        <rFont val="WenQuanYi Zen Hei"/>
        <family val="2"/>
      </rPr>
      <t xml:space="preserve">以前檔名日期統一沿用 </t>
    </r>
    <r>
      <rPr>
        <sz val="9"/>
        <color rgb="FF595959"/>
        <rFont val="Arial"/>
        <family val="0"/>
        <charset val="1"/>
      </rPr>
      <t xml:space="preserve">20260918</t>
    </r>
    <r>
      <rPr>
        <sz val="9"/>
        <color rgb="FF595959"/>
        <rFont val="WenQuanYi Zen Hei"/>
        <family val="2"/>
      </rPr>
      <t xml:space="preserve">，此處日期為實際修改日。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WenQuanYi Zen Hei"/>
        <family val="2"/>
      </rPr>
      <t xml:space="preserve">以前基準為 </t>
    </r>
    <r>
      <rPr>
        <sz val="9"/>
        <color rgb="FF595959"/>
        <rFont val="Arial"/>
        <family val="0"/>
        <charset val="1"/>
      </rPr>
      <t xml:space="preserve">8 GW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 GW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v1.8 </t>
    </r>
    <r>
      <rPr>
        <sz val="9"/>
        <color rgb="FF595959"/>
        <rFont val="WenQuanYi Zen Hei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5.6 GW</t>
    </r>
    <r>
      <rPr>
        <sz val="9"/>
        <color rgb="FF595959"/>
        <rFont val="WenQuanYi Zen Hei"/>
        <family val="2"/>
      </rPr>
      <t xml:space="preserve">；情境定義改變的版本不可直接比較。目標價以當版預設輸入計算（</t>
    </r>
    <r>
      <rPr>
        <sz val="9"/>
        <color rgb="FF595959"/>
        <rFont val="Arial"/>
        <family val="0"/>
        <charset val="1"/>
      </rPr>
      <t xml:space="preserve">DCF 0 </t>
    </r>
    <r>
      <rPr>
        <sz val="9"/>
        <color rgb="FF595959"/>
        <rFont val="WenQuanYi Zen Hei"/>
        <family val="2"/>
      </rPr>
      <t xml:space="preserve">截斷）</t>
    </r>
  </si>
  <si>
    <t xml:space="preserve">版本</t>
  </si>
  <si>
    <t xml:space="preserve">日期</t>
  </si>
  <si>
    <t xml:space="preserve">主要變更</t>
  </si>
  <si>
    <t xml:space="preserve">基準目標價</t>
  </si>
  <si>
    <t xml:space="preserve">變動原因</t>
  </si>
  <si>
    <t xml:space="preserve">v4.1</t>
  </si>
  <si>
    <t xml:space="preserve">09-25</t>
  </si>
  <si>
    <r>
      <rPr>
        <sz val="10"/>
        <rFont val="WenQuanYi Zen Hei"/>
        <family val="2"/>
      </rPr>
      <t xml:space="preserve">目標價改為區間呈現：情境區間（保守與積極情境，保留手動調整）與方法區間（目前情境，</t>
    </r>
    <r>
      <rPr>
        <sz val="10"/>
        <rFont val="Arial"/>
        <family val="0"/>
        <charset val="1"/>
      </rPr>
      <t xml:space="preserve">EV/EBITDA 5–6x</t>
    </r>
    <r>
      <rPr>
        <sz val="10"/>
        <rFont val="WenQuanYi Zen Hei"/>
        <family val="2"/>
      </rPr>
      <t xml:space="preserve">）；判斷句揭露與賣出門檻的餘裕；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權重說明；刪除評價頁舊的下檔／上檔與操作區間；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情境區間以模擬運算表計算（活公式）</t>
    </r>
  </si>
  <si>
    <t xml:space="preserve">$47.5</t>
  </si>
  <si>
    <r>
      <rPr>
        <sz val="10"/>
        <rFont val="WenQuanYi Zen Hei"/>
        <family val="2"/>
      </rPr>
      <t xml:space="preserve">點位無變動；情境區間 </t>
    </r>
    <r>
      <rPr>
        <sz val="10"/>
        <rFont val="Arial"/>
        <family val="0"/>
        <charset val="1"/>
      </rPr>
      <t xml:space="preserve">$32.1–$71.7</t>
    </r>
    <r>
      <rPr>
        <sz val="10"/>
        <rFont val="WenQuanYi Zen Hei"/>
        <family val="2"/>
      </rPr>
      <t xml:space="preserve">、方法區間 </t>
    </r>
    <r>
      <rPr>
        <sz val="10"/>
        <rFont val="Arial"/>
        <family val="0"/>
        <charset val="1"/>
      </rPr>
      <t xml:space="preserve">$30.8–$47.5</t>
    </r>
  </si>
  <si>
    <t xml:space="preserve">v4.0</t>
  </si>
  <si>
    <t xml:space="preserve">09-24</t>
  </si>
  <si>
    <r>
      <rPr>
        <sz val="10"/>
        <rFont val="WenQuanYi Zen Hei"/>
        <family val="2"/>
      </rPr>
      <t xml:space="preserve">結構重整：公司資料集中到 </t>
    </r>
    <r>
      <rPr>
        <sz val="10"/>
        <rFont val="Arial"/>
        <family val="0"/>
        <charset val="1"/>
      </rPr>
      <t xml:space="preserve">company.json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HTML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共用，</t>
    </r>
    <r>
      <rPr>
        <sz val="10"/>
        <rFont val="Arial"/>
        <family val="0"/>
        <charset val="1"/>
      </rPr>
      <t xml:space="preserve">Excel 75 </t>
    </r>
    <r>
      <rPr>
        <sz val="10"/>
        <rFont val="WenQuanYi Zen Hei"/>
        <family val="2"/>
      </rPr>
      <t xml:space="preserve">項輸入改讀此檔）；資料常數與引擎主函式改為可讀名稱；數字與畫面與 </t>
    </r>
    <r>
      <rPr>
        <sz val="10"/>
        <rFont val="Arial"/>
        <family val="0"/>
        <charset val="1"/>
      </rPr>
      <t xml:space="preserve">v3.6 </t>
    </r>
    <r>
      <rPr>
        <sz val="10"/>
        <rFont val="WenQuanYi Zen Hei"/>
        <family val="2"/>
      </rPr>
      <t xml:space="preserve">完全相同</t>
    </r>
  </si>
  <si>
    <t xml:space="preserve">無變動（純結構）</t>
  </si>
  <si>
    <t xml:space="preserve">v3.6</t>
  </si>
  <si>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錨定年度預設改為 </t>
    </r>
    <r>
      <rPr>
        <sz val="10"/>
        <rFont val="Arial"/>
        <family val="0"/>
        <charset val="1"/>
      </rPr>
      <t xml:space="preserve">FY29</t>
    </r>
    <r>
      <rPr>
        <sz val="10"/>
        <rFont val="WenQuanYi Zen Hei"/>
        <family val="2"/>
      </rPr>
      <t xml:space="preserve">（接近穩態利潤率，與 </t>
    </r>
    <r>
      <rPr>
        <sz val="10"/>
        <rFont val="Arial"/>
        <family val="0"/>
        <charset val="1"/>
      </rPr>
      <t xml:space="preserve">6x </t>
    </r>
    <r>
      <rPr>
        <sz val="10"/>
        <rFont val="WenQuanYi Zen Hei"/>
        <family val="2"/>
      </rPr>
      <t xml:space="preserve">穩態倍數一致）</t>
    </r>
  </si>
  <si>
    <r>
      <rPr>
        <sz val="10"/>
        <rFont val="WenQuanYi Zen Hei"/>
        <family val="2"/>
      </rPr>
      <t xml:space="preserve">錨定 </t>
    </r>
    <r>
      <rPr>
        <sz val="10"/>
        <rFont val="Arial"/>
        <family val="0"/>
        <charset val="1"/>
      </rPr>
      <t xml:space="preserve">FY27→FY29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 </t>
    </r>
    <r>
      <rPr>
        <sz val="10"/>
        <rFont val="Arial"/>
        <family val="0"/>
        <charset val="1"/>
      </rPr>
      <t xml:space="preserve">$38.7→$86.4</t>
    </r>
    <r>
      <rPr>
        <sz val="10"/>
        <rFont val="WenQuanYi Zen Hei"/>
        <family val="2"/>
      </rPr>
      <t xml:space="preserve">；保守情境 </t>
    </r>
    <r>
      <rPr>
        <sz val="10"/>
        <rFont val="Arial"/>
        <family val="0"/>
        <charset val="1"/>
      </rPr>
      <t xml:space="preserve">$71.7</t>
    </r>
    <r>
      <rPr>
        <sz val="10"/>
        <rFont val="WenQuanYi Zen Hei"/>
        <family val="2"/>
      </rPr>
      <t xml:space="preserve">（−</t>
    </r>
    <r>
      <rPr>
        <sz val="10"/>
        <rFont val="Arial"/>
        <family val="0"/>
        <charset val="1"/>
      </rPr>
      <t xml:space="preserve">16%</t>
    </r>
    <r>
      <rPr>
        <sz val="10"/>
        <rFont val="WenQuanYi Zen Hei"/>
        <family val="2"/>
      </rPr>
      <t xml:space="preserve">）接近賣出門檻</t>
    </r>
  </si>
  <si>
    <t xml:space="preserve">v3.5</t>
  </si>
  <si>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錨定年度可選（</t>
    </r>
    <r>
      <rPr>
        <sz val="10"/>
        <rFont val="Arial"/>
        <family val="0"/>
        <charset val="1"/>
      </rPr>
      <t xml:space="preserve">FY27–FY30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FY28 </t>
    </r>
    <r>
      <rPr>
        <sz val="10"/>
        <rFont val="WenQuanYi Zen Hei"/>
        <family val="2"/>
      </rPr>
      <t xml:space="preserve">起以 </t>
    </r>
    <r>
      <rPr>
        <sz val="10"/>
        <rFont val="Arial"/>
        <family val="0"/>
        <charset val="1"/>
      </rPr>
      <t xml:space="preserve">WACC </t>
    </r>
    <r>
      <rPr>
        <sz val="10"/>
        <rFont val="WenQuanYi Zen Hei"/>
        <family val="2"/>
      </rPr>
      <t xml:space="preserve">折回 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末）；評價頁與總結頁新增「錨定年度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倍數」矩陣；總結頁新增評價方法頁（</t>
    </r>
    <r>
      <rPr>
        <sz val="10"/>
        <rFont val="Arial"/>
        <family val="0"/>
        <charset val="1"/>
      </rPr>
      <t xml:space="preserve">9 </t>
    </r>
    <r>
      <rPr>
        <sz val="10"/>
        <rFont val="WenQuanYi Zen Hei"/>
        <family val="2"/>
      </rPr>
      <t xml:space="preserve">頁）</t>
    </r>
  </si>
  <si>
    <t xml:space="preserve">$21.3</t>
  </si>
  <si>
    <r>
      <rPr>
        <sz val="10"/>
        <rFont val="WenQuanYi Zen Hei"/>
        <family val="2"/>
      </rPr>
      <t xml:space="preserve">預設仍錨定 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，無變動；</t>
    </r>
    <r>
      <rPr>
        <sz val="10"/>
        <rFont val="Arial"/>
        <family val="0"/>
        <charset val="1"/>
      </rPr>
      <t xml:space="preserve">FY29 × 6x </t>
    </r>
    <r>
      <rPr>
        <sz val="10"/>
        <rFont val="WenQuanYi Zen Hei"/>
        <family val="2"/>
      </rPr>
      <t xml:space="preserve">為 </t>
    </r>
    <r>
      <rPr>
        <sz val="10"/>
        <rFont val="Arial"/>
        <family val="0"/>
        <charset val="1"/>
      </rPr>
      <t xml:space="preserve">$47.5</t>
    </r>
  </si>
  <si>
    <t xml:space="preserve">v3.4</t>
  </si>
  <si>
    <r>
      <rPr>
        <sz val="10"/>
        <rFont val="WenQuanYi Zen Hei"/>
        <family val="2"/>
      </rPr>
      <t xml:space="preserve">新增「總結」簡報頁（</t>
    </r>
    <r>
      <rPr>
        <sz val="10"/>
        <rFont val="Arial"/>
        <family val="0"/>
        <charset val="1"/>
      </rPr>
      <t xml:space="preserve">8 </t>
    </r>
    <r>
      <rPr>
        <sz val="10"/>
        <rFont val="WenQuanYi Zen Hei"/>
        <family val="2"/>
      </rPr>
      <t xml:space="preserve">頁、即時連動、簡報模式、列印 </t>
    </r>
    <r>
      <rPr>
        <sz val="10"/>
        <rFont val="Arial"/>
        <family val="0"/>
        <charset val="1"/>
      </rPr>
      <t xml:space="preserve">16:9</t>
    </r>
    <r>
      <rPr>
        <sz val="10"/>
        <rFont val="WenQuanYi Zen Hei"/>
        <family val="2"/>
      </rPr>
      <t xml:space="preserve">）；股權敏感度表加註融資組合與自動說明；更正融資瀑布說明的股權年度；修正 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無法開啟（</t>
    </r>
    <r>
      <rPr>
        <sz val="10"/>
        <rFont val="Arial"/>
        <family val="0"/>
        <charset val="1"/>
      </rPr>
      <t xml:space="preserve">sheetPr </t>
    </r>
    <r>
      <rPr>
        <sz val="10"/>
        <rFont val="WenQuanYi Zen Hei"/>
        <family val="2"/>
      </rPr>
      <t xml:space="preserve">子元素順序，</t>
    </r>
    <r>
      <rPr>
        <sz val="10"/>
        <rFont val="Arial"/>
        <family val="0"/>
        <charset val="1"/>
      </rPr>
      <t xml:space="preserve">v3.3 </t>
    </r>
    <r>
      <rPr>
        <sz val="10"/>
        <rFont val="WenQuanYi Zen Hei"/>
        <family val="2"/>
      </rPr>
      <t xml:space="preserve">起即存在）</t>
    </r>
  </si>
  <si>
    <t xml:space="preserve">無變動</t>
  </si>
  <si>
    <t xml:space="preserve">v3.3</t>
  </si>
  <si>
    <t xml:space="preserve">09-23</t>
  </si>
  <si>
    <r>
      <rPr>
        <sz val="10"/>
        <rFont val="WenQuanYi Zen Hei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（收入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成本組合）；版本變更紀錄；每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年收入／建置成本倍數</t>
    </r>
  </si>
  <si>
    <r>
      <rPr>
        <sz val="10"/>
        <rFont val="WenQuanYi Zen Hei"/>
        <family val="2"/>
      </rPr>
      <t xml:space="preserve">倍數預設 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，無變動</t>
    </r>
  </si>
  <si>
    <t xml:space="preserve">v3.2</t>
  </si>
  <si>
    <t xml:space="preserve">切換情境時保留手動調整的數字</t>
  </si>
  <si>
    <t xml:space="preserve">v3.1</t>
  </si>
  <si>
    <r>
      <rPr>
        <sz val="10"/>
        <rFont val="WenQuanYi Zen Hei"/>
        <family val="2"/>
      </rPr>
      <t xml:space="preserve">模組化（輸入與假設／各期收支／運營活動／資產與負債／損益／評價）；新債與新股；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分頁改名與拆分</t>
    </r>
  </si>
  <si>
    <t xml:space="preserve">v3.0</t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</si>
  <si>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失效條件；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下限方式切換（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／選擇權）；</t>
    </r>
    <r>
      <rPr>
        <sz val="10"/>
        <rFont val="Arial"/>
        <family val="0"/>
        <charset val="1"/>
      </rPr>
      <t xml:space="preserve">HTML </t>
    </r>
    <r>
      <rPr>
        <sz val="10"/>
        <rFont val="WenQuanYi Zen Hei"/>
        <family val="2"/>
      </rPr>
      <t xml:space="preserve">左欄分類選單；日期與版本同步</t>
    </r>
  </si>
  <si>
    <r>
      <rPr>
        <sz val="10"/>
        <rFont val="WenQuanYi Zen Hei"/>
        <family val="2"/>
      </rPr>
      <t xml:space="preserve">選擇權模式為 </t>
    </r>
    <r>
      <rPr>
        <sz val="10"/>
        <rFont val="Arial"/>
        <family val="0"/>
        <charset val="1"/>
      </rPr>
      <t xml:space="preserve">$26.3</t>
    </r>
  </si>
  <si>
    <t xml:space="preserve">v2.9</t>
  </si>
  <si>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依類別排序並可收合；原生併入 </t>
    </r>
    <r>
      <rPr>
        <sz val="10"/>
        <rFont val="Arial"/>
        <family val="0"/>
        <charset val="1"/>
      </rPr>
      <t xml:space="preserve">Copilot </t>
    </r>
    <r>
      <rPr>
        <sz val="10"/>
        <rFont val="WenQuanYi Zen Hei"/>
        <family val="2"/>
      </rPr>
      <t xml:space="preserve">改動</t>
    </r>
  </si>
  <si>
    <t xml:space="preserve">v2.6–2.8</t>
  </si>
  <si>
    <r>
      <rPr>
        <sz val="10"/>
        <rFont val="WenQuanYi Zen Hei"/>
        <family val="2"/>
      </rPr>
      <t xml:space="preserve">外部（</t>
    </r>
    <r>
      <rPr>
        <sz val="10"/>
        <rFont val="Arial"/>
        <family val="0"/>
        <charset val="1"/>
      </rPr>
      <t xml:space="preserve">Copilot</t>
    </r>
    <r>
      <rPr>
        <sz val="10"/>
        <rFont val="WenQuanYi Zen Hei"/>
        <family val="2"/>
      </rPr>
      <t xml:space="preserve">）版面調整與每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年收入敏感性</t>
    </r>
  </si>
  <si>
    <r>
      <rPr>
        <sz val="10"/>
        <rFont val="WenQuanYi Zen Hei"/>
        <family val="2"/>
      </rPr>
      <t xml:space="preserve">於 </t>
    </r>
    <r>
      <rPr>
        <sz val="10"/>
        <rFont val="Arial"/>
        <family val="0"/>
        <charset val="1"/>
      </rPr>
      <t xml:space="preserve">v2.9 </t>
    </r>
    <r>
      <rPr>
        <sz val="10"/>
        <rFont val="WenQuanYi Zen Hei"/>
        <family val="2"/>
      </rPr>
      <t xml:space="preserve">併入</t>
    </r>
  </si>
  <si>
    <t xml:space="preserve">v2.5</t>
  </si>
  <si>
    <t xml:space="preserve">09-22</t>
  </si>
  <si>
    <t xml:space="preserve">敏感性改以目標價為指標；附錄移至結論下方</t>
  </si>
  <si>
    <t xml:space="preserve">v2.4</t>
  </si>
  <si>
    <r>
      <rPr>
        <sz val="10"/>
        <rFont val="WenQuanYi Zen Hei"/>
        <family val="2"/>
      </rPr>
      <t xml:space="preserve">股權吸收上限 </t>
    </r>
    <r>
      <rPr>
        <sz val="10"/>
        <rFont val="Arial"/>
        <family val="0"/>
        <charset val="1"/>
      </rPr>
      <t xml:space="preserve">20%</t>
    </r>
    <r>
      <rPr>
        <sz val="10"/>
        <rFont val="WenQuanYi Zen Hei"/>
        <family val="2"/>
      </rPr>
      <t xml:space="preserve">＋高息債 </t>
    </r>
    <r>
      <rPr>
        <sz val="10"/>
        <rFont val="Arial"/>
        <family val="0"/>
        <charset val="1"/>
      </rPr>
      <t xml:space="preserve">12%</t>
    </r>
    <r>
      <rPr>
        <sz val="10"/>
        <rFont val="WenQuanYi Zen Hei"/>
        <family val="2"/>
      </rPr>
      <t xml:space="preserve">；融資前缺口圖；</t>
    </r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</rPr>
      <t xml:space="preserve">更名；標題與摘要改寫</t>
    </r>
  </si>
  <si>
    <t xml:space="preserve">v2.3</t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</si>
  <si>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率單一來源（</t>
    </r>
    <r>
      <rPr>
        <sz val="10"/>
        <rFont val="Arial"/>
        <family val="0"/>
        <charset val="1"/>
      </rPr>
      <t xml:space="preserve">59%→65%</t>
    </r>
    <r>
      <rPr>
        <sz val="10"/>
        <rFont val="WenQuanYi Zen Hei"/>
        <family val="2"/>
      </rPr>
      <t xml:space="preserve">）；資金端現金與損益連動；服務營收統一；債務上限 </t>
    </r>
    <r>
      <rPr>
        <sz val="10"/>
        <rFont val="Arial"/>
        <family val="0"/>
        <charset val="1"/>
      </rPr>
      <t xml:space="preserve">1.0x</t>
    </r>
  </si>
  <si>
    <r>
      <rPr>
        <sz val="10"/>
        <rFont val="WenQuanYi Zen Hei"/>
        <family val="2"/>
      </rPr>
      <t xml:space="preserve">債務上限依 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年實際融資組合校準為主因</t>
    </r>
  </si>
  <si>
    <t xml:space="preserve">v2.2</t>
  </si>
  <si>
    <r>
      <rPr>
        <sz val="10"/>
        <rFont val="Arial"/>
        <family val="0"/>
        <charset val="1"/>
      </rPr>
      <t xml:space="preserve">Comps </t>
    </r>
    <r>
      <rPr>
        <sz val="10"/>
        <rFont val="WenQuanYi Zen Hei"/>
        <family val="2"/>
      </rPr>
      <t xml:space="preserve">改以 </t>
    </r>
    <r>
      <rPr>
        <sz val="10"/>
        <rFont val="Arial"/>
        <family val="0"/>
        <charset val="1"/>
      </rPr>
      <t xml:space="preserve">EV/Sales </t>
    </r>
    <r>
      <rPr>
        <sz val="10"/>
        <rFont val="WenQuanYi Zen Hei"/>
        <family val="2"/>
      </rPr>
      <t xml:space="preserve">為主，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列為參考</t>
    </r>
  </si>
  <si>
    <t xml:space="preserve">$32.4</t>
  </si>
  <si>
    <t xml:space="preserve">v2.1</t>
  </si>
  <si>
    <t xml:space="preserve">更正先前「重複計費」的說法（僅文字）</t>
  </si>
  <si>
    <t xml:space="preserve">v2.0</t>
  </si>
  <si>
    <r>
      <rPr>
        <sz val="10"/>
        <rFont val="WenQuanYi Zen Hei"/>
        <family val="2"/>
      </rPr>
      <t xml:space="preserve">期前融資瀑布＋稀釋取代透支利息＋扣缺口（債務上限 </t>
    </r>
    <r>
      <rPr>
        <sz val="10"/>
        <rFont val="Arial"/>
        <family val="0"/>
        <charset val="1"/>
      </rPr>
      <t xml:space="preserve">0.4× backlog</t>
    </r>
    <r>
      <rPr>
        <sz val="10"/>
        <rFont val="WenQuanYi Zen Hei"/>
        <family val="2"/>
      </rPr>
      <t xml:space="preserve">）</t>
    </r>
  </si>
  <si>
    <t xml:space="preserve">股權以高於模型內在價值的價格發行</t>
  </si>
  <si>
    <t xml:space="preserve">v1.9</t>
  </si>
  <si>
    <t xml:space="preserve">09-21</t>
  </si>
  <si>
    <r>
      <rPr>
        <sz val="10"/>
        <rFont val="WenQuanYi Zen Hei"/>
        <family val="2"/>
      </rPr>
      <t xml:space="preserve">移除 </t>
    </r>
    <r>
      <rPr>
        <sz val="10"/>
        <rFont val="Arial"/>
        <family val="0"/>
        <charset val="1"/>
      </rPr>
      <t xml:space="preserve">EV/Sales</t>
    </r>
    <r>
      <rPr>
        <sz val="10"/>
        <rFont val="WenQuanYi Zen Hei"/>
        <family val="2"/>
      </rPr>
      <t xml:space="preserve">；現價更新至 </t>
    </r>
    <r>
      <rPr>
        <sz val="10"/>
        <rFont val="Arial"/>
        <family val="0"/>
        <charset val="1"/>
      </rPr>
      <t xml:space="preserve">9/21 </t>
    </r>
    <r>
      <rPr>
        <sz val="10"/>
        <rFont val="WenQuanYi Zen Hei"/>
        <family val="2"/>
      </rPr>
      <t xml:space="preserve">收盤 </t>
    </r>
    <r>
      <rPr>
        <sz val="10"/>
        <rFont val="Arial"/>
        <family val="0"/>
        <charset val="1"/>
      </rPr>
      <t xml:space="preserve">$85.43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ATM </t>
    </r>
    <r>
      <rPr>
        <sz val="10"/>
        <rFont val="WenQuanYi Zen Hei"/>
        <family val="2"/>
      </rPr>
      <t xml:space="preserve">價值 </t>
    </r>
    <r>
      <rPr>
        <sz val="10"/>
        <rFont val="Arial"/>
        <family val="0"/>
        <charset val="1"/>
      </rPr>
      <t xml:space="preserve">6.2</t>
    </r>
  </si>
  <si>
    <t xml:space="preserve">$19.5</t>
  </si>
  <si>
    <t xml:space="preserve">股價更新</t>
  </si>
  <si>
    <t xml:space="preserve">v1.8</t>
  </si>
  <si>
    <t xml:space="preserve">09-18</t>
  </si>
  <si>
    <r>
      <rPr>
        <sz val="10"/>
        <rFont val="WenQuanYi Zen Hei"/>
        <family val="2"/>
      </rPr>
      <t xml:space="preserve">情境改為 </t>
    </r>
    <r>
      <rPr>
        <sz val="10"/>
        <rFont val="Arial"/>
        <family val="0"/>
        <charset val="1"/>
      </rPr>
      <t xml:space="preserve">4.2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5.6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8 GW</t>
    </r>
  </si>
  <si>
    <t xml:space="preserve">$19.3</t>
  </si>
  <si>
    <r>
      <rPr>
        <sz val="10"/>
        <rFont val="WenQuanYi Zen Hei"/>
        <family val="2"/>
      </rPr>
      <t xml:space="preserve">基準改為 </t>
    </r>
    <r>
      <rPr>
        <sz val="10"/>
        <rFont val="Arial"/>
        <family val="0"/>
        <charset val="1"/>
      </rPr>
      <t xml:space="preserve">5.6 GW</t>
    </r>
  </si>
  <si>
    <t xml:space="preserve">v1.7</t>
  </si>
  <si>
    <r>
      <rPr>
        <sz val="10"/>
        <rFont val="WenQuanYi Zen Hei"/>
        <family val="2"/>
      </rPr>
      <t xml:space="preserve">權重移至 </t>
    </r>
    <r>
      <rPr>
        <sz val="10"/>
        <rFont val="Arial"/>
        <family val="0"/>
        <charset val="1"/>
      </rPr>
      <t xml:space="preserve">EV/EBITDA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45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55</t>
    </r>
    <r>
      <rPr>
        <sz val="10"/>
        <rFont val="WenQuanYi Zen Hei"/>
        <family val="2"/>
      </rPr>
      <t xml:space="preserve">）；情境改為擴張力道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8 GW</t>
    </r>
    <r>
      <rPr>
        <sz val="10"/>
        <rFont val="WenQuanYi Zen Hei"/>
        <family val="2"/>
      </rPr>
      <t xml:space="preserve">；車隊折舊；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汰換</t>
    </r>
  </si>
  <si>
    <r>
      <rPr>
        <sz val="10"/>
        <rFont val="WenQuanYi Zen Hei"/>
        <family val="2"/>
      </rPr>
      <t xml:space="preserve">基準改為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；情境定義改變，與前版不可直接比較</t>
    </r>
  </si>
  <si>
    <t xml:space="preserve">v1.6</t>
  </si>
  <si>
    <r>
      <rPr>
        <sz val="10"/>
        <rFont val="Arial"/>
        <family val="0"/>
        <charset val="1"/>
      </rPr>
      <t xml:space="preserve">HTML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一致性修正 </t>
    </r>
    <r>
      <rPr>
        <sz val="10"/>
        <rFont val="Arial"/>
        <family val="0"/>
        <charset val="1"/>
      </rPr>
      <t xml:space="preserve">7 </t>
    </r>
    <r>
      <rPr>
        <sz val="10"/>
        <rFont val="WenQuanYi Zen Hei"/>
        <family val="2"/>
      </rPr>
      <t xml:space="preserve">處；</t>
    </r>
    <r>
      <rPr>
        <sz val="10"/>
        <rFont val="Arial"/>
        <family val="0"/>
        <charset val="1"/>
      </rPr>
      <t xml:space="preserve">Comps </t>
    </r>
    <r>
      <rPr>
        <sz val="10"/>
        <rFont val="WenQuanYi Zen Hei"/>
        <family val="2"/>
      </rPr>
      <t xml:space="preserve">改 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P/S</t>
    </r>
  </si>
  <si>
    <t xml:space="preserve">$7.7</t>
  </si>
  <si>
    <t xml:space="preserve">v1.5</t>
  </si>
  <si>
    <r>
      <rPr>
        <sz val="10"/>
        <rFont val="WenQuanYi Zen Hei"/>
        <family val="2"/>
      </rPr>
      <t xml:space="preserve">回應 </t>
    </r>
    <r>
      <rPr>
        <sz val="10"/>
        <rFont val="Arial"/>
        <family val="0"/>
        <charset val="1"/>
      </rPr>
      <t xml:space="preserve">Andy </t>
    </r>
    <r>
      <rPr>
        <sz val="10"/>
        <rFont val="WenQuanYi Zen Hei"/>
        <family val="2"/>
      </rPr>
      <t xml:space="preserve">反饋：站點租賃對帳、債務明細、</t>
    </r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拆分、</t>
    </r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連動、刪除受產能約束列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</si>
  <si>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連動使模型期 </t>
    </r>
    <r>
      <rPr>
        <sz val="10"/>
        <rFont val="Arial"/>
        <family val="0"/>
        <charset val="1"/>
      </rPr>
      <t xml:space="preserve">CapEx +15.6bn</t>
    </r>
  </si>
  <si>
    <t xml:space="preserve">v1.4</t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</si>
  <si>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改完整年度（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實際＋下半年模型）；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式排版；浮動說明；扣缺口列以 </t>
    </r>
    <r>
      <rPr>
        <sz val="10"/>
        <rFont val="Arial"/>
        <family val="0"/>
        <charset val="1"/>
      </rPr>
      <t xml:space="preserve">0 </t>
    </r>
    <r>
      <rPr>
        <sz val="10"/>
        <rFont val="WenQuanYi Zen Hei"/>
        <family val="2"/>
      </rPr>
      <t xml:space="preserve">為下限</t>
    </r>
  </si>
  <si>
    <t xml:space="preserve">$16</t>
  </si>
  <si>
    <t xml:space="preserve">v1.3</t>
  </si>
  <si>
    <r>
      <rPr>
        <sz val="10"/>
        <rFont val="WenQuanYi Zen Hei"/>
        <family val="2"/>
      </rPr>
      <t xml:space="preserve">回應 </t>
    </r>
    <r>
      <rPr>
        <sz val="10"/>
        <rFont val="Arial"/>
        <family val="0"/>
        <charset val="1"/>
      </rPr>
      <t xml:space="preserve">Grok </t>
    </r>
    <r>
      <rPr>
        <sz val="10"/>
        <rFont val="WenQuanYi Zen Hei"/>
        <family val="2"/>
      </rPr>
      <t xml:space="preserve">比較：</t>
    </r>
    <r>
      <rPr>
        <sz val="10"/>
        <rFont val="Arial"/>
        <family val="0"/>
        <charset val="1"/>
      </rPr>
      <t xml:space="preserve">Helios 526 MW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遞延稅、服務營收下修、</t>
    </r>
    <r>
      <rPr>
        <sz val="10"/>
        <rFont val="Arial"/>
        <family val="0"/>
        <charset val="1"/>
      </rPr>
      <t xml:space="preserve">2H26 </t>
    </r>
    <r>
      <rPr>
        <sz val="10"/>
        <rFont val="WenQuanYi Zen Hei"/>
        <family val="2"/>
      </rPr>
      <t xml:space="preserve">利息 </t>
    </r>
    <r>
      <rPr>
        <sz val="10"/>
        <rFont val="Arial"/>
        <family val="0"/>
        <charset val="1"/>
      </rPr>
      <t xml:space="preserve">1.8</t>
    </r>
    <r>
      <rPr>
        <sz val="10"/>
        <rFont val="WenQuanYi Zen Hei"/>
        <family val="2"/>
      </rPr>
      <t xml:space="preserve">、可轉債淨額 </t>
    </r>
    <r>
      <rPr>
        <sz val="10"/>
        <rFont val="Arial"/>
        <family val="0"/>
        <charset val="1"/>
      </rPr>
      <t xml:space="preserve">3.2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版</t>
    </r>
  </si>
  <si>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與服務營收下修</t>
    </r>
  </si>
  <si>
    <t xml:space="preserve">v1.2</t>
  </si>
  <si>
    <r>
      <rPr>
        <sz val="10"/>
        <rFont val="WenQuanYi Zen Hei"/>
        <family val="2"/>
      </rPr>
      <t xml:space="preserve">同業 </t>
    </r>
    <r>
      <rPr>
        <sz val="10"/>
        <rFont val="Arial"/>
        <family val="0"/>
        <charset val="1"/>
      </rPr>
      <t xml:space="preserve">EV </t>
    </r>
    <r>
      <rPr>
        <sz val="10"/>
        <rFont val="WenQuanYi Zen Hei"/>
        <family val="2"/>
      </rPr>
      <t xml:space="preserve">改由 </t>
    </r>
    <r>
      <rPr>
        <sz val="10"/>
        <rFont val="Arial"/>
        <family val="0"/>
        <charset val="1"/>
      </rPr>
      <t xml:space="preserve">SEC </t>
    </r>
    <r>
      <rPr>
        <sz val="10"/>
        <rFont val="WenQuanYi Zen Hei"/>
        <family val="2"/>
      </rPr>
      <t xml:space="preserve">申報自行計算；新增含租賃 </t>
    </r>
    <r>
      <rPr>
        <sz val="10"/>
        <rFont val="Arial"/>
        <family val="0"/>
        <charset val="1"/>
      </rPr>
      <t xml:space="preserve">EV</t>
    </r>
  </si>
  <si>
    <t xml:space="preserve">$19</t>
  </si>
  <si>
    <t xml:space="preserve">v1.1</t>
  </si>
  <si>
    <r>
      <rPr>
        <sz val="10"/>
        <rFont val="Arial"/>
        <family val="0"/>
        <charset val="1"/>
      </rPr>
      <t xml:space="preserve">Comps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NBIS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IREN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APLD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CORZ</t>
    </r>
    <r>
      <rPr>
        <sz val="10"/>
        <rFont val="WenQuanYi Zen Hei"/>
        <family val="2"/>
      </rPr>
      <t xml:space="preserve">）、</t>
    </r>
    <r>
      <rPr>
        <sz val="10"/>
        <rFont val="Arial"/>
        <family val="0"/>
        <charset val="1"/>
      </rPr>
      <t xml:space="preserve">CDS 720bps</t>
    </r>
    <r>
      <rPr>
        <sz val="10"/>
        <rFont val="WenQuanYi Zen Hei"/>
        <family val="2"/>
      </rPr>
      <t xml:space="preserve">、未動用額度開關</t>
    </r>
  </si>
  <si>
    <t xml:space="preserve">v1.0</t>
  </si>
  <si>
    <r>
      <rPr>
        <sz val="10"/>
        <rFont val="Arial"/>
        <family val="0"/>
        <charset val="1"/>
      </rPr>
      <t xml:space="preserve">Oracle </t>
    </r>
    <r>
      <rPr>
        <sz val="10"/>
        <rFont val="WenQuanYi Zen Hei"/>
        <family val="2"/>
      </rPr>
      <t xml:space="preserve">模板改寫為 </t>
    </r>
    <r>
      <rPr>
        <sz val="10"/>
        <rFont val="Arial"/>
        <family val="0"/>
        <charset val="1"/>
      </rPr>
      <t xml:space="preserve">CoreWeave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2H26–FY30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10-Q</t>
    </r>
    <r>
      <rPr>
        <sz val="10"/>
        <rFont val="WenQuanYi Zen Hei"/>
        <family val="2"/>
      </rPr>
      <t xml:space="preserve">／法說／</t>
    </r>
    <r>
      <rPr>
        <sz val="10"/>
        <rFont val="Arial"/>
        <family val="0"/>
        <charset val="1"/>
      </rPr>
      <t xml:space="preserve">8-K </t>
    </r>
    <r>
      <rPr>
        <sz val="10"/>
        <rFont val="WenQuanYi Zen Hei"/>
        <family val="2"/>
      </rPr>
      <t xml:space="preserve">數據</t>
    </r>
  </si>
  <si>
    <r>
      <rPr>
        <sz val="10"/>
        <rFont val="WenQuanYi Zen Hei"/>
        <family val="2"/>
      </rPr>
      <t xml:space="preserve">基準當時為 </t>
    </r>
    <r>
      <rPr>
        <sz val="10"/>
        <rFont val="Arial"/>
        <family val="0"/>
        <charset val="1"/>
      </rPr>
      <t xml:space="preserve">8 GW</t>
    </r>
  </si>
  <si>
    <t xml:space="preserve">來源與標籤</t>
  </si>
  <si>
    <t xml:space="preserve">標籤</t>
  </si>
  <si>
    <t xml:space="preserve">內容</t>
  </si>
  <si>
    <t xml:space="preserve">Verified</t>
  </si>
  <si>
    <r>
      <rPr>
        <sz val="10"/>
        <rFont val="Arial"/>
        <family val="0"/>
        <charset val="1"/>
      </rPr>
      <t xml:space="preserve">Q2 2026 10-Q</t>
    </r>
    <r>
      <rPr>
        <sz val="10"/>
        <rFont val="WenQuanYi Zen Hei"/>
        <family val="2"/>
      </rPr>
      <t xml:space="preserve">（期末 </t>
    </r>
    <r>
      <rPr>
        <sz val="10"/>
        <rFont val="Arial"/>
        <family val="0"/>
        <charset val="1"/>
      </rPr>
      <t xml:space="preserve">2026-06-30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2026-08-12 </t>
    </r>
    <r>
      <rPr>
        <sz val="10"/>
        <rFont val="WenQuanYi Zen Hei"/>
        <family val="2"/>
      </rPr>
      <t xml:space="preserve">申報，</t>
    </r>
    <r>
      <rPr>
        <sz val="10"/>
        <rFont val="Arial"/>
        <family val="0"/>
        <charset val="1"/>
      </rPr>
      <t xml:space="preserve">Non-accelerated filer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Q3 </t>
    </r>
    <r>
      <rPr>
        <sz val="10"/>
        <rFont val="WenQuanYi Zen Hei"/>
        <family val="2"/>
      </rPr>
      <t xml:space="preserve">期限 </t>
    </r>
    <r>
      <rPr>
        <sz val="10"/>
        <rFont val="Arial"/>
        <family val="0"/>
        <charset val="1"/>
      </rPr>
      <t xml:space="preserve">11/16</t>
    </r>
    <r>
      <rPr>
        <sz val="10"/>
        <rFont val="WenQuanYi Zen Hei"/>
        <family val="2"/>
      </rPr>
      <t xml:space="preserve">）：營收 </t>
    </r>
    <r>
      <rPr>
        <sz val="10"/>
        <rFont val="Arial"/>
        <family val="0"/>
        <charset val="1"/>
      </rPr>
      <t xml:space="preserve">2.575bn +112%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H1 4.653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GAAP </t>
    </r>
    <r>
      <rPr>
        <sz val="10"/>
        <rFont val="WenQuanYi Zen Hei"/>
        <family val="2"/>
      </rPr>
      <t xml:space="preserve">營損 −</t>
    </r>
    <r>
      <rPr>
        <sz val="10"/>
        <rFont val="Arial"/>
        <family val="0"/>
        <charset val="1"/>
      </rPr>
      <t xml:space="preserve">0.049</t>
    </r>
    <r>
      <rPr>
        <sz val="10"/>
        <rFont val="WenQuanYi Zen Hei"/>
        <family val="2"/>
      </rPr>
      <t xml:space="preserve">；利息費用 </t>
    </r>
    <r>
      <rPr>
        <sz val="10"/>
        <rFont val="Arial"/>
        <family val="0"/>
        <charset val="1"/>
      </rPr>
      <t xml:space="preserve">0.640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H1 1.176</t>
    </r>
    <r>
      <rPr>
        <sz val="10"/>
        <rFont val="WenQuanYi Zen Hei"/>
        <family val="2"/>
      </rPr>
      <t xml:space="preserve">，現金 </t>
    </r>
    <r>
      <rPr>
        <sz val="10"/>
        <rFont val="Arial"/>
        <family val="0"/>
        <charset val="1"/>
      </rPr>
      <t xml:space="preserve">0.806</t>
    </r>
    <r>
      <rPr>
        <sz val="10"/>
        <rFont val="WenQuanYi Zen Hei"/>
        <family val="2"/>
      </rPr>
      <t xml:space="preserve">、資本化 </t>
    </r>
    <r>
      <rPr>
        <sz val="10"/>
        <rFont val="Arial"/>
        <family val="0"/>
        <charset val="1"/>
      </rPr>
      <t xml:space="preserve">0.176</t>
    </r>
    <r>
      <rPr>
        <sz val="10"/>
        <rFont val="WenQuanYi Zen Hei"/>
        <family val="2"/>
      </rPr>
      <t xml:space="preserve">）；淨損 −</t>
    </r>
    <r>
      <rPr>
        <sz val="10"/>
        <rFont val="Arial"/>
        <family val="0"/>
        <charset val="1"/>
      </rPr>
      <t xml:space="preserve">0.626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Adj. EBITDA 1.510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59%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SBC 0.165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D&amp;A 1.393</t>
    </r>
    <r>
      <rPr>
        <sz val="10"/>
        <rFont val="WenQuanYi Zen Hei"/>
        <family val="2"/>
      </rPr>
      <t xml:space="preserve">；營業租賃成本 </t>
    </r>
    <r>
      <rPr>
        <sz val="10"/>
        <rFont val="Arial"/>
        <family val="0"/>
        <charset val="1"/>
      </rPr>
      <t xml:space="preserve">0.500</t>
    </r>
    <r>
      <rPr>
        <sz val="10"/>
        <rFont val="WenQuanYi Zen Hei"/>
        <family val="2"/>
      </rPr>
      <t xml:space="preserve">、變動租賃 </t>
    </r>
    <r>
      <rPr>
        <sz val="10"/>
        <rFont val="Arial"/>
        <family val="0"/>
        <charset val="1"/>
      </rPr>
      <t xml:space="preserve">0.150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</si>
  <si>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資產負債：現金 </t>
    </r>
    <r>
      <rPr>
        <sz val="10"/>
        <rFont val="Arial"/>
        <family val="0"/>
        <charset val="1"/>
      </rPr>
      <t xml:space="preserve">5.524</t>
    </r>
    <r>
      <rPr>
        <sz val="10"/>
        <rFont val="WenQuanYi Zen Hei"/>
        <family val="2"/>
      </rPr>
      <t xml:space="preserve">、受限 </t>
    </r>
    <r>
      <rPr>
        <sz val="10"/>
        <rFont val="Arial"/>
        <family val="0"/>
        <charset val="1"/>
      </rPr>
      <t xml:space="preserve">1.380</t>
    </r>
    <r>
      <rPr>
        <sz val="10"/>
        <rFont val="WenQuanYi Zen Hei"/>
        <family val="2"/>
      </rPr>
      <t xml:space="preserve">、有價證券 </t>
    </r>
    <r>
      <rPr>
        <sz val="10"/>
        <rFont val="Arial"/>
        <family val="0"/>
        <charset val="1"/>
      </rPr>
      <t xml:space="preserve">0.015</t>
    </r>
    <r>
      <rPr>
        <sz val="10"/>
        <rFont val="WenQuanYi Zen Hei"/>
        <family val="2"/>
      </rPr>
      <t xml:space="preserve">、可用額度 </t>
    </r>
    <r>
      <rPr>
        <sz val="10"/>
        <rFont val="Arial"/>
        <family val="0"/>
        <charset val="1"/>
      </rPr>
      <t xml:space="preserve">10.014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PP&amp;E 46.736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CIP 11.9</t>
    </r>
    <r>
      <rPr>
        <sz val="10"/>
        <rFont val="WenQuanYi Zen Hei"/>
        <family val="2"/>
      </rPr>
      <t xml:space="preserve">）；營業 </t>
    </r>
    <r>
      <rPr>
        <sz val="10"/>
        <rFont val="Arial"/>
        <family val="0"/>
        <charset val="1"/>
      </rPr>
      <t xml:space="preserve">ROU 16.595</t>
    </r>
    <r>
      <rPr>
        <sz val="10"/>
        <rFont val="WenQuanYi Zen Hei"/>
        <family val="2"/>
      </rPr>
      <t xml:space="preserve">；遞延收入 </t>
    </r>
    <r>
      <rPr>
        <sz val="10"/>
        <rFont val="Arial"/>
        <family val="0"/>
        <charset val="1"/>
      </rPr>
      <t xml:space="preserve">9.692</t>
    </r>
    <r>
      <rPr>
        <sz val="10"/>
        <rFont val="WenQuanYi Zen Hei"/>
        <family val="2"/>
      </rPr>
      <t xml:space="preserve">；債務本金 </t>
    </r>
    <r>
      <rPr>
        <sz val="10"/>
        <rFont val="Arial"/>
        <family val="0"/>
        <charset val="1"/>
      </rPr>
      <t xml:space="preserve">35.551</t>
    </r>
    <r>
      <rPr>
        <sz val="10"/>
        <rFont val="WenQuanYi Zen Hei"/>
        <family val="2"/>
      </rPr>
      <t xml:space="preserve">（追索淨 </t>
    </r>
    <r>
      <rPr>
        <sz val="10"/>
        <rFont val="Arial"/>
        <family val="0"/>
        <charset val="1"/>
      </rPr>
      <t xml:space="preserve">31.405</t>
    </r>
    <r>
      <rPr>
        <sz val="10"/>
        <rFont val="WenQuanYi Zen Hei"/>
        <family val="2"/>
      </rPr>
      <t xml:space="preserve">／非追索 </t>
    </r>
    <r>
      <rPr>
        <sz val="10"/>
        <rFont val="Arial"/>
        <family val="0"/>
        <charset val="1"/>
      </rPr>
      <t xml:space="preserve">3.663</t>
    </r>
    <r>
      <rPr>
        <sz val="10"/>
        <rFont val="WenQuanYi Zen Hei"/>
        <family val="2"/>
      </rPr>
      <t xml:space="preserve">）；股東權益 </t>
    </r>
    <r>
      <rPr>
        <sz val="10"/>
        <rFont val="Arial"/>
        <family val="0"/>
        <charset val="1"/>
      </rPr>
      <t xml:space="preserve">5.024</t>
    </r>
    <r>
      <rPr>
        <sz val="10"/>
        <rFont val="WenQuanYi Zen Hei"/>
        <family val="2"/>
      </rPr>
      <t xml:space="preserve">。</t>
    </r>
  </si>
  <si>
    <r>
      <rPr>
        <sz val="10"/>
        <rFont val="Arial"/>
        <family val="0"/>
        <charset val="1"/>
      </rPr>
      <t xml:space="preserve">RPO 103.7bn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backlog 104.2</t>
    </r>
    <r>
      <rPr>
        <sz val="10"/>
        <rFont val="WenQuanYi Zen Hei"/>
        <family val="2"/>
      </rPr>
      <t xml:space="preserve">）：</t>
    </r>
    <r>
      <rPr>
        <sz val="10"/>
        <rFont val="Arial"/>
        <family val="0"/>
        <charset val="1"/>
      </rPr>
      <t xml:space="preserve">41% </t>
    </r>
    <r>
      <rPr>
        <sz val="10"/>
        <rFont val="WenQuanYi Zen Hei"/>
        <family val="2"/>
      </rPr>
      <t xml:space="preserve">於 </t>
    </r>
    <r>
      <rPr>
        <sz val="10"/>
        <rFont val="Arial"/>
        <family val="0"/>
        <charset val="1"/>
      </rPr>
      <t xml:space="preserve">2028-06 </t>
    </r>
    <r>
      <rPr>
        <sz val="10"/>
        <rFont val="WenQuanYi Zen Hei"/>
        <family val="2"/>
      </rPr>
      <t xml:space="preserve">前、</t>
    </r>
    <r>
      <rPr>
        <sz val="10"/>
        <rFont val="Arial"/>
        <family val="0"/>
        <charset val="1"/>
      </rPr>
      <t xml:space="preserve">39% </t>
    </r>
    <r>
      <rPr>
        <sz val="10"/>
        <rFont val="WenQuanYi Zen Hei"/>
        <family val="2"/>
      </rPr>
      <t xml:space="preserve">於 </t>
    </r>
    <r>
      <rPr>
        <sz val="10"/>
        <rFont val="Arial"/>
        <family val="0"/>
        <charset val="1"/>
      </rPr>
      <t xml:space="preserve">25–48 </t>
    </r>
    <r>
      <rPr>
        <sz val="10"/>
        <rFont val="WenQuanYi Zen Hei"/>
        <family val="2"/>
      </rPr>
      <t xml:space="preserve">月、</t>
    </r>
    <r>
      <rPr>
        <sz val="10"/>
        <rFont val="Arial"/>
        <family val="0"/>
        <charset val="1"/>
      </rPr>
      <t xml:space="preserve">20% </t>
    </r>
    <r>
      <rPr>
        <sz val="10"/>
        <rFont val="WenQuanYi Zen Hei"/>
        <family val="2"/>
      </rPr>
      <t xml:space="preserve">於 </t>
    </r>
    <r>
      <rPr>
        <sz val="10"/>
        <rFont val="Arial"/>
        <family val="0"/>
        <charset val="1"/>
      </rPr>
      <t xml:space="preserve">49–78 </t>
    </r>
    <r>
      <rPr>
        <sz val="10"/>
        <rFont val="WenQuanYi Zen Hei"/>
        <family val="2"/>
      </rPr>
      <t xml:space="preserve">月。客戶集中：</t>
    </r>
    <r>
      <rPr>
        <sz val="10"/>
        <rFont val="Arial"/>
        <family val="0"/>
        <charset val="1"/>
      </rPr>
      <t xml:space="preserve">A 36%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B 26%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 10%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最高 </t>
    </r>
    <r>
      <rPr>
        <sz val="10"/>
        <rFont val="Arial"/>
        <family val="0"/>
        <charset val="1"/>
      </rPr>
      <t xml:space="preserve">6.5bn </t>
    </r>
    <r>
      <rPr>
        <sz val="10"/>
        <rFont val="WenQuanYi Zen Hei"/>
        <family val="2"/>
      </rPr>
      <t xml:space="preserve">至 </t>
    </r>
    <r>
      <rPr>
        <sz val="10"/>
        <rFont val="Arial"/>
        <family val="0"/>
        <charset val="1"/>
      </rPr>
      <t xml:space="preserve">2031-05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Meta </t>
    </r>
    <r>
      <rPr>
        <sz val="10"/>
        <rFont val="WenQuanYi Zen Hei"/>
        <family val="2"/>
      </rPr>
      <t xml:space="preserve">最高 </t>
    </r>
    <r>
      <rPr>
        <sz val="10"/>
        <rFont val="Arial"/>
        <family val="0"/>
        <charset val="1"/>
      </rPr>
      <t xml:space="preserve">21.0bn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Jane Street </t>
    </r>
    <r>
      <rPr>
        <sz val="10"/>
        <rFont val="WenQuanYi Zen Hei"/>
        <family val="2"/>
      </rPr>
      <t xml:space="preserve">約 </t>
    </r>
    <r>
      <rPr>
        <sz val="10"/>
        <rFont val="Arial"/>
        <family val="0"/>
        <charset val="1"/>
      </rPr>
      <t xml:space="preserve">6.0bn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</si>
  <si>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租賃與承諾：在帳未折現 </t>
    </r>
    <r>
      <rPr>
        <sz val="10"/>
        <rFont val="Arial"/>
        <family val="0"/>
        <charset val="1"/>
      </rPr>
      <t xml:space="preserve">29.135</t>
    </r>
    <r>
      <rPr>
        <sz val="10"/>
        <rFont val="WenQuanYi Zen Hei"/>
        <family val="2"/>
      </rPr>
      <t xml:space="preserve">（營業）＋</t>
    </r>
    <r>
      <rPr>
        <sz val="10"/>
        <rFont val="Arial"/>
        <family val="0"/>
        <charset val="1"/>
      </rPr>
      <t xml:space="preserve">0.235</t>
    </r>
    <r>
      <rPr>
        <sz val="10"/>
        <rFont val="WenQuanYi Zen Hei"/>
        <family val="2"/>
      </rPr>
      <t xml:space="preserve">（融資），</t>
    </r>
    <r>
      <rPr>
        <sz val="10"/>
        <rFont val="Arial"/>
        <family val="0"/>
        <charset val="1"/>
      </rPr>
      <t xml:space="preserve">2030 </t>
    </r>
    <r>
      <rPr>
        <sz val="10"/>
        <rFont val="WenQuanYi Zen Hei"/>
        <family val="2"/>
      </rPr>
      <t xml:space="preserve">後 </t>
    </r>
    <r>
      <rPr>
        <sz val="10"/>
        <rFont val="Arial"/>
        <family val="0"/>
        <charset val="1"/>
      </rPr>
      <t xml:space="preserve">19.023</t>
    </r>
    <r>
      <rPr>
        <sz val="10"/>
        <rFont val="WenQuanYi Zen Hei"/>
        <family val="2"/>
      </rPr>
      <t xml:space="preserve">；未起租租賃 </t>
    </r>
    <r>
      <rPr>
        <sz val="10"/>
        <rFont val="Arial"/>
        <family val="0"/>
        <charset val="1"/>
      </rPr>
      <t xml:space="preserve">35.5</t>
    </r>
    <r>
      <rPr>
        <sz val="10"/>
        <rFont val="WenQuanYi Zen Hei"/>
        <family val="2"/>
      </rPr>
      <t xml:space="preserve">；單站 </t>
    </r>
    <r>
      <rPr>
        <sz val="10"/>
        <rFont val="Arial"/>
        <family val="0"/>
        <charset val="1"/>
      </rPr>
      <t xml:space="preserve">393 MW </t>
    </r>
    <r>
      <rPr>
        <sz val="10"/>
        <rFont val="WenQuanYi Zen Hei"/>
        <family val="2"/>
      </rPr>
      <t xml:space="preserve">按造價計租上限 </t>
    </r>
    <r>
      <rPr>
        <sz val="10"/>
        <rFont val="Arial"/>
        <family val="0"/>
        <charset val="1"/>
      </rPr>
      <t xml:space="preserve">14.7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16 </t>
    </r>
    <r>
      <rPr>
        <sz val="10"/>
        <rFont val="WenQuanYi Zen Hei"/>
        <family val="2"/>
      </rPr>
      <t xml:space="preserve">年；</t>
    </r>
    <r>
      <rPr>
        <sz val="10"/>
        <rFont val="Arial"/>
        <family val="0"/>
        <charset val="1"/>
      </rPr>
      <t xml:space="preserve">355 MW </t>
    </r>
    <r>
      <rPr>
        <sz val="10"/>
        <rFont val="WenQuanYi Zen Hei"/>
        <family val="2"/>
      </rPr>
      <t xml:space="preserve">按造價計租（未定）；自備設備 </t>
    </r>
    <r>
      <rPr>
        <sz val="10"/>
        <rFont val="Arial"/>
        <family val="0"/>
        <charset val="1"/>
      </rPr>
      <t xml:space="preserve">0.5–1.2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承諾 </t>
    </r>
    <r>
      <rPr>
        <sz val="10"/>
        <rFont val="Arial"/>
        <family val="0"/>
        <charset val="1"/>
      </rPr>
      <t xml:space="preserve">1.7</t>
    </r>
    <r>
      <rPr>
        <sz val="10"/>
        <rFont val="WenQuanYi Zen Hei"/>
        <family val="2"/>
      </rPr>
      <t xml:space="preserve">（已付 </t>
    </r>
    <r>
      <rPr>
        <sz val="10"/>
        <rFont val="Arial"/>
        <family val="0"/>
        <charset val="1"/>
      </rPr>
      <t xml:space="preserve">0.55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VIE 0.108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</si>
  <si>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現金流（</t>
    </r>
    <r>
      <rPr>
        <sz val="10"/>
        <rFont val="Arial"/>
        <family val="0"/>
        <charset val="1"/>
      </rPr>
      <t xml:space="preserve">H1</t>
    </r>
    <r>
      <rPr>
        <sz val="10"/>
        <rFont val="WenQuanYi Zen Hei"/>
        <family val="2"/>
      </rPr>
      <t xml:space="preserve">）：</t>
    </r>
    <r>
      <rPr>
        <sz val="10"/>
        <rFont val="Arial"/>
        <family val="0"/>
        <charset val="1"/>
      </rPr>
      <t xml:space="preserve">CFO 3.663</t>
    </r>
    <r>
      <rPr>
        <sz val="10"/>
        <rFont val="WenQuanYi Zen Hei"/>
        <family val="2"/>
      </rPr>
      <t xml:space="preserve">；現金購置 </t>
    </r>
    <r>
      <rPr>
        <sz val="10"/>
        <rFont val="Arial"/>
        <family val="0"/>
        <charset val="1"/>
      </rPr>
      <t xml:space="preserve">PP&amp;E 14.117</t>
    </r>
    <r>
      <rPr>
        <sz val="10"/>
        <rFont val="WenQuanYi Zen Hei"/>
        <family val="2"/>
      </rPr>
      <t xml:space="preserve">；借款 </t>
    </r>
    <r>
      <rPr>
        <sz val="10"/>
        <rFont val="Arial"/>
        <family val="0"/>
        <charset val="1"/>
      </rPr>
      <t xml:space="preserve">16.747</t>
    </r>
    <r>
      <rPr>
        <sz val="10"/>
        <rFont val="WenQuanYi Zen Hei"/>
        <family val="2"/>
      </rPr>
      <t xml:space="preserve">、還款 </t>
    </r>
    <r>
      <rPr>
        <sz val="10"/>
        <rFont val="Arial"/>
        <family val="0"/>
        <charset val="1"/>
      </rPr>
      <t xml:space="preserve">5.219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capped call 0.492</t>
    </r>
    <r>
      <rPr>
        <sz val="10"/>
        <rFont val="WenQuanYi Zen Hei"/>
        <family val="2"/>
      </rPr>
      <t xml:space="preserve">；私募股權 </t>
    </r>
    <r>
      <rPr>
        <sz val="10"/>
        <rFont val="Arial"/>
        <family val="0"/>
        <charset val="1"/>
      </rPr>
      <t xml:space="preserve">2.982</t>
    </r>
    <r>
      <rPr>
        <sz val="10"/>
        <rFont val="WenQuanYi Zen Hei"/>
        <family val="2"/>
      </rPr>
      <t xml:space="preserve">。</t>
    </r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認列口徑 </t>
    </r>
    <r>
      <rPr>
        <sz val="10"/>
        <rFont val="Arial"/>
        <family val="0"/>
        <charset val="1"/>
      </rPr>
      <t xml:space="preserve">Q2 9.352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H1 16.139</t>
    </r>
    <r>
      <rPr>
        <sz val="10"/>
        <rFont val="WenQuanYi Zen Hei"/>
        <family val="2"/>
      </rPr>
      <t xml:space="preserve">。</t>
    </r>
  </si>
  <si>
    <r>
      <rPr>
        <sz val="10"/>
        <rFont val="Arial"/>
        <family val="0"/>
        <charset val="1"/>
      </rPr>
      <t xml:space="preserve">9/17 8-K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2033 </t>
    </r>
    <r>
      <rPr>
        <sz val="10"/>
        <rFont val="WenQuanYi Zen Hei"/>
        <family val="2"/>
      </rPr>
      <t xml:space="preserve">可轉債 </t>
    </r>
    <r>
      <rPr>
        <sz val="10"/>
        <rFont val="Arial"/>
        <family val="0"/>
        <charset val="1"/>
      </rPr>
      <t xml:space="preserve">3.7bn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2.875%</t>
    </r>
    <r>
      <rPr>
        <sz val="10"/>
        <rFont val="WenQuanYi Zen Hei"/>
        <family val="2"/>
      </rPr>
      <t xml:space="preserve">、轉換價 </t>
    </r>
    <r>
      <rPr>
        <sz val="10"/>
        <rFont val="Arial"/>
        <family val="0"/>
        <charset val="1"/>
      </rPr>
      <t xml:space="preserve">$97.85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capped call </t>
    </r>
    <r>
      <rPr>
        <sz val="10"/>
        <rFont val="WenQuanYi Zen Hei"/>
        <family val="2"/>
      </rPr>
      <t xml:space="preserve">上限 </t>
    </r>
    <r>
      <rPr>
        <sz val="10"/>
        <rFont val="Arial"/>
        <family val="0"/>
        <charset val="1"/>
      </rPr>
      <t xml:space="preserve">$199.70</t>
    </r>
    <r>
      <rPr>
        <sz val="10"/>
        <rFont val="WenQuanYi Zen Hei"/>
        <family val="2"/>
      </rPr>
      <t xml:space="preserve">；股權分銷最多 </t>
    </r>
    <r>
      <rPr>
        <sz val="10"/>
        <rFont val="Arial"/>
        <family val="0"/>
        <charset val="1"/>
      </rPr>
      <t xml:space="preserve">35m </t>
    </r>
    <r>
      <rPr>
        <sz val="10"/>
        <rFont val="WenQuanYi Zen Hei"/>
        <family val="2"/>
      </rPr>
      <t xml:space="preserve">股；</t>
    </r>
    <r>
      <rPr>
        <sz val="10"/>
        <rFont val="Arial"/>
        <family val="0"/>
        <charset val="1"/>
      </rPr>
      <t xml:space="preserve">9/17 </t>
    </r>
    <r>
      <rPr>
        <sz val="10"/>
        <rFont val="WenQuanYi Zen Hei"/>
        <family val="2"/>
      </rPr>
      <t xml:space="preserve">收盤 </t>
    </r>
    <r>
      <rPr>
        <sz val="10"/>
        <rFont val="Arial"/>
        <family val="0"/>
        <charset val="1"/>
      </rPr>
      <t xml:space="preserve">$79.88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</si>
  <si>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市值（</t>
    </r>
    <r>
      <rPr>
        <sz val="10"/>
        <rFont val="Arial"/>
        <family val="0"/>
        <charset val="1"/>
      </rPr>
      <t xml:space="preserve">2026-09-21 </t>
    </r>
    <r>
      <rPr>
        <sz val="10"/>
        <rFont val="WenQuanYi Zen Hei"/>
        <family val="2"/>
      </rPr>
      <t xml:space="preserve">收盤，</t>
    </r>
    <r>
      <rPr>
        <sz val="10"/>
        <rFont val="Arial"/>
        <family val="0"/>
        <charset val="1"/>
      </rPr>
      <t xml:space="preserve">S&amp;P Global via stockanalysis.com</t>
    </r>
    <r>
      <rPr>
        <sz val="10"/>
        <rFont val="WenQuanYi Zen Hei"/>
        <family val="2"/>
      </rPr>
      <t xml:space="preserve">）：</t>
    </r>
    <r>
      <rPr>
        <sz val="10"/>
        <rFont val="Arial"/>
        <family val="0"/>
        <charset val="1"/>
      </rPr>
      <t xml:space="preserve">CRWV $85.43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47.12bn</t>
    </r>
    <r>
      <rPr>
        <sz val="10"/>
        <rFont val="WenQuanYi Zen Hei"/>
        <family val="2"/>
      </rPr>
      <t xml:space="preserve">、流通 </t>
    </r>
    <r>
      <rPr>
        <sz val="10"/>
        <rFont val="Arial"/>
        <family val="0"/>
        <charset val="1"/>
      </rPr>
      <t xml:space="preserve">551.54m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NBIS 63.81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IREN 18.61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APLD 8.22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CORZ 5.90</t>
    </r>
    <r>
      <rPr>
        <sz val="10"/>
        <rFont val="WenQuanYi Zen Hei"/>
        <family val="2"/>
      </rPr>
      <t xml:space="preserve">。淨負債取最新申報：</t>
    </r>
    <r>
      <rPr>
        <sz val="10"/>
        <rFont val="Arial"/>
        <family val="0"/>
        <charset val="1"/>
      </rPr>
      <t xml:space="preserve">NBIS 2.16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IREN 1.70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APLD 3.37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CORZ 2.53</t>
    </r>
    <r>
      <rPr>
        <sz val="10"/>
        <rFont val="WenQuanYi Zen Hei"/>
        <family val="2"/>
      </rPr>
      <t xml:space="preserve">。目標價均值 </t>
    </r>
    <r>
      <rPr>
        <sz val="10"/>
        <rFont val="Arial"/>
        <family val="0"/>
        <charset val="1"/>
      </rPr>
      <t xml:space="preserve">144.46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38 </t>
    </r>
    <r>
      <rPr>
        <sz val="10"/>
        <rFont val="WenQuanYi Zen Hei"/>
        <family val="2"/>
      </rPr>
      <t xml:space="preserve">家）；</t>
    </r>
    <r>
      <rPr>
        <sz val="10"/>
        <rFont val="Arial"/>
        <family val="0"/>
        <charset val="1"/>
      </rPr>
      <t xml:space="preserve">9/21 Rothschild Redburn </t>
    </r>
    <r>
      <rPr>
        <sz val="10"/>
        <rFont val="WenQuanYi Zen Hei"/>
        <family val="2"/>
      </rPr>
      <t xml:space="preserve">首評 </t>
    </r>
    <r>
      <rPr>
        <sz val="10"/>
        <rFont val="Arial"/>
        <family val="0"/>
        <charset val="1"/>
      </rPr>
      <t xml:space="preserve">Sell $54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BTG Pactual Buy $125</t>
    </r>
    <r>
      <rPr>
        <sz val="10"/>
        <rFont val="WenQuanYi Zen Hei"/>
        <family val="2"/>
      </rPr>
      <t xml:space="preserve">。</t>
    </r>
  </si>
  <si>
    <t xml:space="preserve">Interested-party</t>
  </si>
  <si>
    <r>
      <rPr>
        <sz val="10"/>
        <rFont val="WenQuanYi Zen Hei"/>
        <family val="2"/>
      </rPr>
      <t xml:space="preserve">法說（</t>
    </r>
    <r>
      <rPr>
        <sz val="10"/>
        <rFont val="Arial"/>
        <family val="0"/>
        <charset val="1"/>
      </rPr>
      <t xml:space="preserve">8/11</t>
    </r>
    <r>
      <rPr>
        <sz val="10"/>
        <rFont val="WenQuanYi Zen Hei"/>
        <family val="2"/>
      </rPr>
      <t xml:space="preserve">）：主動電力 </t>
    </r>
    <r>
      <rPr>
        <sz val="10"/>
        <rFont val="Arial"/>
        <family val="0"/>
        <charset val="1"/>
      </rPr>
      <t xml:space="preserve">1.5 GW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Q2 +</t>
    </r>
    <r>
      <rPr>
        <sz val="10"/>
        <rFont val="WenQuanYi Zen Hei"/>
        <family val="2"/>
      </rPr>
      <t xml:space="preserve">近 </t>
    </r>
    <r>
      <rPr>
        <sz val="10"/>
        <rFont val="Arial"/>
        <family val="0"/>
        <charset val="1"/>
      </rPr>
      <t xml:space="preserve">500 MW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6 </t>
    </r>
    <r>
      <rPr>
        <sz val="10"/>
        <rFont val="WenQuanYi Zen Hei"/>
        <family val="2"/>
      </rPr>
      <t xml:space="preserve">月 </t>
    </r>
    <r>
      <rPr>
        <sz val="10"/>
        <rFont val="Arial"/>
        <family val="0"/>
        <charset val="1"/>
      </rPr>
      <t xml:space="preserve">+300 MW</t>
    </r>
    <r>
      <rPr>
        <sz val="10"/>
        <rFont val="WenQuanYi Zen Hei"/>
        <family val="2"/>
      </rPr>
      <t xml:space="preserve">）；簽約 </t>
    </r>
    <r>
      <rPr>
        <sz val="10"/>
        <rFont val="Arial"/>
        <family val="0"/>
        <charset val="1"/>
      </rPr>
      <t xml:space="preserve">4.2 GW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2030 ≥8 GW</t>
    </r>
    <r>
      <rPr>
        <sz val="10"/>
        <rFont val="WenQuanYi Zen Hei"/>
        <family val="2"/>
      </rPr>
      <t xml:space="preserve">；近期產能實質售罄；</t>
    </r>
    <r>
      <rPr>
        <sz val="10"/>
        <rFont val="Arial"/>
        <family val="0"/>
        <charset val="1"/>
      </rPr>
      <t xml:space="preserve">7 </t>
    </r>
    <r>
      <rPr>
        <sz val="10"/>
        <rFont val="WenQuanYi Zen Hei"/>
        <family val="2"/>
      </rPr>
      <t xml:space="preserve">月 </t>
    </r>
    <r>
      <rPr>
        <sz val="10"/>
        <rFont val="Arial"/>
        <family val="0"/>
        <charset val="1"/>
      </rPr>
      <t xml:space="preserve">SKU </t>
    </r>
    <r>
      <rPr>
        <sz val="10"/>
        <rFont val="WenQuanYi Zen Hei"/>
        <family val="2"/>
      </rPr>
      <t xml:space="preserve">漲價約 </t>
    </r>
    <r>
      <rPr>
        <sz val="10"/>
        <rFont val="Arial"/>
        <family val="0"/>
        <charset val="1"/>
      </rPr>
      <t xml:space="preserve">25%</t>
    </r>
    <r>
      <rPr>
        <sz val="10"/>
        <rFont val="WenQuanYi Zen Hei"/>
        <family val="2"/>
      </rPr>
      <t xml:space="preserve">；全年營收 </t>
    </r>
    <r>
      <rPr>
        <sz val="10"/>
        <rFont val="Arial"/>
        <family val="0"/>
        <charset val="1"/>
      </rPr>
      <t xml:space="preserve">12.4–13.2</t>
    </r>
    <r>
      <rPr>
        <sz val="10"/>
        <rFont val="WenQuanYi Zen Hei"/>
        <family val="2"/>
      </rPr>
      <t xml:space="preserve">、調整後營益 </t>
    </r>
    <r>
      <rPr>
        <sz val="10"/>
        <rFont val="Arial"/>
        <family val="0"/>
        <charset val="1"/>
      </rPr>
      <t xml:space="preserve">0.96–1.15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CapEx 35–39</t>
    </r>
    <r>
      <rPr>
        <sz val="10"/>
        <rFont val="WenQuanYi Zen Hei"/>
        <family val="2"/>
      </rPr>
      <t xml:space="preserve">、期末 </t>
    </r>
    <r>
      <rPr>
        <sz val="10"/>
        <rFont val="Arial"/>
        <family val="0"/>
        <charset val="1"/>
      </rPr>
      <t xml:space="preserve">ARR 18.5–19.5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Q3 </t>
    </r>
    <r>
      <rPr>
        <sz val="10"/>
        <rFont val="WenQuanYi Zen Hei"/>
        <family val="2"/>
      </rPr>
      <t xml:space="preserve">營收 </t>
    </r>
    <r>
      <rPr>
        <sz val="10"/>
        <rFont val="Arial"/>
        <family val="0"/>
        <charset val="1"/>
      </rPr>
      <t xml:space="preserve">3.45–3.6</t>
    </r>
    <r>
      <rPr>
        <sz val="10"/>
        <rFont val="WenQuanYi Zen Hei"/>
        <family val="2"/>
      </rPr>
      <t xml:space="preserve">、利息 </t>
    </r>
    <r>
      <rPr>
        <sz val="10"/>
        <rFont val="Arial"/>
        <family val="0"/>
        <charset val="1"/>
      </rPr>
      <t xml:space="preserve">0.86–0.94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CapEx 11.5–13.5</t>
    </r>
    <r>
      <rPr>
        <sz val="10"/>
        <rFont val="WenQuanYi Zen Hei"/>
        <family val="2"/>
      </rPr>
      <t xml:space="preserve">。</t>
    </r>
  </si>
  <si>
    <r>
      <rPr>
        <sz val="10"/>
        <rFont val="Arial"/>
        <family val="0"/>
        <charset val="1"/>
      </rPr>
      <t xml:space="preserve">9/17 </t>
    </r>
    <r>
      <rPr>
        <sz val="10"/>
        <rFont val="WenQuanYi Zen Hei"/>
        <family val="2"/>
      </rPr>
      <t xml:space="preserve">投資人簡報：</t>
    </r>
    <r>
      <rPr>
        <sz val="10"/>
        <rFont val="Arial"/>
        <family val="0"/>
        <charset val="1"/>
      </rPr>
      <t xml:space="preserve">Q2 pro forma </t>
    </r>
    <r>
      <rPr>
        <sz val="10"/>
        <rFont val="WenQuanYi Zen Hei"/>
        <family val="2"/>
      </rPr>
      <t xml:space="preserve">總債務 </t>
    </r>
    <r>
      <rPr>
        <sz val="10"/>
        <rFont val="Arial"/>
        <family val="0"/>
        <charset val="1"/>
      </rPr>
      <t xml:space="preserve">38.6bn</t>
    </r>
    <r>
      <rPr>
        <sz val="10"/>
        <rFont val="WenQuanYi Zen Hei"/>
        <family val="2"/>
      </rPr>
      <t xml:space="preserve">；加權利率 </t>
    </r>
    <r>
      <rPr>
        <sz val="10"/>
        <rFont val="Arial"/>
        <family val="0"/>
        <charset val="1"/>
      </rPr>
      <t xml:space="preserve">FY23 14.9% → Q2 8.3% → pro forma 7.8%</t>
    </r>
    <r>
      <rPr>
        <sz val="10"/>
        <rFont val="WenQuanYi Zen Hei"/>
        <family val="2"/>
      </rPr>
      <t xml:space="preserve">；總債務／</t>
    </r>
    <r>
      <rPr>
        <sz val="10"/>
        <rFont val="Arial"/>
        <family val="0"/>
        <charset val="1"/>
      </rPr>
      <t xml:space="preserve">backlog 0.4x</t>
    </r>
    <r>
      <rPr>
        <sz val="10"/>
        <rFont val="WenQuanYi Zen Hei"/>
        <family val="2"/>
      </rPr>
      <t xml:space="preserve">；歷年 </t>
    </r>
    <r>
      <rPr>
        <sz val="10"/>
        <rFont val="Arial"/>
        <family val="0"/>
        <charset val="1"/>
      </rPr>
      <t xml:space="preserve">backlog 9.9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15.1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66.8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104.2</t>
    </r>
    <r>
      <rPr>
        <sz val="10"/>
        <rFont val="WenQuanYi Zen Hei"/>
        <family val="2"/>
      </rPr>
      <t xml:space="preserve">。</t>
    </r>
  </si>
  <si>
    <t xml:space="preserve">User-provided</t>
  </si>
  <si>
    <r>
      <rPr>
        <sz val="10"/>
        <rFont val="Arial"/>
        <family val="0"/>
        <charset val="1"/>
      </rPr>
      <t xml:space="preserve">5Y CDS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2026-09</t>
    </r>
    <r>
      <rPr>
        <sz val="10"/>
        <rFont val="WenQuanYi Zen Hei"/>
        <family val="2"/>
      </rPr>
      <t xml:space="preserve">）：中價 </t>
    </r>
    <r>
      <rPr>
        <sz val="10"/>
        <rFont val="Arial"/>
        <family val="0"/>
        <charset val="1"/>
      </rPr>
      <t xml:space="preserve">720bps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Bid/Ask 690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750</t>
    </r>
    <r>
      <rPr>
        <sz val="10"/>
        <rFont val="WenQuanYi Zen Hei"/>
        <family val="2"/>
      </rPr>
      <t xml:space="preserve">、近期區間 </t>
    </r>
    <r>
      <rPr>
        <sz val="10"/>
        <rFont val="Arial"/>
        <family val="0"/>
        <charset val="1"/>
      </rPr>
      <t xml:space="preserve">680–855</t>
    </r>
    <r>
      <rPr>
        <sz val="10"/>
        <rFont val="WenQuanYi Zen Hei"/>
        <family val="2"/>
      </rPr>
      <t xml:space="preserve">（對照 </t>
    </r>
    <r>
      <rPr>
        <sz val="10"/>
        <rFont val="Arial"/>
        <family val="0"/>
        <charset val="1"/>
      </rPr>
      <t xml:space="preserve">7/28 </t>
    </r>
    <r>
      <rPr>
        <sz val="10"/>
        <rFont val="WenQuanYi Zen Hei"/>
        <family val="2"/>
      </rPr>
      <t xml:space="preserve">峰值 </t>
    </r>
    <r>
      <rPr>
        <sz val="10"/>
        <rFont val="Arial"/>
        <family val="0"/>
        <charset val="1"/>
      </rPr>
      <t xml:space="preserve">855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6 </t>
    </r>
    <r>
      <rPr>
        <sz val="10"/>
        <rFont val="WenQuanYi Zen Hei"/>
        <family val="2"/>
      </rPr>
      <t xml:space="preserve">月低點 </t>
    </r>
    <r>
      <rPr>
        <sz val="10"/>
        <rFont val="Arial"/>
        <family val="0"/>
        <charset val="1"/>
      </rPr>
      <t xml:space="preserve">452</t>
    </r>
    <r>
      <rPr>
        <sz val="10"/>
        <rFont val="WenQuanYi Zen Hei"/>
        <family val="2"/>
      </rPr>
      <t xml:space="preserve">）。</t>
    </r>
  </si>
  <si>
    <t xml:space="preserve">Derived</t>
  </si>
  <si>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桶內線性分攤（</t>
    </r>
    <r>
      <rPr>
        <sz val="10"/>
        <rFont val="Arial"/>
        <family val="0"/>
        <charset val="1"/>
      </rPr>
      <t xml:space="preserve">41/39/20 → </t>
    </r>
    <r>
      <rPr>
        <sz val="10"/>
        <rFont val="WenQuanYi Zen Hei"/>
        <family val="2"/>
      </rPr>
      <t xml:space="preserve">五期 </t>
    </r>
    <r>
      <rPr>
        <sz val="10"/>
        <rFont val="Arial"/>
        <family val="0"/>
        <charset val="1"/>
      </rPr>
      <t xml:space="preserve">10.25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20.5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19.5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13.75%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</rPr>
      <t xml:space="preserve">率＝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WenQuanYi Zen Hei"/>
        <family val="2"/>
      </rPr>
      <t xml:space="preserve">營收（</t>
    </r>
    <r>
      <rPr>
        <sz val="10"/>
        <rFont val="Arial"/>
        <family val="0"/>
        <charset val="1"/>
      </rPr>
      <t xml:space="preserve">v2.3 </t>
    </r>
    <r>
      <rPr>
        <sz val="10"/>
        <rFont val="WenQuanYi Zen Hei"/>
        <family val="2"/>
      </rPr>
      <t xml:space="preserve">起與損益連動）；客戶預付率 </t>
    </r>
    <r>
      <rPr>
        <sz val="10"/>
        <rFont val="Arial"/>
        <family val="0"/>
        <charset val="1"/>
      </rPr>
      <t xml:space="preserve">8.5%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rev/MW </t>
    </r>
    <r>
      <rPr>
        <sz val="10"/>
        <rFont val="WenQuanYi Zen Hei"/>
        <family val="2"/>
      </rPr>
      <t xml:space="preserve">錨 </t>
    </r>
    <r>
      <rPr>
        <sz val="10"/>
        <rFont val="Arial"/>
        <family val="0"/>
        <charset val="1"/>
      </rPr>
      <t xml:space="preserve">10.0–10.5M/MW</t>
    </r>
    <r>
      <rPr>
        <sz val="10"/>
        <rFont val="WenQuanYi Zen Hei"/>
        <family val="2"/>
      </rPr>
      <t xml:space="preserve">。</t>
    </r>
  </si>
  <si>
    <t xml:space="preserve">Assumed</t>
  </si>
  <si>
    <r>
      <rPr>
        <sz val="10"/>
        <rFont val="Arial"/>
        <family val="0"/>
        <charset val="1"/>
      </rPr>
      <t xml:space="preserve">FY27–30 </t>
    </r>
    <r>
      <rPr>
        <sz val="10"/>
        <rFont val="WenQuanYi Zen Hei"/>
        <family val="2"/>
      </rPr>
      <t xml:space="preserve">毛 </t>
    </r>
    <r>
      <rPr>
        <sz val="10"/>
        <rFont val="Arial"/>
        <family val="0"/>
        <charset val="1"/>
      </rPr>
      <t xml:space="preserve">CapEx 45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50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50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45</t>
    </r>
    <r>
      <rPr>
        <sz val="10"/>
        <rFont val="WenQuanYi Zen Hei"/>
        <family val="2"/>
      </rPr>
      <t xml:space="preserve">；新產能簽約率 </t>
    </r>
    <r>
      <rPr>
        <sz val="10"/>
        <rFont val="Arial"/>
        <family val="0"/>
        <charset val="1"/>
      </rPr>
      <t xml:space="preserve">100→80%</t>
    </r>
    <r>
      <rPr>
        <sz val="10"/>
        <rFont val="WenQuanYi Zen Hei"/>
        <family val="2"/>
      </rPr>
      <t xml:space="preserve">；表外現金租金 </t>
    </r>
    <r>
      <rPr>
        <sz val="10"/>
        <rFont val="Arial"/>
        <family val="0"/>
        <charset val="1"/>
      </rPr>
      <t xml:space="preserve">0.3→4.6</t>
    </r>
    <r>
      <rPr>
        <sz val="10"/>
        <rFont val="WenQuanYi Zen Hei"/>
        <family val="2"/>
      </rPr>
      <t xml:space="preserve">；違約率 </t>
    </r>
    <r>
      <rPr>
        <sz val="10"/>
        <rFont val="Arial"/>
        <family val="0"/>
        <charset val="1"/>
      </rPr>
      <t xml:space="preserve">0.5→2.5%</t>
    </r>
    <r>
      <rPr>
        <sz val="10"/>
        <rFont val="WenQuanYi Zen Hei"/>
        <family val="2"/>
      </rPr>
      <t xml:space="preserve">；瀑布新債利率 </t>
    </r>
    <r>
      <rPr>
        <sz val="10"/>
        <rFont val="Arial"/>
        <family val="0"/>
        <charset val="1"/>
      </rPr>
      <t xml:space="preserve">9%</t>
    </r>
    <r>
      <rPr>
        <sz val="10"/>
        <rFont val="WenQuanYi Zen Hei"/>
        <family val="2"/>
      </rPr>
      <t xml:space="preserve">；債務／</t>
    </r>
    <r>
      <rPr>
        <sz val="10"/>
        <rFont val="Arial"/>
        <family val="0"/>
        <charset val="1"/>
      </rPr>
      <t xml:space="preserve">backlog 1.0x</t>
    </r>
    <r>
      <rPr>
        <sz val="10"/>
        <rFont val="WenQuanYi Zen Hei"/>
        <family val="2"/>
      </rPr>
      <t xml:space="preserve">（敏感度 </t>
    </r>
    <r>
      <rPr>
        <sz val="10"/>
        <rFont val="Arial"/>
        <family val="0"/>
        <charset val="1"/>
      </rPr>
      <t xml:space="preserve">0.4x</t>
    </r>
    <r>
      <rPr>
        <sz val="10"/>
        <rFont val="WenQuanYi Zen Hei"/>
        <family val="2"/>
      </rPr>
      <t xml:space="preserve">）；起始／穩態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 </t>
    </r>
    <r>
      <rPr>
        <sz val="10"/>
        <rFont val="Arial"/>
        <family val="0"/>
        <charset val="1"/>
      </rPr>
      <t xml:space="preserve">59%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65%</t>
    </r>
    <r>
      <rPr>
        <sz val="10"/>
        <rFont val="WenQuanYi Zen Hei"/>
        <family val="2"/>
      </rPr>
      <t xml:space="preserve">（敏感度 </t>
    </r>
    <r>
      <rPr>
        <sz val="10"/>
        <rFont val="Arial"/>
        <family val="0"/>
        <charset val="1"/>
      </rPr>
      <t xml:space="preserve">59%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70%</t>
    </r>
    <r>
      <rPr>
        <sz val="10"/>
        <rFont val="WenQuanYi Zen Hei"/>
        <family val="2"/>
      </rPr>
      <t xml:space="preserve">）；最低現金 </t>
    </r>
    <r>
      <rPr>
        <sz val="10"/>
        <rFont val="Arial"/>
        <family val="0"/>
        <charset val="1"/>
      </rPr>
      <t xml:space="preserve">2.0</t>
    </r>
    <r>
      <rPr>
        <sz val="10"/>
        <rFont val="WenQuanYi Zen Hei"/>
        <family val="2"/>
      </rPr>
      <t xml:space="preserve">；股權折價 </t>
    </r>
    <r>
      <rPr>
        <sz val="10"/>
        <rFont val="Arial"/>
        <family val="0"/>
        <charset val="1"/>
      </rPr>
      <t xml:space="preserve">10%</t>
    </r>
    <r>
      <rPr>
        <sz val="10"/>
        <rFont val="WenQuanYi Zen Hei"/>
        <family val="2"/>
      </rPr>
      <t xml:space="preserve">；非算力服務營收 </t>
    </r>
    <r>
      <rPr>
        <sz val="10"/>
        <rFont val="Arial"/>
        <family val="0"/>
        <charset val="1"/>
      </rPr>
      <t xml:space="preserve">0.3→3.8</t>
    </r>
    <r>
      <rPr>
        <sz val="10"/>
        <rFont val="WenQuanYi Zen Hei"/>
        <family val="2"/>
      </rPr>
      <t xml:space="preserve">；終值維持性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占 </t>
    </r>
    <r>
      <rPr>
        <sz val="10"/>
        <rFont val="Arial"/>
        <family val="0"/>
        <charset val="1"/>
      </rPr>
      <t xml:space="preserve">D&amp;A 80%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</si>
  <si>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房東揭露：</t>
    </r>
    <r>
      <rPr>
        <sz val="10"/>
        <rFont val="Arial"/>
        <family val="0"/>
        <charset val="1"/>
      </rPr>
      <t xml:space="preserve">Galaxy Helios 526 MW</t>
    </r>
    <r>
      <rPr>
        <sz val="10"/>
        <rFont val="WenQuanYi Zen Hei"/>
        <family val="2"/>
      </rPr>
      <t xml:space="preserve">、年均 </t>
    </r>
    <r>
      <rPr>
        <sz val="10"/>
        <rFont val="Arial"/>
        <family val="0"/>
        <charset val="1"/>
      </rPr>
      <t xml:space="preserve">&gt;$1bn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15 </t>
    </r>
    <r>
      <rPr>
        <sz val="10"/>
        <rFont val="WenQuanYi Zen Hei"/>
        <family val="2"/>
      </rPr>
      <t xml:space="preserve">年（</t>
    </r>
    <r>
      <rPr>
        <sz val="10"/>
        <rFont val="Arial"/>
        <family val="0"/>
        <charset val="1"/>
      </rPr>
      <t xml:space="preserve">2026-07-06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Applied Digital Polaris Forge 1 400 MW</t>
    </r>
    <r>
      <rPr>
        <sz val="10"/>
        <rFont val="WenQuanYi Zen Hei"/>
        <family val="2"/>
      </rPr>
      <t xml:space="preserve">、約 </t>
    </r>
    <r>
      <rPr>
        <sz val="10"/>
        <rFont val="Arial"/>
        <family val="0"/>
        <charset val="1"/>
      </rPr>
      <t xml:space="preserve">$11bn</t>
    </r>
    <r>
      <rPr>
        <sz val="10"/>
        <rFont val="WenQuanYi Zen Hei"/>
        <family val="2"/>
      </rPr>
      <t xml:space="preserve">、約 </t>
    </r>
    <r>
      <rPr>
        <sz val="10"/>
        <rFont val="Arial"/>
        <family val="0"/>
        <charset val="1"/>
      </rPr>
      <t xml:space="preserve">15 </t>
    </r>
    <r>
      <rPr>
        <sz val="10"/>
        <rFont val="WenQuanYi Zen Hei"/>
        <family val="2"/>
      </rPr>
      <t xml:space="preserve">年（</t>
    </r>
    <r>
      <rPr>
        <sz val="10"/>
        <rFont val="Arial"/>
        <family val="0"/>
        <charset val="1"/>
      </rPr>
      <t xml:space="preserve">2025-08-29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Core Scientific </t>
    </r>
    <r>
      <rPr>
        <sz val="10"/>
        <rFont val="WenQuanYi Zen Hei"/>
        <family val="2"/>
      </rPr>
      <t xml:space="preserve">約 </t>
    </r>
    <r>
      <rPr>
        <sz val="10"/>
        <rFont val="Arial"/>
        <family val="0"/>
        <charset val="1"/>
      </rPr>
      <t xml:space="preserve">590 MW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$10.2bn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12 </t>
    </r>
    <r>
      <rPr>
        <sz val="10"/>
        <rFont val="WenQuanYi Zen Hei"/>
        <family val="2"/>
      </rPr>
      <t xml:space="preserve">年（</t>
    </r>
    <r>
      <rPr>
        <sz val="10"/>
        <rFont val="Arial"/>
        <family val="0"/>
        <charset val="1"/>
      </rPr>
      <t xml:space="preserve">2025-02-26</t>
    </r>
    <r>
      <rPr>
        <sz val="10"/>
        <rFont val="WenQuanYi Zen Hei"/>
        <family val="2"/>
      </rPr>
      <t xml:space="preserve">）。</t>
    </r>
    <r>
      <rPr>
        <sz val="10"/>
        <rFont val="Arial"/>
        <family val="0"/>
        <charset val="1"/>
      </rPr>
      <t xml:space="preserve">Q4 2025 </t>
    </r>
    <r>
      <rPr>
        <sz val="10"/>
        <rFont val="WenQuanYi Zen Hei"/>
        <family val="2"/>
      </rPr>
      <t xml:space="preserve">法說：年底主動電力 </t>
    </r>
    <r>
      <rPr>
        <sz val="10"/>
        <rFont val="Arial"/>
        <family val="0"/>
        <charset val="1"/>
      </rPr>
      <t xml:space="preserve">&gt;850 MW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2025 CapEx 14.9bn</t>
    </r>
    <r>
      <rPr>
        <sz val="10"/>
        <rFont val="WenQuanYi Zen Hei"/>
        <family val="2"/>
      </rPr>
      <t xml:space="preserve">。</t>
    </r>
  </si>
  <si>
    <r>
      <rPr>
        <sz val="10"/>
        <rFont val="Arial"/>
        <family val="0"/>
        <charset val="1"/>
      </rPr>
      <t xml:space="preserve">10-Q Note 10 </t>
    </r>
    <r>
      <rPr>
        <sz val="10"/>
        <rFont val="WenQuanYi Zen Hei"/>
        <family val="2"/>
      </rPr>
      <t xml:space="preserve">債務逐筆（有效利率）：</t>
    </r>
    <r>
      <rPr>
        <sz val="10"/>
        <rFont val="Arial"/>
        <family val="0"/>
        <charset val="1"/>
      </rPr>
      <t xml:space="preserve">DDTL 1.0 1.300@15%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2.0 3.190@11%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2.1 3.000@9%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3.0 2.215@9%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5.0 1.101@9%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4.0 2.837@7%</t>
    </r>
    <r>
      <rPr>
        <sz val="10"/>
        <rFont val="WenQuanYi Zen Hei"/>
        <family val="2"/>
      </rPr>
      <t xml:space="preserve">（非追索）；票據 </t>
    </r>
    <r>
      <rPr>
        <sz val="10"/>
        <rFont val="Arial"/>
        <family val="0"/>
        <charset val="1"/>
      </rPr>
      <t xml:space="preserve">2030 2.000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2031 1.750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2.750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2032 1.250@10%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EUR 2.279@9%</t>
    </r>
    <r>
      <rPr>
        <sz val="10"/>
        <rFont val="WenQuanYi Zen Hei"/>
        <family val="2"/>
      </rPr>
      <t xml:space="preserve">；可轉債 </t>
    </r>
    <r>
      <rPr>
        <sz val="10"/>
        <rFont val="Arial"/>
        <family val="0"/>
        <charset val="1"/>
      </rPr>
      <t xml:space="preserve">2.588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4.000@2%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OEM 4.220@11%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0.882@9%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Magnetar 0.189@12%</t>
    </r>
    <r>
      <rPr>
        <sz val="10"/>
        <rFont val="WenQuanYi Zen Hei"/>
        <family val="2"/>
      </rPr>
      <t xml:space="preserve">。</t>
    </r>
    <r>
      <rPr>
        <sz val="10"/>
        <rFont val="Arial"/>
        <family val="0"/>
        <charset val="1"/>
      </rPr>
      <t xml:space="preserve">Note 3</t>
    </r>
    <r>
      <rPr>
        <sz val="10"/>
        <rFont val="WenQuanYi Zen Hei"/>
        <family val="2"/>
      </rPr>
      <t xml:space="preserve">：兩個 </t>
    </r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承諾最高 </t>
    </r>
    <r>
      <rPr>
        <sz val="10"/>
        <rFont val="Arial"/>
        <family val="0"/>
        <charset val="1"/>
      </rPr>
      <t xml:space="preserve">1.7</t>
    </r>
    <r>
      <rPr>
        <sz val="10"/>
        <rFont val="WenQuanYi Zen Hei"/>
        <family val="2"/>
      </rPr>
      <t xml:space="preserve">，預計 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年內履行，之後須追加出資；新澤西 </t>
    </r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持股 </t>
    </r>
    <r>
      <rPr>
        <sz val="10"/>
        <rFont val="Arial"/>
        <family val="0"/>
        <charset val="1"/>
      </rPr>
      <t xml:space="preserve">35%</t>
    </r>
    <r>
      <rPr>
        <sz val="10"/>
        <rFont val="WenQuanYi Zen Hei"/>
        <family val="2"/>
      </rPr>
      <t xml:space="preserve">，租金依建造成本計。</t>
    </r>
  </si>
  <si>
    <t xml:space="preserve">方法</t>
  </si>
  <si>
    <r>
      <rPr>
        <sz val="10"/>
        <rFont val="Arial"/>
        <family val="0"/>
        <charset val="1"/>
      </rPr>
      <t xml:space="preserve">v2.0 </t>
    </r>
    <r>
      <rPr>
        <sz val="10"/>
        <rFont val="WenQuanYi Zen Hei"/>
        <family val="2"/>
      </rPr>
      <t xml:space="preserve">期前融資瀑布：額度→資產層新債（總債務 ≤ 債務</t>
    </r>
    <r>
      <rPr>
        <sz val="10"/>
        <rFont val="Arial"/>
        <family val="0"/>
        <charset val="1"/>
      </rPr>
      <t xml:space="preserve">/backlog </t>
    </r>
    <r>
      <rPr>
        <sz val="10"/>
        <rFont val="WenQuanYi Zen Hei"/>
        <family val="2"/>
      </rPr>
      <t xml:space="preserve">上限）→股權殘差；舊版假設缺口全額舉債且無上限（透支利息＝利息、扣缺口＝本金），</t>
    </r>
    <r>
      <rPr>
        <sz val="10"/>
        <rFont val="Arial"/>
        <family val="0"/>
        <charset val="1"/>
      </rPr>
      <t xml:space="preserve">v2.0 </t>
    </r>
    <r>
      <rPr>
        <sz val="10"/>
        <rFont val="WenQuanYi Zen Hei"/>
        <family val="2"/>
      </rPr>
      <t xml:space="preserve">改為債務設上限、殘差以股權支應。</t>
    </r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</si>
</sst>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#,##0;\(#,##0\);\-"/>
    <numFmt numFmtId="166" formatCode="0.0%"/>
    <numFmt numFmtId="167" formatCode="#,##0.00;\(#,##0.00\);\-"/>
    <numFmt numFmtId="168" formatCode="0.0000"/>
    <numFmt numFmtId="169" formatCode="0.00"/>
    <numFmt numFmtId="170" formatCode="#,##0.0;\(#,##0.0\);\-"/>
    <numFmt numFmtId="171" formatCode="\$#,##0.00;&quot;($&quot;#,##0.00\);\-"/>
    <numFmt numFmtId="172" formatCode="0.000"/>
    <numFmt numFmtId="173" formatCode="0.0\x"/>
    <numFmt numFmtId="174" formatCode="0.00%"/>
    <numFmt numFmtId="175" formatCode="0.000%"/>
    <numFmt numFmtId="176" formatCode="0.00\x"/>
    <numFmt numFmtId="177" formatCode="0.0"/>
    <numFmt numFmtId="178" formatCode="@"/>
    <numFmt numFmtId="179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WenQuanYi Zen Hei"/>
      <family val="2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95959"/>
      <name val="Arial"/>
      <family val="0"/>
      <charset val="1"/>
    </font>
    <font>
      <sz val="9"/>
      <color rgb="FF595959"/>
      <name val="WenQuanYi Zen Hei"/>
      <family val="2"/>
    </font>
    <font>
      <sz val="10"/>
      <color rgb="FF0000FF"/>
      <name val="Arial"/>
      <family val="0"/>
      <charset val="1"/>
    </font>
    <font>
      <b val="true"/>
      <sz val="10"/>
      <color rgb="FF1F3864"/>
      <name val="WenQuanYi Zen Hei"/>
      <family val="2"/>
    </font>
    <font>
      <b val="true"/>
      <sz val="10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WenQuanYi Zen Hei"/>
      <family val="2"/>
    </font>
    <font>
      <sz val="10"/>
      <color rgb="FF008000"/>
      <name val="Arial"/>
      <family val="0"/>
      <charset val="1"/>
    </font>
    <font>
      <sz val="10"/>
      <color rgb="FF0000FF"/>
      <name val="WenQuanYi Zen Hei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E3F1E8"/>
      </patternFill>
    </fill>
    <fill>
      <patternFill patternType="solid">
        <fgColor rgb="FFFFFF00"/>
        <bgColor rgb="FFFFFF00"/>
      </patternFill>
    </fill>
    <fill>
      <patternFill patternType="solid">
        <fgColor rgb="FFEEF2F7"/>
        <bgColor rgb="FFE3F1E8"/>
      </patternFill>
    </fill>
    <fill>
      <patternFill patternType="solid">
        <fgColor rgb="FF1F3864"/>
        <bgColor rgb="FF333399"/>
      </patternFill>
    </fill>
    <fill>
      <patternFill patternType="solid">
        <fgColor rgb="FF0F5C61"/>
        <bgColor rgb="FF0F6B4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E3F1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F1239"/>
      <rgbColor rgb="FF008000"/>
      <rgbColor rgb="FF000080"/>
      <rgbColor rgb="FF808000"/>
      <rgbColor rgb="FF800080"/>
      <rgbColor rgb="FF0F6B4C"/>
      <rgbColor rgb="FFBFBFBF"/>
      <rgbColor rgb="FF808080"/>
      <rgbColor rgb="FF9999FF"/>
      <rgbColor rgb="FF993366"/>
      <rgbColor rgb="FFEEF2F7"/>
      <rgbColor rgb="FFE3F1E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F5C61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5778"/>
      <rgbColor rgb="FFC4A35A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8"/>
  </cols>
  <sheetData>
    <row r="1" customFormat="false" ht="19.4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4.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2" t="s">
        <v>4</v>
      </c>
    </row>
    <row r="8" customFormat="false" ht="14.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4.15" hidden="false" customHeight="false" outlineLevel="0" collapsed="false">
      <c r="A10" s="3" t="s">
        <v>7</v>
      </c>
    </row>
    <row r="11" customFormat="false" ht="14.15" hidden="false" customHeight="false" outlineLevel="0" collapsed="false">
      <c r="A11" s="3" t="s">
        <v>8</v>
      </c>
    </row>
    <row r="12" customFormat="false" ht="14.15" hidden="false" customHeight="false" outlineLevel="0" collapsed="false">
      <c r="A12" s="3" t="s">
        <v>9</v>
      </c>
    </row>
    <row r="13" customFormat="false" ht="14.15" hidden="false" customHeight="false" outlineLevel="0" collapsed="false">
      <c r="A13" s="3" t="s">
        <v>10</v>
      </c>
    </row>
    <row r="14" customFormat="false" ht="14.15" hidden="false" customHeight="false" outlineLevel="0" collapsed="false">
      <c r="A14" s="3" t="s">
        <v>11</v>
      </c>
    </row>
    <row r="15" customFormat="false" ht="14.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2" t="s">
        <v>14</v>
      </c>
    </row>
    <row r="19" customFormat="false" ht="14.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/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/>
    </row>
    <row r="24" customFormat="false" ht="15" hidden="false" customHeight="false" outlineLevel="0" collapsed="false">
      <c r="A24" s="3" t="s">
        <v>18</v>
      </c>
    </row>
    <row r="25" customFormat="false" ht="14.15" hidden="false" customHeight="false" outlineLevel="0" collapsed="false">
      <c r="A25" s="4" t="s">
        <v>19</v>
      </c>
    </row>
    <row r="26" customFormat="false" ht="14.15" hidden="false" customHeight="false" outlineLevel="0" collapsed="false">
      <c r="A26" s="3" t="s">
        <v>20</v>
      </c>
    </row>
    <row r="27" customFormat="false" ht="15" hidden="false" customHeight="false" outlineLevel="0" collapsed="false">
      <c r="A27" s="3" t="s">
        <v>21</v>
      </c>
    </row>
    <row r="28" customFormat="false" ht="14.15" hidden="false" customHeight="false" outlineLevel="0" collapsed="false">
      <c r="A28" s="4" t="s">
        <v>22</v>
      </c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3"/>
    </row>
    <row r="31" customFormat="false" ht="15" hidden="false" customHeight="false" outlineLevel="0" collapsed="false">
      <c r="A31" s="3" t="s">
        <v>24</v>
      </c>
    </row>
    <row r="32" customFormat="false" ht="14.15" hidden="false" customHeight="false" outlineLevel="0" collapsed="false">
      <c r="A32" s="3" t="s">
        <v>25</v>
      </c>
    </row>
    <row r="33" customFormat="false" ht="15" hidden="false" customHeight="false" outlineLevel="0" collapsed="false">
      <c r="A33" s="3" t="s">
        <v>26</v>
      </c>
    </row>
    <row r="34" customFormat="false" ht="14.15" hidden="false" customHeight="false" outlineLevel="0" collapsed="false">
      <c r="A34" s="3" t="s">
        <v>27</v>
      </c>
    </row>
    <row r="35" customFormat="false" ht="15" hidden="false" customHeight="false" outlineLevel="0" collapsed="false">
      <c r="A35" s="3" t="s">
        <v>28</v>
      </c>
    </row>
    <row r="36" customFormat="false" ht="15" hidden="false" customHeight="false" outlineLevel="0" collapsed="false">
      <c r="A36" s="3"/>
    </row>
    <row r="37" customFormat="false" ht="14.15" hidden="false" customHeight="false" outlineLevel="0" collapsed="false">
      <c r="A37" s="3" t="s">
        <v>29</v>
      </c>
    </row>
    <row r="38" customFormat="false" ht="14.15" hidden="false" customHeight="false" outlineLevel="0" collapsed="false">
      <c r="A38" s="3" t="s">
        <v>30</v>
      </c>
    </row>
    <row r="39" customFormat="false" ht="14.15" hidden="false" customHeight="false" outlineLevel="0" collapsed="false">
      <c r="A39" s="3" t="s">
        <v>31</v>
      </c>
    </row>
    <row r="40" customFormat="false" ht="15" hidden="false" customHeight="false" outlineLevel="0" collapsed="false">
      <c r="A40" s="3"/>
    </row>
    <row r="41" customFormat="false" ht="15" hidden="false" customHeight="false" outlineLevel="0" collapsed="false">
      <c r="A41" s="2" t="s">
        <v>32</v>
      </c>
    </row>
    <row r="42" customFormat="false" ht="14.15" hidden="false" customHeight="false" outlineLevel="0" collapsed="false">
      <c r="A42" s="3" t="s">
        <v>33</v>
      </c>
    </row>
    <row r="43" customFormat="false" ht="15" hidden="false" customHeight="false" outlineLevel="0" collapsed="false">
      <c r="A43" s="3" t="s">
        <v>34</v>
      </c>
    </row>
    <row r="44" customFormat="false" ht="14.15" hidden="false" customHeight="false" outlineLevel="0" collapsed="false">
      <c r="A44" s="4" t="s">
        <v>35</v>
      </c>
    </row>
    <row r="45" customFormat="false" ht="15" hidden="false" customHeight="false" outlineLevel="0" collapsed="false">
      <c r="A45" s="3"/>
    </row>
    <row r="46" customFormat="false" ht="14.15" hidden="false" customHeight="false" outlineLevel="0" collapsed="false">
      <c r="A46" s="2" t="s">
        <v>36</v>
      </c>
    </row>
    <row r="47" customFormat="false" ht="14.15" hidden="false" customHeight="false" outlineLevel="0" collapsed="false">
      <c r="A47" s="3" t="s">
        <v>37</v>
      </c>
    </row>
    <row r="48" customFormat="false" ht="14.15" hidden="false" customHeight="false" outlineLevel="0" collapsed="false">
      <c r="A48" s="4" t="s">
        <v>38</v>
      </c>
    </row>
    <row r="49" customFormat="false" ht="14.15" hidden="false" customHeight="false" outlineLevel="0" collapsed="false">
      <c r="A49" s="3" t="s">
        <v>39</v>
      </c>
    </row>
    <row r="50" customFormat="false" ht="14.15" hidden="false" customHeight="false" outlineLevel="0" collapsed="false">
      <c r="A50" s="3" t="s">
        <v>40</v>
      </c>
    </row>
    <row r="51" customFormat="false" ht="14.15" hidden="false" customHeight="false" outlineLevel="0" collapsed="false">
      <c r="A51" s="4" t="s">
        <v>41</v>
      </c>
    </row>
    <row r="52" customFormat="false" ht="14.15" hidden="false" customHeight="false" outlineLevel="0" collapsed="false">
      <c r="A52" s="4" t="s">
        <v>42</v>
      </c>
    </row>
    <row r="53" customFormat="false" ht="15" hidden="false" customHeight="false" outlineLevel="0" collapsed="false">
      <c r="A53" s="3"/>
    </row>
    <row r="54" customFormat="false" ht="15" hidden="false" customHeight="false" outlineLevel="0" collapsed="false">
      <c r="A54" s="2" t="s">
        <v>43</v>
      </c>
    </row>
    <row r="55" customFormat="false" ht="14.15" hidden="false" customHeight="false" outlineLevel="0" collapsed="false">
      <c r="A55" s="4" t="s">
        <v>44</v>
      </c>
    </row>
    <row r="56" customFormat="false" ht="15" hidden="false" customHeight="false" outlineLevel="0" collapsed="false">
      <c r="A56" s="3" t="s">
        <v>45</v>
      </c>
    </row>
    <row r="57" customFormat="false" ht="15" hidden="false" customHeight="false" outlineLevel="0" collapsed="false">
      <c r="A57" s="3" t="s">
        <v>46</v>
      </c>
    </row>
    <row r="58" customFormat="false" ht="15" hidden="false" customHeight="false" outlineLevel="0" collapsed="false">
      <c r="A58" s="3"/>
    </row>
    <row r="59" customFormat="false" ht="14.15" hidden="false" customHeight="false" outlineLevel="0" collapsed="false">
      <c r="A59" s="5" t="s">
        <v>47</v>
      </c>
    </row>
    <row r="60" customFormat="false" ht="14.15" hidden="false" customHeight="false" outlineLevel="0" collapsed="false">
      <c r="A60" s="4" t="s">
        <v>48</v>
      </c>
    </row>
    <row r="61" customFormat="false" ht="14.15" hidden="false" customHeight="false" outlineLevel="0" collapsed="false">
      <c r="A61" s="3" t="s">
        <v>49</v>
      </c>
    </row>
    <row r="62" customFormat="false" ht="14.15" hidden="false" customHeight="false" outlineLevel="0" collapsed="false">
      <c r="A62" s="4" t="s">
        <v>50</v>
      </c>
    </row>
    <row r="63" customFormat="false" ht="14.15" hidden="false" customHeight="false" outlineLevel="0" collapsed="false">
      <c r="A63" s="4" t="s">
        <v>51</v>
      </c>
    </row>
    <row r="64" customFormat="false" ht="14.15" hidden="false" customHeight="false" outlineLevel="0" collapsed="false">
      <c r="A64" s="4" t="s">
        <v>52</v>
      </c>
    </row>
    <row r="65" customFormat="false" ht="14.15" hidden="false" customHeight="false" outlineLevel="0" collapsed="false">
      <c r="A65" s="4" t="s">
        <v>53</v>
      </c>
    </row>
    <row r="66" customFormat="false" ht="15" hidden="false" customHeight="false" outlineLevel="0" collapsed="false">
      <c r="A66" s="3"/>
    </row>
    <row r="67" customFormat="false" ht="14.15" hidden="false" customHeight="false" outlineLevel="0" collapsed="false">
      <c r="A67" s="5" t="s">
        <v>54</v>
      </c>
    </row>
    <row r="68" customFormat="false" ht="14.15" hidden="false" customHeight="false" outlineLevel="0" collapsed="false">
      <c r="A68" s="3" t="s">
        <v>55</v>
      </c>
    </row>
    <row r="69" customFormat="false" ht="15" hidden="false" customHeight="false" outlineLevel="0" collapsed="false">
      <c r="A69" s="3" t="s">
        <v>56</v>
      </c>
    </row>
    <row r="70" customFormat="false" ht="14.15" hidden="false" customHeight="false" outlineLevel="0" collapsed="false">
      <c r="A70" s="3" t="s">
        <v>57</v>
      </c>
    </row>
    <row r="71" customFormat="false" ht="15" hidden="false" customHeight="false" outlineLevel="0" collapsed="false">
      <c r="A71" s="3"/>
    </row>
    <row r="72" customFormat="false" ht="14.15" hidden="false" customHeight="false" outlineLevel="0" collapsed="false">
      <c r="A72" s="5" t="s">
        <v>58</v>
      </c>
    </row>
    <row r="73" customFormat="false" ht="14.15" hidden="false" customHeight="false" outlineLevel="0" collapsed="false">
      <c r="A73" s="4" t="s">
        <v>59</v>
      </c>
    </row>
    <row r="74" customFormat="false" ht="14.15" hidden="false" customHeight="false" outlineLevel="0" collapsed="false">
      <c r="A74" s="3" t="s">
        <v>60</v>
      </c>
    </row>
    <row r="75" customFormat="false" ht="14.15" hidden="false" customHeight="false" outlineLevel="0" collapsed="false">
      <c r="A75" s="3" t="s">
        <v>61</v>
      </c>
    </row>
    <row r="76" customFormat="false" ht="15" hidden="false" customHeight="false" outlineLevel="0" collapsed="false">
      <c r="A76" s="3"/>
    </row>
    <row r="77" customFormat="false" ht="14.15" hidden="false" customHeight="false" outlineLevel="0" collapsed="false">
      <c r="A77" s="5" t="s">
        <v>62</v>
      </c>
    </row>
    <row r="78" customFormat="false" ht="14.15" hidden="false" customHeight="false" outlineLevel="0" collapsed="false">
      <c r="A78" s="3" t="s">
        <v>63</v>
      </c>
    </row>
    <row r="79" customFormat="false" ht="14.15" hidden="false" customHeight="false" outlineLevel="0" collapsed="false">
      <c r="A79" s="3" t="s">
        <v>64</v>
      </c>
    </row>
    <row r="80" customFormat="false" ht="14.15" hidden="false" customHeight="false" outlineLevel="0" collapsed="false">
      <c r="A80" s="4" t="s">
        <v>65</v>
      </c>
    </row>
    <row r="81" customFormat="false" ht="14.15" hidden="false" customHeight="false" outlineLevel="0" collapsed="false">
      <c r="A81" s="3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outlinePr summaryBelow="0" summaryRight="1"/>
    <pageSetUpPr fitToPage="false"/>
  </sheetPr>
  <dimension ref="A1:J1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2" outlineLevelCol="0"/>
  <cols>
    <col collapsed="false" customWidth="true" hidden="false" outlineLevel="0" max="1" min="1" style="0" width="44"/>
    <col collapsed="false" customWidth="true" hidden="false" outlineLevel="0" max="7" min="2" style="0" width="12"/>
    <col collapsed="false" customWidth="true" hidden="false" outlineLevel="0" max="9" min="9" style="0" width="92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6" t="s">
        <v>67</v>
      </c>
    </row>
    <row r="2" customFormat="false" ht="15" hidden="false" customHeight="false" outlineLevel="0" collapsed="false">
      <c r="A2" s="7" t="s">
        <v>68</v>
      </c>
    </row>
    <row r="4" customFormat="false" ht="15" hidden="false" customHeight="false" outlineLevel="0" collapsed="false">
      <c r="A4" s="8" t="s">
        <v>69</v>
      </c>
      <c r="B4" s="9"/>
      <c r="C4" s="9"/>
      <c r="D4" s="9"/>
      <c r="E4" s="9"/>
      <c r="F4" s="9"/>
      <c r="G4" s="9"/>
      <c r="H4" s="9"/>
    </row>
    <row r="5" customFormat="false" ht="15" hidden="false" customHeight="false" outlineLevel="1" collapsed="false">
      <c r="A5" s="2" t="s">
        <v>70</v>
      </c>
      <c r="C5" s="10" t="n">
        <v>2</v>
      </c>
      <c r="D5" s="2" t="str">
        <f aca="false">CHOOSE(C5,"保守 4.2 GW","基準 5.6 GW","積極 8 GW")</f>
        <v>基準 5.6 GW</v>
      </c>
      <c r="I5" s="11" t="s">
        <v>71</v>
      </c>
    </row>
    <row r="6" customFormat="false" ht="15" hidden="false" customHeight="false" outlineLevel="1" collapsed="false">
      <c r="A6" s="12" t="s">
        <v>72</v>
      </c>
      <c r="B6" s="13"/>
      <c r="C6" s="13"/>
      <c r="D6" s="13"/>
      <c r="E6" s="13"/>
      <c r="F6" s="13"/>
      <c r="G6" s="13"/>
      <c r="H6" s="13"/>
    </row>
    <row r="7" customFormat="false" ht="15" hidden="false" customHeight="false" outlineLevel="2" collapsed="false">
      <c r="A7" s="14" t="s">
        <v>73</v>
      </c>
      <c r="B7" s="15" t="s">
        <v>74</v>
      </c>
      <c r="C7" s="14" t="s">
        <v>75</v>
      </c>
      <c r="D7" s="14" t="s">
        <v>76</v>
      </c>
      <c r="E7" s="14" t="s">
        <v>77</v>
      </c>
      <c r="F7" s="14" t="s">
        <v>78</v>
      </c>
      <c r="G7" s="14" t="s">
        <v>79</v>
      </c>
      <c r="I7" s="14" t="s">
        <v>80</v>
      </c>
    </row>
    <row r="8" customFormat="false" ht="15" hidden="false" customHeight="false" outlineLevel="2" collapsed="false">
      <c r="A8" s="3" t="s">
        <v>81</v>
      </c>
      <c r="B8" s="7" t="s">
        <v>82</v>
      </c>
      <c r="C8" s="16" t="n">
        <v>1850</v>
      </c>
      <c r="D8" s="16" t="n">
        <v>3100</v>
      </c>
      <c r="E8" s="16" t="n">
        <v>3800</v>
      </c>
      <c r="F8" s="16" t="n">
        <v>4200</v>
      </c>
      <c r="G8" s="16" t="n">
        <v>4200</v>
      </c>
      <c r="I8" s="16" t="n">
        <v>0</v>
      </c>
      <c r="J8" s="11" t="s">
        <v>83</v>
      </c>
    </row>
    <row r="9" customFormat="false" ht="15" hidden="false" customHeight="false" outlineLevel="2" collapsed="false">
      <c r="A9" s="3" t="s">
        <v>84</v>
      </c>
      <c r="B9" s="7" t="s">
        <v>82</v>
      </c>
      <c r="C9" s="16" t="n">
        <v>1850</v>
      </c>
      <c r="D9" s="16" t="n">
        <v>3100</v>
      </c>
      <c r="E9" s="16" t="n">
        <v>4000</v>
      </c>
      <c r="F9" s="16" t="n">
        <v>4800</v>
      </c>
      <c r="G9" s="16" t="n">
        <v>5600</v>
      </c>
      <c r="I9" s="16" t="n">
        <v>500</v>
      </c>
      <c r="J9" s="7" t="s">
        <v>85</v>
      </c>
    </row>
    <row r="10" customFormat="false" ht="15" hidden="false" customHeight="false" outlineLevel="2" collapsed="false">
      <c r="A10" s="3" t="s">
        <v>86</v>
      </c>
      <c r="B10" s="7" t="s">
        <v>82</v>
      </c>
      <c r="C10" s="16" t="n">
        <v>1850</v>
      </c>
      <c r="D10" s="16" t="n">
        <v>3100</v>
      </c>
      <c r="E10" s="16" t="n">
        <v>4600</v>
      </c>
      <c r="F10" s="16" t="n">
        <v>6300</v>
      </c>
      <c r="G10" s="16" t="n">
        <v>8000</v>
      </c>
      <c r="I10" s="16" t="n">
        <v>1000</v>
      </c>
      <c r="J10" s="11" t="s">
        <v>87</v>
      </c>
    </row>
    <row r="11" customFormat="false" ht="15" hidden="false" customHeight="false" outlineLevel="2" collapsed="false">
      <c r="A11" s="4" t="s">
        <v>88</v>
      </c>
      <c r="B11" s="7" t="s">
        <v>89</v>
      </c>
      <c r="C11" s="17" t="n">
        <v>0.918918918918919</v>
      </c>
      <c r="D11" s="17" t="n">
        <v>0.935483870967742</v>
      </c>
      <c r="E11" s="17" t="n">
        <v>0.934782608695652</v>
      </c>
      <c r="F11" s="17" t="n">
        <v>0.936507936507937</v>
      </c>
      <c r="G11" s="17" t="n">
        <v>0.9375</v>
      </c>
      <c r="I11" s="11" t="s">
        <v>90</v>
      </c>
    </row>
    <row r="12" customFormat="false" ht="15" hidden="false" customHeight="false" outlineLevel="2" collapsed="false">
      <c r="A12" s="3" t="s">
        <v>91</v>
      </c>
      <c r="B12" s="7" t="s">
        <v>92</v>
      </c>
      <c r="C12" s="18" t="n">
        <v>0.3</v>
      </c>
      <c r="D12" s="18" t="n">
        <v>1.6</v>
      </c>
      <c r="E12" s="18" t="n">
        <v>3</v>
      </c>
      <c r="F12" s="18" t="n">
        <v>4</v>
      </c>
      <c r="G12" s="18" t="n">
        <v>4.6</v>
      </c>
      <c r="I12" s="11" t="s">
        <v>93</v>
      </c>
    </row>
    <row r="14" customFormat="false" ht="15" hidden="false" customHeight="false" outlineLevel="0" collapsed="false">
      <c r="A14" s="8" t="s">
        <v>94</v>
      </c>
      <c r="B14" s="9"/>
      <c r="C14" s="9"/>
      <c r="D14" s="9"/>
      <c r="E14" s="9"/>
      <c r="F14" s="9"/>
      <c r="G14" s="9"/>
      <c r="H14" s="9"/>
    </row>
    <row r="15" customFormat="false" ht="15" hidden="false" customHeight="false" outlineLevel="1" collapsed="false">
      <c r="A15" s="4" t="s">
        <v>95</v>
      </c>
      <c r="B15" s="7" t="s">
        <v>92</v>
      </c>
      <c r="C15" s="19" t="n">
        <v>103.7</v>
      </c>
      <c r="I15" s="7" t="s">
        <v>96</v>
      </c>
    </row>
    <row r="16" customFormat="false" ht="15" hidden="false" customHeight="false" outlineLevel="1" collapsed="false">
      <c r="A16" s="4" t="s">
        <v>97</v>
      </c>
      <c r="B16" s="7" t="s">
        <v>92</v>
      </c>
      <c r="C16" s="18" t="n">
        <v>25</v>
      </c>
      <c r="I16" s="11" t="s">
        <v>98</v>
      </c>
    </row>
    <row r="17" customFormat="false" ht="15" hidden="false" customHeight="false" outlineLevel="1" collapsed="false">
      <c r="A17" s="3" t="s">
        <v>99</v>
      </c>
      <c r="B17" s="7" t="s">
        <v>89</v>
      </c>
      <c r="C17" s="20" t="n">
        <v>0.84</v>
      </c>
      <c r="I17" s="7" t="s">
        <v>100</v>
      </c>
    </row>
    <row r="18" customFormat="false" ht="15" hidden="false" customHeight="false" outlineLevel="1" collapsed="false">
      <c r="A18" s="4" t="s">
        <v>101</v>
      </c>
      <c r="B18" s="7" t="s">
        <v>89</v>
      </c>
      <c r="C18" s="17" t="n">
        <v>0.84</v>
      </c>
      <c r="I18" s="11" t="s">
        <v>102</v>
      </c>
    </row>
    <row r="19" customFormat="false" ht="15" hidden="false" customHeight="false" outlineLevel="1" collapsed="false">
      <c r="A19" s="4" t="s">
        <v>103</v>
      </c>
      <c r="B19" s="7" t="s">
        <v>82</v>
      </c>
      <c r="C19" s="16" t="n">
        <v>850</v>
      </c>
      <c r="I19" s="7" t="s">
        <v>104</v>
      </c>
    </row>
    <row r="20" customFormat="false" ht="15" hidden="false" customHeight="false" outlineLevel="1" collapsed="false">
      <c r="A20" s="4" t="s">
        <v>105</v>
      </c>
      <c r="B20" s="7" t="s">
        <v>82</v>
      </c>
      <c r="C20" s="16" t="n">
        <v>1350</v>
      </c>
      <c r="I20" s="11" t="s">
        <v>106</v>
      </c>
    </row>
    <row r="21" customFormat="false" ht="15" hidden="false" customHeight="false" outlineLevel="1" collapsed="false">
      <c r="A21" s="3" t="s">
        <v>107</v>
      </c>
      <c r="B21" s="7"/>
      <c r="C21" s="16" t="n">
        <v>1</v>
      </c>
      <c r="I21" s="7" t="s">
        <v>108</v>
      </c>
    </row>
    <row r="22" customFormat="false" ht="15" hidden="false" customHeight="false" outlineLevel="1" collapsed="false">
      <c r="A22" s="3" t="s">
        <v>109</v>
      </c>
      <c r="B22" s="7" t="s">
        <v>89</v>
      </c>
      <c r="C22" s="17" t="n">
        <v>1</v>
      </c>
      <c r="I22" s="11" t="s">
        <v>110</v>
      </c>
    </row>
    <row r="23" customFormat="false" ht="15" hidden="false" customHeight="false" outlineLevel="1" collapsed="false">
      <c r="A23" s="15" t="s">
        <v>111</v>
      </c>
      <c r="B23" s="15" t="s">
        <v>74</v>
      </c>
      <c r="C23" s="21" t="s">
        <v>75</v>
      </c>
      <c r="D23" s="21" t="s">
        <v>76</v>
      </c>
      <c r="E23" s="21" t="s">
        <v>77</v>
      </c>
      <c r="F23" s="21" t="s">
        <v>78</v>
      </c>
      <c r="G23" s="21" t="s">
        <v>79</v>
      </c>
      <c r="I23" s="15" t="s">
        <v>112</v>
      </c>
    </row>
    <row r="24" customFormat="false" ht="15" hidden="false" customHeight="false" outlineLevel="1" collapsed="false">
      <c r="A24" s="3" t="s">
        <v>113</v>
      </c>
      <c r="B24" s="7"/>
      <c r="C24" s="18" t="n">
        <v>0.5</v>
      </c>
      <c r="D24" s="18" t="n">
        <v>1</v>
      </c>
      <c r="E24" s="18" t="n">
        <v>1</v>
      </c>
      <c r="F24" s="18" t="n">
        <v>1</v>
      </c>
      <c r="G24" s="18" t="n">
        <v>1</v>
      </c>
      <c r="I24" s="11" t="s">
        <v>114</v>
      </c>
    </row>
    <row r="25" customFormat="false" ht="15" hidden="false" customHeight="false" outlineLevel="1" collapsed="false">
      <c r="A25" s="4" t="s">
        <v>115</v>
      </c>
      <c r="B25" s="7" t="s">
        <v>89</v>
      </c>
      <c r="C25" s="17" t="n">
        <v>0.1025</v>
      </c>
      <c r="D25" s="17" t="n">
        <v>0.205</v>
      </c>
      <c r="E25" s="17" t="n">
        <v>0.2</v>
      </c>
      <c r="F25" s="17" t="n">
        <v>0.195</v>
      </c>
      <c r="G25" s="17" t="n">
        <v>0.1375</v>
      </c>
      <c r="H25" s="22" t="n">
        <f aca="false">SUM(C25:G25)</f>
        <v>0.84</v>
      </c>
      <c r="I25" s="7" t="s">
        <v>116</v>
      </c>
    </row>
    <row r="26" customFormat="false" ht="15" hidden="false" customHeight="false" outlineLevel="1" collapsed="false">
      <c r="A26" s="4" t="s">
        <v>117</v>
      </c>
      <c r="B26" s="7" t="s">
        <v>82</v>
      </c>
      <c r="C26" s="23" t="n">
        <f aca="false">CHOOSE(輸入與假設!$C$5,C8,C9,C10)</f>
        <v>1850</v>
      </c>
      <c r="D26" s="23" t="n">
        <f aca="false">CHOOSE(輸入與假設!$C$5,D8,D9,D10)</f>
        <v>3100</v>
      </c>
      <c r="E26" s="23" t="n">
        <f aca="false">CHOOSE(輸入與假設!$C$5,E8,E9,E10)</f>
        <v>4000</v>
      </c>
      <c r="F26" s="23" t="n">
        <f aca="false">CHOOSE(輸入與假設!$C$5,F8,F9,F10)</f>
        <v>4800</v>
      </c>
      <c r="G26" s="23" t="n">
        <f aca="false">CHOOSE(輸入與假設!$C$5,G8,G9,G10)</f>
        <v>5600</v>
      </c>
      <c r="I26" s="11" t="s">
        <v>118</v>
      </c>
    </row>
    <row r="27" customFormat="false" ht="15" hidden="false" customHeight="false" outlineLevel="1" collapsed="false">
      <c r="A27" s="4" t="s">
        <v>119</v>
      </c>
      <c r="B27" s="7" t="s">
        <v>82</v>
      </c>
      <c r="C27" s="23" t="n">
        <f aca="false">ROUND(C26*C11,0)</f>
        <v>1700</v>
      </c>
      <c r="D27" s="23" t="n">
        <f aca="false">ROUND(D26*D11,0)</f>
        <v>2900</v>
      </c>
      <c r="E27" s="23" t="n">
        <f aca="false">ROUND(E26*E11,0)</f>
        <v>3739</v>
      </c>
      <c r="F27" s="23" t="n">
        <f aca="false">ROUND(F26*F11,0)</f>
        <v>4495</v>
      </c>
      <c r="G27" s="23" t="n">
        <f aca="false">ROUND(G26*G11,0)</f>
        <v>5250</v>
      </c>
      <c r="I27" s="11" t="s">
        <v>120</v>
      </c>
    </row>
    <row r="28" customFormat="false" ht="15" hidden="false" customHeight="false" outlineLevel="1" collapsed="false">
      <c r="A28" s="3" t="s">
        <v>121</v>
      </c>
      <c r="B28" s="7" t="s">
        <v>89</v>
      </c>
      <c r="C28" s="17" t="n">
        <v>0.95</v>
      </c>
      <c r="D28" s="17" t="n">
        <v>0.95</v>
      </c>
      <c r="E28" s="17" t="n">
        <v>0.94</v>
      </c>
      <c r="F28" s="17" t="n">
        <v>0.93</v>
      </c>
      <c r="G28" s="17" t="n">
        <v>0.92</v>
      </c>
      <c r="I28" s="11" t="s">
        <v>122</v>
      </c>
    </row>
    <row r="29" customFormat="false" ht="15" hidden="false" customHeight="false" outlineLevel="1" collapsed="false">
      <c r="A29" s="3" t="s">
        <v>123</v>
      </c>
      <c r="B29" s="7" t="s">
        <v>124</v>
      </c>
      <c r="C29" s="24" t="n">
        <v>0.0112</v>
      </c>
      <c r="D29" s="24" t="n">
        <v>0.0115</v>
      </c>
      <c r="E29" s="24" t="n">
        <v>0.0115</v>
      </c>
      <c r="F29" s="24" t="n">
        <v>0.011</v>
      </c>
      <c r="G29" s="24" t="n">
        <v>0.0105</v>
      </c>
      <c r="I29" s="11" t="s">
        <v>125</v>
      </c>
    </row>
    <row r="30" customFormat="false" ht="15" hidden="false" customHeight="false" outlineLevel="1" collapsed="false">
      <c r="A30" s="3" t="s">
        <v>126</v>
      </c>
      <c r="B30" s="7" t="s">
        <v>89</v>
      </c>
      <c r="C30" s="17" t="n">
        <v>1</v>
      </c>
      <c r="D30" s="17" t="n">
        <v>1</v>
      </c>
      <c r="E30" s="17" t="n">
        <v>0.9</v>
      </c>
      <c r="F30" s="17" t="n">
        <v>0.85</v>
      </c>
      <c r="G30" s="17" t="n">
        <v>0.8</v>
      </c>
      <c r="I30" s="11" t="s">
        <v>127</v>
      </c>
    </row>
    <row r="31" customFormat="false" ht="15" hidden="false" customHeight="false" outlineLevel="1" collapsed="false">
      <c r="A31" s="3" t="s">
        <v>128</v>
      </c>
      <c r="B31" s="7" t="s">
        <v>89</v>
      </c>
      <c r="C31" s="17" t="n">
        <v>0.005</v>
      </c>
      <c r="D31" s="17" t="n">
        <v>0.01</v>
      </c>
      <c r="E31" s="17" t="n">
        <v>0.015</v>
      </c>
      <c r="F31" s="17" t="n">
        <v>0.02</v>
      </c>
      <c r="G31" s="17" t="n">
        <v>0.025</v>
      </c>
      <c r="I31" s="11" t="s">
        <v>129</v>
      </c>
    </row>
    <row r="32" customFormat="false" ht="15" hidden="false" customHeight="false" outlineLevel="1" collapsed="false">
      <c r="A32" s="3" t="s">
        <v>130</v>
      </c>
      <c r="B32" s="7" t="s">
        <v>89</v>
      </c>
      <c r="C32" s="17" t="n">
        <v>0.5</v>
      </c>
      <c r="D32" s="17" t="n">
        <v>0.5</v>
      </c>
      <c r="E32" s="17" t="n">
        <v>0.5</v>
      </c>
      <c r="F32" s="17" t="n">
        <v>0.5</v>
      </c>
      <c r="G32" s="17" t="n">
        <v>0.5</v>
      </c>
      <c r="I32" s="7" t="s">
        <v>131</v>
      </c>
    </row>
    <row r="33" customFormat="false" ht="15" hidden="false" customHeight="false" outlineLevel="1" collapsed="false">
      <c r="A33" s="3" t="s">
        <v>132</v>
      </c>
      <c r="B33" s="7" t="s">
        <v>92</v>
      </c>
      <c r="C33" s="18" t="n">
        <v>0.3</v>
      </c>
      <c r="D33" s="18" t="n">
        <v>1</v>
      </c>
      <c r="E33" s="18" t="n">
        <v>1.8</v>
      </c>
      <c r="F33" s="18" t="n">
        <v>2.8</v>
      </c>
      <c r="G33" s="18" t="n">
        <v>3.8</v>
      </c>
      <c r="I33" s="11" t="s">
        <v>133</v>
      </c>
    </row>
    <row r="35" customFormat="false" ht="15" hidden="false" customHeight="false" outlineLevel="0" collapsed="false">
      <c r="A35" s="8" t="s">
        <v>134</v>
      </c>
      <c r="B35" s="9"/>
      <c r="C35" s="9"/>
      <c r="D35" s="9"/>
      <c r="E35" s="9"/>
      <c r="F35" s="9"/>
      <c r="G35" s="9"/>
      <c r="H35" s="9"/>
    </row>
    <row r="36" customFormat="false" ht="15" hidden="false" customHeight="false" outlineLevel="1" collapsed="false">
      <c r="A36" s="3" t="s">
        <v>135</v>
      </c>
      <c r="B36" s="7" t="s">
        <v>89</v>
      </c>
      <c r="C36" s="20" t="n">
        <v>0.59</v>
      </c>
      <c r="I36" s="7" t="s">
        <v>136</v>
      </c>
    </row>
    <row r="37" customFormat="false" ht="15" hidden="false" customHeight="false" outlineLevel="1" collapsed="false">
      <c r="A37" s="3" t="s">
        <v>137</v>
      </c>
      <c r="B37" s="7" t="s">
        <v>89</v>
      </c>
      <c r="C37" s="20" t="n">
        <v>0.65</v>
      </c>
      <c r="I37" s="11" t="s">
        <v>138</v>
      </c>
    </row>
    <row r="38" customFormat="false" ht="15" hidden="false" customHeight="false" outlineLevel="1" collapsed="false">
      <c r="A38" s="15" t="s">
        <v>111</v>
      </c>
      <c r="B38" s="15" t="s">
        <v>74</v>
      </c>
      <c r="C38" s="21" t="s">
        <v>75</v>
      </c>
      <c r="D38" s="21" t="s">
        <v>76</v>
      </c>
      <c r="E38" s="21" t="s">
        <v>77</v>
      </c>
      <c r="F38" s="21" t="s">
        <v>78</v>
      </c>
      <c r="G38" s="21" t="s">
        <v>79</v>
      </c>
      <c r="I38" s="15" t="s">
        <v>112</v>
      </c>
    </row>
    <row r="39" customFormat="false" ht="15" hidden="false" customHeight="false" outlineLevel="1" collapsed="false">
      <c r="A39" s="4" t="s">
        <v>139</v>
      </c>
      <c r="B39" s="7" t="s">
        <v>89</v>
      </c>
      <c r="C39" s="25" t="n">
        <f aca="false">輸入與假設!$C$36+(輸入與假設!$C$37-輸入與假設!$C$36)*0/4</f>
        <v>0.59</v>
      </c>
      <c r="D39" s="25" t="n">
        <f aca="false">輸入與假設!$C$36+(輸入與假設!$C$37-輸入與假設!$C$36)*1/4</f>
        <v>0.605</v>
      </c>
      <c r="E39" s="25" t="n">
        <f aca="false">輸入與假設!$C$36+(輸入與假設!$C$37-輸入與假設!$C$36)*2/4</f>
        <v>0.62</v>
      </c>
      <c r="F39" s="25" t="n">
        <f aca="false">輸入與假設!$C$36+(輸入與假設!$C$37-輸入與假設!$C$36)*3/4</f>
        <v>0.635</v>
      </c>
      <c r="G39" s="25" t="n">
        <f aca="false">輸入與假設!$C$36+(輸入與假設!$C$37-輸入與假設!$C$36)*4/4</f>
        <v>0.65</v>
      </c>
      <c r="I39" s="11" t="s">
        <v>140</v>
      </c>
    </row>
    <row r="40" customFormat="false" ht="15" hidden="false" customHeight="false" outlineLevel="1" collapsed="false">
      <c r="A40" s="3" t="s">
        <v>141</v>
      </c>
      <c r="B40" s="7" t="s">
        <v>92</v>
      </c>
      <c r="C40" s="26" t="n">
        <f aca="false">輸入與假設!C$33*運營_產能與收入!C35</f>
        <v>0.224783192677998</v>
      </c>
      <c r="D40" s="26" t="n">
        <f aca="false">輸入與假設!D$33*運營_產能與收入!D35</f>
        <v>0.755760692756674</v>
      </c>
      <c r="E40" s="26" t="n">
        <f aca="false">輸入與假設!E$33*運營_產能與收入!E35</f>
        <v>1.34795457559659</v>
      </c>
      <c r="F40" s="26" t="n">
        <f aca="false">輸入與假設!F$33*運營_產能與收入!F35</f>
        <v>2.11660002119496</v>
      </c>
      <c r="G40" s="26" t="n">
        <f aca="false">輸入與假設!G$33*運營_產能與收入!G35</f>
        <v>2.90837126816542</v>
      </c>
      <c r="I40" s="11" t="s">
        <v>142</v>
      </c>
    </row>
    <row r="41" customFormat="false" ht="15" hidden="false" customHeight="false" outlineLevel="1" collapsed="true">
      <c r="A41" s="12" t="s">
        <v>143</v>
      </c>
      <c r="B41" s="13"/>
      <c r="C41" s="13"/>
      <c r="D41" s="13"/>
      <c r="E41" s="13"/>
      <c r="F41" s="13"/>
      <c r="G41" s="13"/>
      <c r="H41" s="13"/>
    </row>
    <row r="42" customFormat="false" ht="15" hidden="true" customHeight="false" outlineLevel="2" collapsed="false">
      <c r="A42" s="3" t="s">
        <v>144</v>
      </c>
      <c r="B42" s="7"/>
      <c r="C42" s="16" t="n">
        <v>0</v>
      </c>
      <c r="I42" s="7" t="s">
        <v>145</v>
      </c>
    </row>
    <row r="43" customFormat="false" ht="15" hidden="true" customHeight="false" outlineLevel="2" collapsed="false">
      <c r="A43" s="3" t="s">
        <v>146</v>
      </c>
      <c r="B43" s="7" t="s">
        <v>147</v>
      </c>
      <c r="C43" s="16" t="n">
        <v>60</v>
      </c>
      <c r="D43" s="16" t="n">
        <v>62</v>
      </c>
      <c r="E43" s="16" t="n">
        <v>64</v>
      </c>
      <c r="F43" s="16" t="n">
        <v>66</v>
      </c>
      <c r="G43" s="16" t="n">
        <v>68</v>
      </c>
      <c r="I43" s="7" t="s">
        <v>148</v>
      </c>
    </row>
    <row r="44" customFormat="false" ht="15" hidden="true" customHeight="false" outlineLevel="2" collapsed="false">
      <c r="A44" s="4" t="s">
        <v>149</v>
      </c>
      <c r="B44" s="7"/>
      <c r="C44" s="27" t="n">
        <v>1.25</v>
      </c>
      <c r="D44" s="27" t="n">
        <v>1.24</v>
      </c>
      <c r="E44" s="27" t="n">
        <v>1.22</v>
      </c>
      <c r="F44" s="27" t="n">
        <v>1.2</v>
      </c>
      <c r="G44" s="27" t="n">
        <v>1.2</v>
      </c>
      <c r="I44" s="7" t="s">
        <v>148</v>
      </c>
    </row>
    <row r="45" customFormat="false" ht="15" hidden="true" customHeight="false" outlineLevel="2" collapsed="false">
      <c r="A45" s="3" t="s">
        <v>150</v>
      </c>
      <c r="B45" s="7" t="s">
        <v>151</v>
      </c>
      <c r="C45" s="27" t="n">
        <v>0.15</v>
      </c>
      <c r="D45" s="27" t="n">
        <v>0.15</v>
      </c>
      <c r="E45" s="27" t="n">
        <v>0.16</v>
      </c>
      <c r="F45" s="27" t="n">
        <v>0.16</v>
      </c>
      <c r="G45" s="27" t="n">
        <v>0.17</v>
      </c>
      <c r="I45" s="7" t="s">
        <v>148</v>
      </c>
    </row>
    <row r="47" customFormat="false" ht="15" hidden="false" customHeight="false" outlineLevel="0" collapsed="false">
      <c r="A47" s="8" t="s">
        <v>152</v>
      </c>
      <c r="B47" s="9"/>
      <c r="C47" s="9"/>
      <c r="D47" s="9"/>
      <c r="E47" s="9"/>
      <c r="F47" s="9"/>
      <c r="G47" s="9"/>
      <c r="H47" s="9"/>
    </row>
    <row r="48" customFormat="false" ht="15" hidden="false" customHeight="false" outlineLevel="1" collapsed="false">
      <c r="A48" s="3" t="s">
        <v>153</v>
      </c>
      <c r="B48" s="7" t="s">
        <v>89</v>
      </c>
      <c r="C48" s="17" t="n">
        <v>0.35</v>
      </c>
      <c r="I48" s="11" t="s">
        <v>154</v>
      </c>
    </row>
    <row r="49" customFormat="false" ht="15" hidden="false" customHeight="false" outlineLevel="1" collapsed="false">
      <c r="A49" s="4" t="s">
        <v>155</v>
      </c>
      <c r="B49" s="7" t="s">
        <v>82</v>
      </c>
      <c r="C49" s="23" t="n">
        <f aca="false">CHOOSE(輸入與假設!$C$5,I8,I9,I10)</f>
        <v>500</v>
      </c>
      <c r="I49" s="11" t="s">
        <v>156</v>
      </c>
    </row>
    <row r="50" customFormat="false" ht="15" hidden="false" customHeight="false" outlineLevel="1" collapsed="false">
      <c r="A50" s="4" t="s">
        <v>157</v>
      </c>
      <c r="B50" s="7" t="s">
        <v>92</v>
      </c>
      <c r="C50" s="18" t="n">
        <v>35</v>
      </c>
      <c r="I50" s="11" t="s">
        <v>158</v>
      </c>
    </row>
    <row r="51" customFormat="false" ht="15" hidden="false" customHeight="false" outlineLevel="1" collapsed="false">
      <c r="A51" s="4" t="s">
        <v>159</v>
      </c>
      <c r="B51" s="11" t="s">
        <v>160</v>
      </c>
      <c r="C51" s="16" t="n">
        <v>6</v>
      </c>
      <c r="I51" s="11" t="s">
        <v>161</v>
      </c>
    </row>
    <row r="52" customFormat="false" ht="15" hidden="false" customHeight="false" outlineLevel="1" collapsed="false">
      <c r="A52" s="4" t="s">
        <v>162</v>
      </c>
      <c r="B52" s="7" t="s">
        <v>82</v>
      </c>
      <c r="C52" s="16" t="n">
        <v>100</v>
      </c>
      <c r="I52" s="11" t="s">
        <v>163</v>
      </c>
    </row>
    <row r="53" customFormat="false" ht="15" hidden="false" customHeight="false" outlineLevel="1" collapsed="false">
      <c r="A53" s="4" t="s">
        <v>164</v>
      </c>
      <c r="B53" s="7" t="s">
        <v>82</v>
      </c>
      <c r="C53" s="16" t="n">
        <v>360</v>
      </c>
      <c r="I53" s="7" t="s">
        <v>165</v>
      </c>
    </row>
    <row r="54" customFormat="false" ht="15" hidden="false" customHeight="false" outlineLevel="1" collapsed="false">
      <c r="A54" s="4" t="s">
        <v>166</v>
      </c>
      <c r="B54" s="7" t="s">
        <v>92</v>
      </c>
      <c r="C54" s="18" t="n">
        <v>46.736</v>
      </c>
      <c r="I54" s="7" t="s">
        <v>167</v>
      </c>
    </row>
    <row r="55" customFormat="false" ht="15" hidden="false" customHeight="false" outlineLevel="1" collapsed="false">
      <c r="A55" s="3" t="s">
        <v>168</v>
      </c>
      <c r="B55" s="7" t="s">
        <v>89</v>
      </c>
      <c r="C55" s="17" t="n">
        <v>1</v>
      </c>
      <c r="I55" s="11" t="s">
        <v>169</v>
      </c>
    </row>
    <row r="56" customFormat="false" ht="15" hidden="false" customHeight="false" outlineLevel="1" collapsed="false">
      <c r="A56" s="15" t="s">
        <v>111</v>
      </c>
      <c r="B56" s="15" t="s">
        <v>74</v>
      </c>
      <c r="C56" s="21" t="s">
        <v>75</v>
      </c>
      <c r="D56" s="21" t="s">
        <v>76</v>
      </c>
      <c r="E56" s="21" t="s">
        <v>77</v>
      </c>
      <c r="F56" s="21" t="s">
        <v>78</v>
      </c>
      <c r="G56" s="21" t="s">
        <v>79</v>
      </c>
      <c r="I56" s="15" t="s">
        <v>112</v>
      </c>
    </row>
    <row r="57" customFormat="false" ht="15" hidden="false" customHeight="false" outlineLevel="1" collapsed="false">
      <c r="A57" s="3" t="s">
        <v>170</v>
      </c>
      <c r="B57" s="7" t="s">
        <v>151</v>
      </c>
      <c r="C57" s="28" t="n">
        <v>34</v>
      </c>
      <c r="D57" s="28" t="n">
        <v>34</v>
      </c>
      <c r="E57" s="28" t="n">
        <v>34</v>
      </c>
      <c r="F57" s="28" t="n">
        <v>34</v>
      </c>
      <c r="G57" s="28" t="n">
        <v>34</v>
      </c>
      <c r="I57" s="7" t="s">
        <v>171</v>
      </c>
    </row>
    <row r="58" customFormat="false" ht="15" hidden="false" customHeight="false" outlineLevel="1" collapsed="false">
      <c r="A58" s="3" t="s">
        <v>172</v>
      </c>
      <c r="B58" s="7" t="s">
        <v>89</v>
      </c>
      <c r="C58" s="17" t="n">
        <v>0.08</v>
      </c>
      <c r="D58" s="17" t="n">
        <v>0.08</v>
      </c>
      <c r="E58" s="17" t="n">
        <v>0.08</v>
      </c>
      <c r="F58" s="17" t="n">
        <v>0.08</v>
      </c>
      <c r="G58" s="17" t="n">
        <v>0.08</v>
      </c>
      <c r="I58" s="7" t="s">
        <v>173</v>
      </c>
    </row>
    <row r="59" customFormat="false" ht="15" hidden="false" customHeight="false" outlineLevel="1" collapsed="false">
      <c r="A59" s="3" t="s">
        <v>174</v>
      </c>
      <c r="B59" s="7" t="s">
        <v>92</v>
      </c>
      <c r="C59" s="18" t="n">
        <v>1.04</v>
      </c>
      <c r="D59" s="18" t="n">
        <v>2.339</v>
      </c>
      <c r="E59" s="18" t="n">
        <v>2.306</v>
      </c>
      <c r="F59" s="18" t="n">
        <v>2.373</v>
      </c>
      <c r="G59" s="18" t="n">
        <v>2.289</v>
      </c>
      <c r="I59" s="11" t="s">
        <v>175</v>
      </c>
    </row>
    <row r="60" customFormat="false" ht="15" hidden="false" customHeight="false" outlineLevel="1" collapsed="false">
      <c r="A60" s="3" t="s">
        <v>176</v>
      </c>
      <c r="B60" s="7" t="s">
        <v>92</v>
      </c>
      <c r="C60" s="26" t="n">
        <f aca="false">C12*MAX(0,C26-1500)/(C10-1500)</f>
        <v>0.3</v>
      </c>
      <c r="D60" s="26" t="n">
        <f aca="false">D12*MAX(0,D26-1500)/(D10-1500)</f>
        <v>1.6</v>
      </c>
      <c r="E60" s="26" t="n">
        <f aca="false">E12*MAX(0,E26-1500)/(E10-1500)</f>
        <v>2.41935483870968</v>
      </c>
      <c r="F60" s="26" t="n">
        <f aca="false">F12*MAX(0,F26-1500)/(F10-1500)</f>
        <v>2.75</v>
      </c>
      <c r="G60" s="26" t="n">
        <f aca="false">G12*MAX(0,G26-1500)/(G10-1500)</f>
        <v>2.90153846153846</v>
      </c>
      <c r="I60" s="11" t="s">
        <v>177</v>
      </c>
    </row>
    <row r="61" customFormat="false" ht="15" hidden="false" customHeight="false" outlineLevel="1" collapsed="false">
      <c r="A61" s="4" t="s">
        <v>178</v>
      </c>
      <c r="B61" s="7" t="s">
        <v>92</v>
      </c>
      <c r="C61" s="18" t="n">
        <v>1.15</v>
      </c>
      <c r="D61" s="18" t="n">
        <v>0</v>
      </c>
      <c r="E61" s="18" t="n">
        <v>0</v>
      </c>
      <c r="F61" s="18" t="n">
        <v>0</v>
      </c>
      <c r="G61" s="18" t="n">
        <v>0</v>
      </c>
      <c r="I61" s="7" t="s">
        <v>179</v>
      </c>
    </row>
    <row r="62" customFormat="false" ht="15" hidden="false" customHeight="false" outlineLevel="1" collapsed="false">
      <c r="A62" s="4" t="s">
        <v>180</v>
      </c>
      <c r="B62" s="7" t="s">
        <v>92</v>
      </c>
      <c r="C62" s="18" t="n">
        <v>0.1</v>
      </c>
      <c r="D62" s="18" t="n">
        <v>0.4</v>
      </c>
      <c r="E62" s="18" t="n">
        <v>0.3</v>
      </c>
      <c r="F62" s="18" t="n">
        <v>0.2</v>
      </c>
      <c r="G62" s="18" t="n">
        <v>0.2</v>
      </c>
      <c r="I62" s="11" t="s">
        <v>181</v>
      </c>
    </row>
    <row r="63" customFormat="false" ht="15" hidden="false" customHeight="false" outlineLevel="1" collapsed="false">
      <c r="A63" s="4" t="s">
        <v>182</v>
      </c>
      <c r="B63" s="7" t="s">
        <v>92</v>
      </c>
      <c r="C63" s="26" t="n">
        <f aca="false">C61+C62</f>
        <v>1.25</v>
      </c>
      <c r="D63" s="26" t="n">
        <f aca="false">D61+D62</f>
        <v>0.4</v>
      </c>
      <c r="E63" s="26" t="n">
        <f aca="false">E61+E62</f>
        <v>0.3</v>
      </c>
      <c r="F63" s="26" t="n">
        <f aca="false">F61+F62</f>
        <v>0.2</v>
      </c>
      <c r="G63" s="26" t="n">
        <f aca="false">G61+G62</f>
        <v>0.2</v>
      </c>
      <c r="I63" s="11" t="s">
        <v>183</v>
      </c>
    </row>
    <row r="64" customFormat="false" ht="15" hidden="false" customHeight="false" outlineLevel="1" collapsed="true">
      <c r="A64" s="29" t="s">
        <v>184</v>
      </c>
      <c r="B64" s="13"/>
      <c r="C64" s="13"/>
      <c r="D64" s="13"/>
      <c r="E64" s="13"/>
      <c r="F64" s="13"/>
      <c r="G64" s="13"/>
      <c r="H64" s="13"/>
    </row>
    <row r="65" customFormat="false" ht="15" hidden="true" customHeight="false" outlineLevel="2" collapsed="false">
      <c r="A65" s="3" t="s">
        <v>185</v>
      </c>
      <c r="B65" s="7" t="s">
        <v>82</v>
      </c>
      <c r="C65" s="23" t="n">
        <f aca="false">輸入與假設!$C$19</f>
        <v>850</v>
      </c>
      <c r="D65" s="23" t="n">
        <f aca="false">C26</f>
        <v>1850</v>
      </c>
      <c r="E65" s="23" t="n">
        <f aca="false">D26</f>
        <v>3100</v>
      </c>
      <c r="F65" s="23" t="n">
        <f aca="false">E26</f>
        <v>4000</v>
      </c>
      <c r="G65" s="23" t="n">
        <f aca="false">F26</f>
        <v>4800</v>
      </c>
      <c r="I65" s="7" t="s">
        <v>186</v>
      </c>
    </row>
    <row r="66" customFormat="false" ht="15" hidden="true" customHeight="false" outlineLevel="2" collapsed="false">
      <c r="A66" s="3" t="s">
        <v>187</v>
      </c>
      <c r="B66" s="7" t="s">
        <v>82</v>
      </c>
      <c r="C66" s="23" t="n">
        <f aca="false">C26-C65</f>
        <v>1000</v>
      </c>
      <c r="D66" s="23" t="n">
        <f aca="false">D26-D65</f>
        <v>1250</v>
      </c>
      <c r="E66" s="23" t="n">
        <f aca="false">E26-E65</f>
        <v>900</v>
      </c>
      <c r="F66" s="23" t="n">
        <f aca="false">F26-F65</f>
        <v>800</v>
      </c>
      <c r="G66" s="23" t="n">
        <f aca="false">G26-G65</f>
        <v>800</v>
      </c>
    </row>
    <row r="67" customFormat="false" ht="15" hidden="true" customHeight="false" outlineLevel="2" collapsed="false">
      <c r="A67" s="3" t="s">
        <v>188</v>
      </c>
      <c r="B67" s="7" t="s">
        <v>82</v>
      </c>
      <c r="C67" s="23" t="n">
        <f aca="false">D26-C26</f>
        <v>1250</v>
      </c>
      <c r="D67" s="23" t="n">
        <f aca="false">E26-D26</f>
        <v>900</v>
      </c>
      <c r="E67" s="23" t="n">
        <f aca="false">F26-E26</f>
        <v>800</v>
      </c>
      <c r="F67" s="23" t="n">
        <f aca="false">G26-F26</f>
        <v>800</v>
      </c>
      <c r="G67" s="23" t="n">
        <f aca="false">輸入與假設!$C$49</f>
        <v>500</v>
      </c>
    </row>
    <row r="68" customFormat="false" ht="15" hidden="true" customHeight="false" outlineLevel="2" collapsed="false">
      <c r="A68" s="3" t="s">
        <v>189</v>
      </c>
      <c r="B68" s="7" t="s">
        <v>92</v>
      </c>
      <c r="C68" s="26" t="n">
        <f aca="false">(C66*(1-輸入與假設!$C$48)+C67*輸入與假設!$C$48)*C57*輸入與假設!$C$55/1000</f>
        <v>36.975</v>
      </c>
      <c r="D68" s="26" t="n">
        <f aca="false">(D66*(1-輸入與假設!$C$48)+D67*輸入與假設!$C$48)*D57*輸入與假設!$C$55/1000</f>
        <v>38.335</v>
      </c>
      <c r="E68" s="26" t="n">
        <f aca="false">(E66*(1-輸入與假設!$C$48)+E67*輸入與假設!$C$48)*E57*輸入與假設!$C$55/1000</f>
        <v>29.41</v>
      </c>
      <c r="F68" s="26" t="n">
        <f aca="false">(F66*(1-輸入與假設!$C$48)+F67*輸入與假設!$C$48)*F57*輸入與假設!$C$55/1000</f>
        <v>27.2</v>
      </c>
      <c r="G68" s="26" t="n">
        <f aca="false">(G66*(1-輸入與假設!$C$48)+G67*輸入與假設!$C$48)*G57*輸入與假設!$C$55/1000</f>
        <v>23.63</v>
      </c>
      <c r="I68" s="11" t="s">
        <v>190</v>
      </c>
    </row>
    <row r="69" customFormat="false" ht="15" hidden="true" customHeight="false" outlineLevel="2" collapsed="false">
      <c r="A69" s="3" t="s">
        <v>191</v>
      </c>
      <c r="B69" s="7" t="s">
        <v>92</v>
      </c>
      <c r="C69" s="26" t="n">
        <f aca="false">MAX(C68,輸入與假設!$C$50)-輸入與假設!$C$124</f>
        <v>20.836</v>
      </c>
      <c r="D69" s="26" t="n">
        <f aca="false">D68</f>
        <v>38.335</v>
      </c>
      <c r="E69" s="26" t="n">
        <f aca="false">E68</f>
        <v>29.41</v>
      </c>
      <c r="F69" s="26" t="n">
        <f aca="false">F68</f>
        <v>27.2</v>
      </c>
      <c r="G69" s="26" t="n">
        <f aca="false">G68</f>
        <v>23.63</v>
      </c>
      <c r="I69" s="7" t="s">
        <v>192</v>
      </c>
    </row>
    <row r="70" customFormat="false" ht="15" hidden="true" customHeight="false" outlineLevel="2" collapsed="false">
      <c r="A70" s="4" t="s">
        <v>193</v>
      </c>
      <c r="B70" s="7" t="s">
        <v>92</v>
      </c>
      <c r="C70" s="26" t="n">
        <f aca="false">IF(2026-輸入與假設!$C$51=2023,輸入與假設!$C$52,IF(2026-輸入與假設!$C$51=2024,輸入與假設!$C$53-輸入與假設!$C$52,IF(2026-輸入與假設!$C$51=2025,輸入與假設!$C$19-輸入與假設!$C$53,0)))*C57*輸入與假設!$C$55/1000</f>
        <v>0</v>
      </c>
      <c r="D70" s="26" t="n">
        <f aca="false">IF(2027-輸入與假設!$C$51=2023,輸入與假設!$C$52,IF(2027-輸入與假設!$C$51=2024,輸入與假設!$C$53-輸入與假設!$C$52,IF(2027-輸入與假設!$C$51=2025,輸入與假設!$C$19-輸入與假設!$C$53,0)))*D57*輸入與假設!$C$55/1000</f>
        <v>0</v>
      </c>
      <c r="E70" s="26" t="n">
        <f aca="false">IF(2028-輸入與假設!$C$51=2023,輸入與假設!$C$52,IF(2028-輸入與假設!$C$51=2024,輸入與假設!$C$53-輸入與假設!$C$52,IF(2028-輸入與假設!$C$51=2025,輸入與假設!$C$19-輸入與假設!$C$53,0)))*E57*輸入與假設!$C$55/1000</f>
        <v>0</v>
      </c>
      <c r="F70" s="26" t="n">
        <f aca="false">IF(2029-輸入與假設!$C$51=2023,輸入與假設!$C$52,IF(2029-輸入與假設!$C$51=2024,輸入與假設!$C$53-輸入與假設!$C$52,IF(2029-輸入與假設!$C$51=2025,輸入與假設!$C$19-輸入與假設!$C$53,0)))*F57*輸入與假設!$C$55/1000</f>
        <v>3.4</v>
      </c>
      <c r="G70" s="26" t="n">
        <f aca="false">IF(2030-輸入與假設!$C$51=2023,輸入與假設!$C$52,IF(2030-輸入與假設!$C$51=2024,輸入與假設!$C$53-輸入與假設!$C$52,IF(2030-輸入與假設!$C$51=2025,輸入與假設!$C$19-輸入與假設!$C$53,0)))*G57*輸入與假設!$C$55/1000</f>
        <v>8.84</v>
      </c>
      <c r="I70" s="11" t="s">
        <v>194</v>
      </c>
    </row>
    <row r="71" customFormat="false" ht="15" hidden="true" customHeight="false" outlineLevel="2" collapsed="false">
      <c r="A71" s="3" t="s">
        <v>195</v>
      </c>
      <c r="B71" s="7" t="s">
        <v>92</v>
      </c>
      <c r="C71" s="26" t="n">
        <f aca="false">輸入與假設!$C$54</f>
        <v>46.736</v>
      </c>
      <c r="D71" s="26" t="n">
        <f aca="false">C71+C69</f>
        <v>67.572</v>
      </c>
      <c r="E71" s="26" t="n">
        <f aca="false">D71+D69</f>
        <v>105.907</v>
      </c>
      <c r="F71" s="26" t="n">
        <f aca="false">E71+E69</f>
        <v>135.317</v>
      </c>
      <c r="G71" s="26" t="n">
        <f aca="false">F71+F69</f>
        <v>162.517</v>
      </c>
      <c r="I71" s="11" t="s">
        <v>196</v>
      </c>
    </row>
    <row r="72" customFormat="false" ht="15" hidden="false" customHeight="false" outlineLevel="1" collapsed="false">
      <c r="A72" s="29" t="s">
        <v>197</v>
      </c>
      <c r="B72" s="13"/>
      <c r="C72" s="13"/>
      <c r="D72" s="13"/>
      <c r="E72" s="13"/>
      <c r="F72" s="13"/>
      <c r="G72" s="13"/>
      <c r="H72" s="13"/>
    </row>
    <row r="73" customFormat="false" ht="15" hidden="false" customHeight="false" outlineLevel="2" collapsed="false">
      <c r="A73" s="3" t="s">
        <v>198</v>
      </c>
      <c r="B73" s="7" t="s">
        <v>92</v>
      </c>
      <c r="C73" s="30" t="n">
        <f aca="false">C69+C70</f>
        <v>20.836</v>
      </c>
      <c r="D73" s="30" t="n">
        <f aca="false">D69+D70</f>
        <v>38.335</v>
      </c>
      <c r="E73" s="30" t="n">
        <f aca="false">E69+E70</f>
        <v>29.41</v>
      </c>
      <c r="F73" s="30" t="n">
        <f aca="false">F69+F70</f>
        <v>30.6</v>
      </c>
      <c r="G73" s="30" t="n">
        <f aca="false">G69+G70</f>
        <v>32.47</v>
      </c>
      <c r="I73" s="11" t="s">
        <v>199</v>
      </c>
    </row>
    <row r="74" customFormat="false" ht="15" hidden="false" customHeight="false" outlineLevel="2" collapsed="false">
      <c r="A74" s="4" t="s">
        <v>200</v>
      </c>
      <c r="B74" s="7" t="s">
        <v>92</v>
      </c>
      <c r="C74" s="30" t="n">
        <f aca="false">(C71+0.5*C69)/輸入與假設!$C$51*C24</f>
        <v>4.76283333333333</v>
      </c>
      <c r="D74" s="30" t="n">
        <f aca="false">(D71+0.5*D69)/輸入與假設!$C$51*D24</f>
        <v>14.4565833333333</v>
      </c>
      <c r="E74" s="30" t="n">
        <f aca="false">(E71+0.5*E69)/輸入與假設!$C$51*E24</f>
        <v>20.102</v>
      </c>
      <c r="F74" s="30" t="n">
        <f aca="false">(F71+0.5*F69)/輸入與假設!$C$51*F24</f>
        <v>24.8195</v>
      </c>
      <c r="G74" s="30" t="n">
        <f aca="false">(G71+0.5*G69)/輸入與假設!$C$51*G24</f>
        <v>29.0553333333333</v>
      </c>
      <c r="I74" s="11" t="s">
        <v>201</v>
      </c>
    </row>
    <row r="76" customFormat="false" ht="15" hidden="false" customHeight="false" outlineLevel="0" collapsed="false">
      <c r="A76" s="8" t="s">
        <v>202</v>
      </c>
      <c r="B76" s="9"/>
      <c r="C76" s="9"/>
      <c r="D76" s="9"/>
      <c r="E76" s="9"/>
      <c r="F76" s="9"/>
      <c r="G76" s="9"/>
      <c r="H76" s="9"/>
    </row>
    <row r="77" customFormat="false" ht="15" hidden="false" customHeight="false" outlineLevel="1" collapsed="false">
      <c r="A77" s="3" t="s">
        <v>203</v>
      </c>
      <c r="B77" s="7" t="s">
        <v>92</v>
      </c>
      <c r="C77" s="18" t="n">
        <v>5.5</v>
      </c>
      <c r="I77" s="7" t="s">
        <v>204</v>
      </c>
    </row>
    <row r="78" customFormat="false" ht="15" hidden="false" customHeight="false" outlineLevel="1" collapsed="false">
      <c r="A78" s="3" t="s">
        <v>205</v>
      </c>
      <c r="B78" s="7" t="s">
        <v>92</v>
      </c>
      <c r="C78" s="18" t="n">
        <v>6.2</v>
      </c>
      <c r="I78" s="7" t="s">
        <v>206</v>
      </c>
    </row>
    <row r="79" customFormat="false" ht="15" hidden="false" customHeight="false" outlineLevel="1" collapsed="false">
      <c r="A79" s="3" t="s">
        <v>207</v>
      </c>
      <c r="B79" s="7"/>
      <c r="C79" s="16" t="n">
        <v>1</v>
      </c>
      <c r="I79" s="11" t="s">
        <v>208</v>
      </c>
    </row>
    <row r="80" customFormat="false" ht="15" hidden="false" customHeight="false" outlineLevel="1" collapsed="false">
      <c r="A80" s="3" t="s">
        <v>209</v>
      </c>
      <c r="B80" s="7" t="s">
        <v>92</v>
      </c>
      <c r="C80" s="18" t="n">
        <v>10</v>
      </c>
      <c r="I80" s="7" t="s">
        <v>210</v>
      </c>
    </row>
    <row r="81" customFormat="false" ht="15" hidden="false" customHeight="false" outlineLevel="1" collapsed="false">
      <c r="A81" s="3" t="s">
        <v>211</v>
      </c>
      <c r="B81" s="7"/>
      <c r="C81" s="16" t="n">
        <v>1</v>
      </c>
      <c r="I81" s="11" t="s">
        <v>212</v>
      </c>
    </row>
    <row r="82" customFormat="false" ht="15" hidden="false" customHeight="false" outlineLevel="1" collapsed="false">
      <c r="A82" s="3" t="s">
        <v>213</v>
      </c>
      <c r="B82" s="7"/>
      <c r="C82" s="16" t="n">
        <v>1</v>
      </c>
      <c r="I82" s="7" t="s">
        <v>214</v>
      </c>
    </row>
    <row r="83" customFormat="false" ht="15" hidden="false" customHeight="false" outlineLevel="1" collapsed="false">
      <c r="A83" s="3" t="s">
        <v>215</v>
      </c>
      <c r="B83" s="7" t="s">
        <v>216</v>
      </c>
      <c r="C83" s="31" t="n">
        <v>1</v>
      </c>
      <c r="I83" s="11" t="s">
        <v>217</v>
      </c>
    </row>
    <row r="84" customFormat="false" ht="15" hidden="false" customHeight="false" outlineLevel="1" collapsed="false">
      <c r="A84" s="3" t="s">
        <v>218</v>
      </c>
      <c r="B84" s="11" t="s">
        <v>160</v>
      </c>
      <c r="C84" s="16" t="n">
        <v>5</v>
      </c>
      <c r="I84" s="7" t="s">
        <v>219</v>
      </c>
    </row>
    <row r="85" customFormat="false" ht="15" hidden="false" customHeight="false" outlineLevel="1" collapsed="false">
      <c r="A85" s="3" t="s">
        <v>220</v>
      </c>
      <c r="B85" s="7" t="s">
        <v>92</v>
      </c>
      <c r="C85" s="18" t="n">
        <v>2</v>
      </c>
      <c r="I85" s="11" t="s">
        <v>221</v>
      </c>
    </row>
    <row r="86" customFormat="false" ht="15" hidden="false" customHeight="false" outlineLevel="1" collapsed="false">
      <c r="A86" s="3" t="s">
        <v>222</v>
      </c>
      <c r="B86" s="7" t="s">
        <v>223</v>
      </c>
      <c r="C86" s="32" t="n">
        <v>85.43</v>
      </c>
      <c r="I86" s="11" t="s">
        <v>224</v>
      </c>
    </row>
    <row r="87" customFormat="false" ht="15" hidden="false" customHeight="false" outlineLevel="1" collapsed="false">
      <c r="A87" s="3" t="s">
        <v>225</v>
      </c>
      <c r="B87" s="7" t="s">
        <v>89</v>
      </c>
      <c r="C87" s="17" t="n">
        <v>0.1</v>
      </c>
      <c r="I87" s="11" t="s">
        <v>226</v>
      </c>
    </row>
    <row r="88" customFormat="false" ht="15" hidden="false" customHeight="false" outlineLevel="1" collapsed="false">
      <c r="A88" s="3" t="s">
        <v>227</v>
      </c>
      <c r="B88" s="7" t="s">
        <v>89</v>
      </c>
      <c r="C88" s="17" t="n">
        <v>0.2</v>
      </c>
      <c r="I88" s="7" t="s">
        <v>228</v>
      </c>
    </row>
    <row r="89" customFormat="false" ht="15" hidden="false" customHeight="false" outlineLevel="1" collapsed="false">
      <c r="A89" s="3" t="s">
        <v>229</v>
      </c>
      <c r="B89" s="7" t="s">
        <v>89</v>
      </c>
      <c r="C89" s="17" t="n">
        <v>0.12</v>
      </c>
      <c r="I89" s="11" t="s">
        <v>230</v>
      </c>
    </row>
    <row r="90" customFormat="false" ht="15" hidden="false" customHeight="false" outlineLevel="1" collapsed="false">
      <c r="A90" s="4" t="s">
        <v>231</v>
      </c>
      <c r="B90" s="7" t="s">
        <v>232</v>
      </c>
      <c r="C90" s="16" t="n">
        <v>720</v>
      </c>
      <c r="I90" s="7" t="s">
        <v>233</v>
      </c>
    </row>
    <row r="91" customFormat="false" ht="15" hidden="false" customHeight="false" outlineLevel="1" collapsed="false">
      <c r="A91" s="4" t="s">
        <v>234</v>
      </c>
      <c r="B91" s="7"/>
      <c r="C91" s="16" t="n">
        <v>0</v>
      </c>
      <c r="I91" s="11" t="s">
        <v>235</v>
      </c>
    </row>
    <row r="92" customFormat="false" ht="15" hidden="false" customHeight="false" outlineLevel="1" collapsed="false">
      <c r="A92" s="15" t="s">
        <v>111</v>
      </c>
      <c r="B92" s="15" t="s">
        <v>74</v>
      </c>
      <c r="C92" s="21" t="s">
        <v>75</v>
      </c>
      <c r="D92" s="21" t="s">
        <v>76</v>
      </c>
      <c r="E92" s="21" t="s">
        <v>77</v>
      </c>
      <c r="F92" s="21" t="s">
        <v>78</v>
      </c>
      <c r="G92" s="21" t="s">
        <v>79</v>
      </c>
      <c r="I92" s="15" t="s">
        <v>112</v>
      </c>
    </row>
    <row r="93" customFormat="false" ht="15" hidden="false" customHeight="false" outlineLevel="1" collapsed="false">
      <c r="A93" s="3" t="s">
        <v>236</v>
      </c>
      <c r="B93" s="7" t="s">
        <v>92</v>
      </c>
      <c r="C93" s="18" t="n">
        <v>4.413</v>
      </c>
      <c r="D93" s="18" t="n">
        <v>6.184</v>
      </c>
      <c r="E93" s="18" t="n">
        <v>4.416</v>
      </c>
      <c r="F93" s="18" t="n">
        <v>2.421</v>
      </c>
      <c r="G93" s="18" t="n">
        <v>3.221</v>
      </c>
      <c r="I93" s="11" t="s">
        <v>237</v>
      </c>
    </row>
    <row r="94" customFormat="false" ht="15" hidden="false" customHeight="false" outlineLevel="1" collapsed="false">
      <c r="A94" s="3" t="s">
        <v>238</v>
      </c>
      <c r="B94" s="7" t="s">
        <v>89</v>
      </c>
      <c r="C94" s="17" t="n">
        <v>0.09</v>
      </c>
      <c r="D94" s="17" t="n">
        <v>0.09</v>
      </c>
      <c r="E94" s="17" t="n">
        <v>0.09</v>
      </c>
      <c r="F94" s="17" t="n">
        <v>0.09</v>
      </c>
      <c r="G94" s="17" t="n">
        <v>0.09</v>
      </c>
      <c r="I94" s="11" t="s">
        <v>239</v>
      </c>
    </row>
    <row r="95" customFormat="false" ht="15" hidden="false" customHeight="false" outlineLevel="1" collapsed="false">
      <c r="A95" s="3" t="s">
        <v>240</v>
      </c>
      <c r="B95" s="7" t="s">
        <v>92</v>
      </c>
      <c r="C95" s="33" t="n">
        <f aca="false">資產負債_既有債務!C35</f>
        <v>1.80589628695395</v>
      </c>
      <c r="D95" s="33" t="n">
        <f aca="false">資產負債_既有債務!D35</f>
        <v>2.46600676169447</v>
      </c>
      <c r="E95" s="33" t="n">
        <f aca="false">資產負債_既有債務!E35</f>
        <v>2.02009474796771</v>
      </c>
      <c r="F95" s="33" t="n">
        <f aca="false">資產負債_既有債務!F35</f>
        <v>1.73248149911395</v>
      </c>
      <c r="G95" s="33" t="n">
        <f aca="false">資產負債_既有債務!G35</f>
        <v>1.49513851973222</v>
      </c>
      <c r="I95" s="11" t="s">
        <v>241</v>
      </c>
    </row>
    <row r="97" customFormat="false" ht="15" hidden="false" customHeight="false" outlineLevel="0" collapsed="false">
      <c r="A97" s="8" t="s">
        <v>242</v>
      </c>
      <c r="B97" s="9"/>
      <c r="C97" s="9"/>
      <c r="D97" s="9"/>
      <c r="E97" s="9"/>
      <c r="F97" s="9"/>
      <c r="G97" s="9"/>
      <c r="H97" s="9"/>
    </row>
    <row r="98" customFormat="false" ht="15" hidden="false" customHeight="false" outlineLevel="1" collapsed="false">
      <c r="A98" s="3" t="s">
        <v>243</v>
      </c>
      <c r="B98" s="7" t="s">
        <v>223</v>
      </c>
      <c r="C98" s="32" t="n">
        <v>85.43</v>
      </c>
      <c r="I98" s="7" t="s">
        <v>244</v>
      </c>
    </row>
    <row r="99" customFormat="false" ht="15" hidden="false" customHeight="false" outlineLevel="1" collapsed="false">
      <c r="A99" s="3" t="s">
        <v>245</v>
      </c>
      <c r="B99" s="7" t="s">
        <v>246</v>
      </c>
      <c r="C99" s="34" t="n">
        <v>0.587</v>
      </c>
      <c r="I99" s="7" t="s">
        <v>247</v>
      </c>
    </row>
    <row r="100" customFormat="false" ht="15" hidden="false" customHeight="false" outlineLevel="1" collapsed="false">
      <c r="A100" s="3" t="s">
        <v>248</v>
      </c>
      <c r="B100" s="7" t="s">
        <v>92</v>
      </c>
      <c r="C100" s="18" t="n">
        <v>30</v>
      </c>
      <c r="I100" s="11" t="s">
        <v>249</v>
      </c>
    </row>
    <row r="101" customFormat="false" ht="15" hidden="false" customHeight="false" outlineLevel="1" collapsed="false">
      <c r="A101" s="4" t="s">
        <v>250</v>
      </c>
      <c r="B101" s="7" t="s">
        <v>89</v>
      </c>
      <c r="C101" s="17" t="n">
        <v>0.11</v>
      </c>
      <c r="I101" s="7" t="s">
        <v>131</v>
      </c>
    </row>
    <row r="102" customFormat="false" ht="15" hidden="false" customHeight="false" outlineLevel="1" collapsed="false">
      <c r="A102" s="3" t="s">
        <v>251</v>
      </c>
      <c r="B102" s="7" t="s">
        <v>89</v>
      </c>
      <c r="C102" s="17" t="n">
        <v>0.03</v>
      </c>
      <c r="I102" s="7" t="s">
        <v>131</v>
      </c>
    </row>
    <row r="103" customFormat="false" ht="15" hidden="false" customHeight="false" outlineLevel="1" collapsed="false">
      <c r="A103" s="3" t="s">
        <v>252</v>
      </c>
      <c r="B103" s="7" t="s">
        <v>89</v>
      </c>
      <c r="C103" s="17" t="n">
        <v>0.8</v>
      </c>
      <c r="I103" s="11" t="s">
        <v>253</v>
      </c>
    </row>
    <row r="104" customFormat="false" ht="15" hidden="false" customHeight="false" outlineLevel="1" collapsed="false">
      <c r="A104" s="3" t="s">
        <v>254</v>
      </c>
      <c r="B104" s="7" t="s">
        <v>89</v>
      </c>
      <c r="C104" s="17" t="n">
        <v>0.21</v>
      </c>
      <c r="I104" s="11" t="s">
        <v>255</v>
      </c>
    </row>
    <row r="105" customFormat="false" ht="15" hidden="false" customHeight="false" outlineLevel="1" collapsed="false">
      <c r="A105" s="3" t="s">
        <v>256</v>
      </c>
      <c r="B105" s="7" t="s">
        <v>92</v>
      </c>
      <c r="C105" s="18" t="n">
        <v>4</v>
      </c>
      <c r="I105" s="7" t="s">
        <v>257</v>
      </c>
    </row>
    <row r="106" customFormat="false" ht="15" hidden="false" customHeight="false" outlineLevel="1" collapsed="false">
      <c r="A106" s="4" t="s">
        <v>258</v>
      </c>
      <c r="B106" s="7" t="s">
        <v>216</v>
      </c>
      <c r="C106" s="35" t="n">
        <v>6</v>
      </c>
      <c r="I106" s="11" t="s">
        <v>259</v>
      </c>
    </row>
    <row r="107" customFormat="false" ht="15" hidden="false" customHeight="false" outlineLevel="1" collapsed="false">
      <c r="A107" s="4" t="s">
        <v>260</v>
      </c>
      <c r="B107" s="7"/>
      <c r="C107" s="10" t="n">
        <v>3</v>
      </c>
      <c r="I107" s="7" t="s">
        <v>261</v>
      </c>
    </row>
    <row r="108" customFormat="false" ht="15" hidden="false" customHeight="false" outlineLevel="1" collapsed="false">
      <c r="A108" s="3" t="s">
        <v>262</v>
      </c>
      <c r="B108" s="7" t="s">
        <v>89</v>
      </c>
      <c r="C108" s="17" t="n">
        <v>0.45</v>
      </c>
      <c r="I108" s="7"/>
    </row>
    <row r="109" customFormat="false" ht="15" hidden="false" customHeight="false" outlineLevel="1" collapsed="false">
      <c r="A109" s="3" t="s">
        <v>263</v>
      </c>
      <c r="B109" s="7" t="s">
        <v>89</v>
      </c>
      <c r="C109" s="17" t="n">
        <v>0.55</v>
      </c>
      <c r="I109" s="7"/>
    </row>
    <row r="110" customFormat="false" ht="15" hidden="false" customHeight="false" outlineLevel="1" collapsed="false">
      <c r="A110" s="3" t="s">
        <v>264</v>
      </c>
      <c r="B110" s="7" t="s">
        <v>216</v>
      </c>
      <c r="C110" s="35" t="n">
        <v>5</v>
      </c>
      <c r="I110" s="7" t="s">
        <v>265</v>
      </c>
    </row>
    <row r="111" customFormat="false" ht="15" hidden="false" customHeight="false" outlineLevel="1" collapsed="false">
      <c r="A111" s="3" t="s">
        <v>266</v>
      </c>
      <c r="B111" s="7" t="s">
        <v>216</v>
      </c>
      <c r="C111" s="35" t="n">
        <v>6</v>
      </c>
      <c r="I111" s="7"/>
    </row>
    <row r="112" customFormat="false" ht="15" hidden="false" customHeight="false" outlineLevel="1" collapsed="false">
      <c r="A112" s="3" t="s">
        <v>267</v>
      </c>
      <c r="B112" s="7" t="s">
        <v>89</v>
      </c>
      <c r="C112" s="17" t="n">
        <v>0.01</v>
      </c>
      <c r="I112" s="7" t="s">
        <v>268</v>
      </c>
    </row>
    <row r="113" customFormat="false" ht="15" hidden="false" customHeight="false" outlineLevel="1" collapsed="false">
      <c r="A113" s="3" t="s">
        <v>269</v>
      </c>
      <c r="B113" s="7" t="s">
        <v>92</v>
      </c>
      <c r="C113" s="18" t="n">
        <v>0.7</v>
      </c>
      <c r="I113" s="7" t="s">
        <v>270</v>
      </c>
    </row>
    <row r="114" customFormat="false" ht="15" hidden="false" customHeight="false" outlineLevel="1" collapsed="false">
      <c r="A114" s="29" t="s">
        <v>271</v>
      </c>
      <c r="B114" s="13"/>
      <c r="C114" s="13"/>
      <c r="D114" s="13"/>
      <c r="E114" s="13"/>
      <c r="F114" s="13"/>
      <c r="G114" s="13"/>
      <c r="H114" s="13"/>
    </row>
    <row r="115" customFormat="false" ht="15" hidden="false" customHeight="false" outlineLevel="2" collapsed="false">
      <c r="A115" s="4" t="s">
        <v>272</v>
      </c>
      <c r="B115" s="7"/>
      <c r="C115" s="10" t="n">
        <v>1</v>
      </c>
      <c r="I115" s="7" t="s">
        <v>273</v>
      </c>
    </row>
    <row r="116" customFormat="false" ht="15" hidden="false" customHeight="false" outlineLevel="2" collapsed="false">
      <c r="A116" s="3" t="s">
        <v>274</v>
      </c>
      <c r="B116" s="7" t="s">
        <v>89</v>
      </c>
      <c r="C116" s="17" t="n">
        <v>0.5</v>
      </c>
      <c r="I116" s="11" t="s">
        <v>275</v>
      </c>
    </row>
    <row r="117" customFormat="false" ht="15" hidden="false" customHeight="false" outlineLevel="2" collapsed="false">
      <c r="A117" s="3" t="s">
        <v>276</v>
      </c>
      <c r="B117" s="7" t="s">
        <v>89</v>
      </c>
      <c r="C117" s="17" t="n">
        <v>0.04</v>
      </c>
      <c r="I117" s="11" t="s">
        <v>275</v>
      </c>
    </row>
    <row r="118" customFormat="false" ht="15" hidden="false" customHeight="false" outlineLevel="2" collapsed="false">
      <c r="A118" s="3" t="s">
        <v>277</v>
      </c>
      <c r="B118" s="11" t="s">
        <v>160</v>
      </c>
      <c r="C118" s="28" t="n">
        <v>4.5</v>
      </c>
      <c r="I118" s="11" t="s">
        <v>278</v>
      </c>
    </row>
    <row r="120" customFormat="false" ht="15" hidden="false" customHeight="false" outlineLevel="0" collapsed="true">
      <c r="A120" s="8" t="s">
        <v>279</v>
      </c>
      <c r="B120" s="9"/>
      <c r="C120" s="9"/>
      <c r="D120" s="9"/>
      <c r="E120" s="9"/>
      <c r="F120" s="9"/>
      <c r="G120" s="9"/>
      <c r="H120" s="9"/>
    </row>
    <row r="121" customFormat="false" ht="15" hidden="true" customHeight="false" outlineLevel="1" collapsed="false">
      <c r="A121" s="4" t="s">
        <v>280</v>
      </c>
      <c r="B121" s="7" t="s">
        <v>92</v>
      </c>
      <c r="C121" s="18" t="n">
        <v>3.127</v>
      </c>
      <c r="I121" s="7" t="s">
        <v>281</v>
      </c>
    </row>
    <row r="122" customFormat="false" ht="15" hidden="true" customHeight="false" outlineLevel="1" collapsed="false">
      <c r="A122" s="3" t="s">
        <v>282</v>
      </c>
      <c r="B122" s="7" t="s">
        <v>92</v>
      </c>
      <c r="C122" s="18" t="n">
        <v>3.663</v>
      </c>
      <c r="I122" s="11" t="s">
        <v>283</v>
      </c>
    </row>
    <row r="123" customFormat="false" ht="15" hidden="true" customHeight="false" outlineLevel="1" collapsed="false">
      <c r="A123" s="3" t="s">
        <v>284</v>
      </c>
      <c r="B123" s="7" t="s">
        <v>92</v>
      </c>
      <c r="C123" s="18" t="n">
        <v>14.117</v>
      </c>
      <c r="I123" s="11" t="s">
        <v>285</v>
      </c>
    </row>
    <row r="124" customFormat="false" ht="15" hidden="true" customHeight="false" outlineLevel="1" collapsed="false">
      <c r="A124" s="4" t="s">
        <v>286</v>
      </c>
      <c r="B124" s="7" t="s">
        <v>92</v>
      </c>
      <c r="C124" s="18" t="n">
        <v>16.139</v>
      </c>
      <c r="I124" s="7" t="s">
        <v>287</v>
      </c>
    </row>
    <row r="125" customFormat="false" ht="15" hidden="true" customHeight="false" outlineLevel="1" collapsed="false">
      <c r="A125" s="4" t="s">
        <v>288</v>
      </c>
      <c r="B125" s="7" t="s">
        <v>92</v>
      </c>
      <c r="C125" s="18" t="n">
        <v>0.688</v>
      </c>
      <c r="I125" s="7" t="s">
        <v>289</v>
      </c>
    </row>
    <row r="126" customFormat="false" ht="15" hidden="true" customHeight="false" outlineLevel="1" collapsed="false">
      <c r="A126" s="3" t="s">
        <v>290</v>
      </c>
      <c r="B126" s="7" t="s">
        <v>92</v>
      </c>
      <c r="C126" s="18" t="n">
        <v>16.747</v>
      </c>
      <c r="I126" s="11" t="s">
        <v>291</v>
      </c>
    </row>
    <row r="127" customFormat="false" ht="15" hidden="true" customHeight="false" outlineLevel="1" collapsed="false">
      <c r="A127" s="3" t="s">
        <v>292</v>
      </c>
      <c r="B127" s="7" t="s">
        <v>92</v>
      </c>
      <c r="C127" s="18" t="n">
        <v>5.219</v>
      </c>
      <c r="I127" s="11" t="s">
        <v>293</v>
      </c>
    </row>
    <row r="128" customFormat="false" ht="15" hidden="true" customHeight="false" outlineLevel="1" collapsed="false">
      <c r="A128" s="4" t="s">
        <v>294</v>
      </c>
      <c r="B128" s="7" t="s">
        <v>92</v>
      </c>
      <c r="C128" s="18" t="n">
        <v>0.492</v>
      </c>
      <c r="I128" s="7" t="s">
        <v>295</v>
      </c>
    </row>
    <row r="129" customFormat="false" ht="15" hidden="true" customHeight="false" outlineLevel="1" collapsed="false">
      <c r="A129" s="3" t="s">
        <v>296</v>
      </c>
      <c r="B129" s="7" t="s">
        <v>92</v>
      </c>
      <c r="C129" s="18" t="n">
        <v>2.982</v>
      </c>
      <c r="I129" s="7" t="s">
        <v>297</v>
      </c>
    </row>
    <row r="130" customFormat="false" ht="15" hidden="true" customHeight="false" outlineLevel="1" collapsed="false">
      <c r="A130" s="3" t="s">
        <v>298</v>
      </c>
      <c r="B130" s="7" t="s">
        <v>92</v>
      </c>
      <c r="C130" s="18" t="n">
        <v>1.176</v>
      </c>
      <c r="I130" s="11" t="s">
        <v>299</v>
      </c>
    </row>
    <row r="131" customFormat="false" ht="15" hidden="true" customHeight="false" outlineLevel="1" collapsed="false">
      <c r="A131" s="3" t="s">
        <v>300</v>
      </c>
      <c r="B131" s="7" t="s">
        <v>92</v>
      </c>
      <c r="C131" s="18" t="n">
        <v>0.748</v>
      </c>
      <c r="I131" s="11" t="s">
        <v>301</v>
      </c>
    </row>
    <row r="132" customFormat="false" ht="15" hidden="true" customHeight="false" outlineLevel="1" collapsed="false">
      <c r="A132" s="3" t="s">
        <v>302</v>
      </c>
      <c r="B132" s="7" t="s">
        <v>92</v>
      </c>
      <c r="C132" s="18" t="n">
        <v>4.653</v>
      </c>
      <c r="I132" s="7" t="s">
        <v>303</v>
      </c>
    </row>
    <row r="133" customFormat="false" ht="15" hidden="true" customHeight="false" outlineLevel="1" collapsed="false">
      <c r="A133" s="4" t="s">
        <v>304</v>
      </c>
      <c r="B133" s="7" t="s">
        <v>92</v>
      </c>
      <c r="C133" s="18" t="n">
        <v>-0.193</v>
      </c>
      <c r="I133" s="7" t="s">
        <v>305</v>
      </c>
    </row>
    <row r="134" customFormat="false" ht="15" hidden="true" customHeight="false" outlineLevel="1" collapsed="false">
      <c r="A134" s="3" t="s">
        <v>306</v>
      </c>
      <c r="B134" s="7" t="s">
        <v>92</v>
      </c>
      <c r="C134" s="18" t="n">
        <v>-1.366</v>
      </c>
      <c r="I134" s="7" t="s">
        <v>305</v>
      </c>
    </row>
    <row r="135" customFormat="false" ht="15" hidden="true" customHeight="false" outlineLevel="1" collapsed="false">
      <c r="A135" s="3" t="s">
        <v>307</v>
      </c>
      <c r="B135" s="7" t="s">
        <v>92</v>
      </c>
      <c r="C135" s="18" t="n">
        <v>1.365</v>
      </c>
      <c r="I135" s="11" t="s">
        <v>301</v>
      </c>
    </row>
    <row r="136" customFormat="false" ht="15" hidden="true" customHeight="false" outlineLevel="1" collapsed="false">
      <c r="A136" s="4" t="s">
        <v>308</v>
      </c>
      <c r="B136" s="7" t="s">
        <v>92</v>
      </c>
      <c r="C136" s="18" t="n">
        <v>2.54</v>
      </c>
      <c r="I136" s="11" t="s">
        <v>309</v>
      </c>
    </row>
    <row r="137" customFormat="false" ht="15" hidden="true" customHeight="false" outlineLevel="1" collapsed="false">
      <c r="A137" s="4" t="s">
        <v>310</v>
      </c>
      <c r="B137" s="7" t="s">
        <v>92</v>
      </c>
      <c r="C137" s="18" t="n">
        <v>0.318</v>
      </c>
      <c r="I137" s="11" t="s">
        <v>309</v>
      </c>
    </row>
    <row r="138" customFormat="false" ht="15" hidden="true" customHeight="false" outlineLevel="1" collapsed="false">
      <c r="A138" s="4" t="s">
        <v>311</v>
      </c>
      <c r="B138" s="7" t="s">
        <v>223</v>
      </c>
      <c r="C138" s="18" t="n">
        <v>-2.53</v>
      </c>
      <c r="I138" s="11" t="s">
        <v>312</v>
      </c>
    </row>
    <row r="139" customFormat="false" ht="15" hidden="true" customHeight="false" outlineLevel="1" collapsed="false">
      <c r="A139" s="4" t="s">
        <v>313</v>
      </c>
      <c r="B139" s="7" t="s">
        <v>223</v>
      </c>
      <c r="C139" s="18" t="n">
        <v>-1.94</v>
      </c>
      <c r="I139" s="7" t="s">
        <v>314</v>
      </c>
    </row>
    <row r="141" customFormat="false" ht="15" hidden="false" customHeight="false" outlineLevel="0" collapsed="false">
      <c r="A141" s="8" t="s">
        <v>315</v>
      </c>
      <c r="B141" s="9"/>
      <c r="C141" s="9"/>
      <c r="D141" s="9"/>
      <c r="E141" s="9"/>
      <c r="F141" s="9"/>
      <c r="G141" s="9"/>
      <c r="H141" s="9"/>
      <c r="I141" s="11" t="s">
        <v>316</v>
      </c>
    </row>
    <row r="142" customFormat="false" ht="15" hidden="false" customHeight="false" outlineLevel="1" collapsed="false">
      <c r="A142" s="3" t="s">
        <v>317</v>
      </c>
      <c r="D142" s="36" t="n">
        <f aca="false">評價_DCF與目標價!C47</f>
        <v>47.5469924435058</v>
      </c>
      <c r="E142" s="37" t="n">
        <f aca="false">評價_DCF與目標價!C56</f>
        <v>-1</v>
      </c>
    </row>
    <row r="143" customFormat="false" ht="15" hidden="false" customHeight="false" outlineLevel="1" collapsed="false">
      <c r="A143" s="3" t="s">
        <v>318</v>
      </c>
      <c r="C143" s="37" t="n">
        <v>1</v>
      </c>
      <c r="D143" s="38" t="n">
        <f t="dataTable" ref="D143:E145" dt2D="0" dtr="0" r1="C5"/>
        <v>71.6858468760584</v>
      </c>
      <c r="E143" s="39" t="n">
        <v>-1</v>
      </c>
    </row>
    <row r="144" customFormat="false" ht="15" hidden="false" customHeight="false" outlineLevel="1" collapsed="false">
      <c r="A144" s="3" t="s">
        <v>319</v>
      </c>
      <c r="C144" s="37" t="n">
        <v>2</v>
      </c>
      <c r="D144" s="38" t="n">
        <v>47.5469924435058</v>
      </c>
      <c r="E144" s="39" t="n">
        <v>-1</v>
      </c>
    </row>
    <row r="145" customFormat="false" ht="15" hidden="false" customHeight="false" outlineLevel="1" collapsed="false">
      <c r="A145" s="3" t="s">
        <v>320</v>
      </c>
      <c r="C145" s="37" t="n">
        <v>3</v>
      </c>
      <c r="D145" s="38" t="n">
        <v>32.1178168723788</v>
      </c>
      <c r="E145" s="39" t="n">
        <v>-1</v>
      </c>
    </row>
  </sheetData>
  <dataValidations count="1">
    <dataValidation allowBlank="false" error="請輸入 1–4" errorStyle="stop" errorTitle="錨定年度" operator="between" showDropDown="false" showErrorMessage="true" showInputMessage="false" sqref="C107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I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17.35" hidden="false" customHeight="false" outlineLevel="0" collapsed="false">
      <c r="A1" s="6" t="s">
        <v>321</v>
      </c>
    </row>
    <row r="2" customFormat="false" ht="15" hidden="false" customHeight="false" outlineLevel="0" collapsed="false">
      <c r="A2" s="7" t="s">
        <v>322</v>
      </c>
    </row>
    <row r="4" customFormat="false" ht="15" hidden="false" customHeight="false" outlineLevel="0" collapsed="false">
      <c r="A4" s="15" t="s">
        <v>111</v>
      </c>
      <c r="B4" s="15" t="s">
        <v>74</v>
      </c>
      <c r="C4" s="21" t="s">
        <v>75</v>
      </c>
      <c r="D4" s="21" t="s">
        <v>76</v>
      </c>
      <c r="E4" s="21" t="s">
        <v>77</v>
      </c>
      <c r="F4" s="21" t="s">
        <v>78</v>
      </c>
      <c r="G4" s="21" t="s">
        <v>79</v>
      </c>
      <c r="I4" s="15" t="s">
        <v>323</v>
      </c>
    </row>
    <row r="5" customFormat="false" ht="15" hidden="false" customHeight="false" outlineLevel="0" collapsed="false">
      <c r="A5" s="40" t="s">
        <v>324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325</v>
      </c>
      <c r="B6" s="7" t="s">
        <v>92</v>
      </c>
      <c r="C6" s="26" t="n">
        <f aca="false">輸入與假設!$C$124+輸入與假設!C$73</f>
        <v>36.975</v>
      </c>
      <c r="D6" s="26" t="n">
        <f aca="false">輸入與假設!D$73</f>
        <v>38.335</v>
      </c>
      <c r="E6" s="26" t="n">
        <f aca="false">輸入與假設!E$73</f>
        <v>29.41</v>
      </c>
      <c r="F6" s="26" t="n">
        <f aca="false">輸入與假設!F$73</f>
        <v>30.6</v>
      </c>
      <c r="G6" s="26" t="n">
        <f aca="false">輸入與假設!G$73</f>
        <v>32.47</v>
      </c>
      <c r="I6" s="7" t="s">
        <v>326</v>
      </c>
    </row>
    <row r="7" customFormat="false" ht="15" hidden="false" customHeight="false" outlineLevel="1" collapsed="false">
      <c r="A7" s="3" t="s">
        <v>327</v>
      </c>
      <c r="B7" s="7" t="s">
        <v>89</v>
      </c>
      <c r="C7" s="41" t="n">
        <f aca="false">輸入與假設!C$58</f>
        <v>0.08</v>
      </c>
      <c r="D7" s="41" t="n">
        <f aca="false">輸入與假設!D$58</f>
        <v>0.08</v>
      </c>
      <c r="E7" s="41" t="n">
        <f aca="false">輸入與假設!E$58</f>
        <v>0.08</v>
      </c>
      <c r="F7" s="41" t="n">
        <f aca="false">輸入與假設!F$58</f>
        <v>0.08</v>
      </c>
      <c r="G7" s="41" t="n">
        <f aca="false">輸入與假設!G$58</f>
        <v>0.08</v>
      </c>
    </row>
    <row r="8" customFormat="false" ht="15" hidden="false" customHeight="false" outlineLevel="1" collapsed="false">
      <c r="A8" s="3" t="s">
        <v>328</v>
      </c>
      <c r="B8" s="7" t="s">
        <v>92</v>
      </c>
      <c r="C8" s="26" t="n">
        <f aca="false">輸入與假設!C$73*C7</f>
        <v>1.66688</v>
      </c>
      <c r="D8" s="26" t="n">
        <f aca="false">輸入與假設!D$73*D7</f>
        <v>3.0668</v>
      </c>
      <c r="E8" s="26" t="n">
        <f aca="false">輸入與假設!E$73*E7</f>
        <v>2.3528</v>
      </c>
      <c r="F8" s="26" t="n">
        <f aca="false">輸入與假設!F$73*F7</f>
        <v>2.448</v>
      </c>
      <c r="G8" s="26" t="n">
        <f aca="false">輸入與假設!G$73*G7</f>
        <v>2.5976</v>
      </c>
      <c r="I8" s="7" t="s">
        <v>329</v>
      </c>
    </row>
    <row r="9" customFormat="false" ht="15" hidden="false" customHeight="false" outlineLevel="1" collapsed="false">
      <c r="A9" s="4" t="s">
        <v>330</v>
      </c>
      <c r="B9" s="7" t="s">
        <v>92</v>
      </c>
      <c r="C9" s="26" t="n">
        <f aca="false">輸入與假設!$C$123+輸入與假設!C$73</f>
        <v>34.953</v>
      </c>
      <c r="D9" s="26" t="n">
        <f aca="false">輸入與假設!D$73</f>
        <v>38.335</v>
      </c>
      <c r="E9" s="26" t="n">
        <f aca="false">輸入與假設!E$73</f>
        <v>29.41</v>
      </c>
      <c r="F9" s="26" t="n">
        <f aca="false">輸入與假設!F$73</f>
        <v>30.6</v>
      </c>
      <c r="G9" s="26" t="n">
        <f aca="false">輸入與假設!G$73</f>
        <v>32.47</v>
      </c>
      <c r="I9" s="7" t="s">
        <v>331</v>
      </c>
    </row>
    <row r="10" customFormat="false" ht="15" hidden="false" customHeight="false" outlineLevel="1" collapsed="false">
      <c r="A10" s="3" t="s">
        <v>332</v>
      </c>
      <c r="B10" s="7" t="s">
        <v>92</v>
      </c>
      <c r="C10" s="33" t="n">
        <f aca="false">輸入與假設!C$59</f>
        <v>1.04</v>
      </c>
      <c r="D10" s="33" t="n">
        <f aca="false">輸入與假設!D$59</f>
        <v>2.339</v>
      </c>
      <c r="E10" s="33" t="n">
        <f aca="false">輸入與假設!E$59</f>
        <v>2.306</v>
      </c>
      <c r="F10" s="33" t="n">
        <f aca="false">輸入與假設!F$59</f>
        <v>2.373</v>
      </c>
      <c r="G10" s="33" t="n">
        <f aca="false">輸入與假設!G$59</f>
        <v>2.289</v>
      </c>
      <c r="I10" s="11" t="s">
        <v>333</v>
      </c>
    </row>
    <row r="11" customFormat="false" ht="15" hidden="false" customHeight="false" outlineLevel="1" collapsed="false">
      <c r="A11" s="3" t="s">
        <v>334</v>
      </c>
      <c r="B11" s="7" t="s">
        <v>92</v>
      </c>
      <c r="C11" s="33" t="n">
        <f aca="false">輸入與假設!C$60</f>
        <v>0.3</v>
      </c>
      <c r="D11" s="33" t="n">
        <f aca="false">輸入與假設!D$60</f>
        <v>1.6</v>
      </c>
      <c r="E11" s="33" t="n">
        <f aca="false">輸入與假設!E$60</f>
        <v>2.41935483870968</v>
      </c>
      <c r="F11" s="33" t="n">
        <f aca="false">輸入與假設!F$60</f>
        <v>2.75</v>
      </c>
      <c r="G11" s="33" t="n">
        <f aca="false">輸入與假設!G$60</f>
        <v>2.90153846153846</v>
      </c>
      <c r="I11" s="11" t="s">
        <v>335</v>
      </c>
    </row>
    <row r="12" customFormat="false" ht="15" hidden="false" customHeight="false" outlineLevel="1" collapsed="false">
      <c r="A12" s="3" t="s">
        <v>336</v>
      </c>
      <c r="B12" s="7" t="s">
        <v>92</v>
      </c>
      <c r="C12" s="26" t="n">
        <f aca="false">C10+C11</f>
        <v>1.34</v>
      </c>
      <c r="D12" s="26" t="n">
        <f aca="false">D10+D11</f>
        <v>3.939</v>
      </c>
      <c r="E12" s="26" t="n">
        <f aca="false">E10+E11</f>
        <v>4.72535483870968</v>
      </c>
      <c r="F12" s="26" t="n">
        <f aca="false">F10+F11</f>
        <v>5.123</v>
      </c>
      <c r="G12" s="26" t="n">
        <f aca="false">G10+G11</f>
        <v>5.19053846153846</v>
      </c>
    </row>
    <row r="13" customFormat="false" ht="15" hidden="false" customHeight="false" outlineLevel="1" collapsed="false">
      <c r="A13" s="3" t="s">
        <v>337</v>
      </c>
      <c r="B13" s="7" t="s">
        <v>92</v>
      </c>
      <c r="C13" s="33" t="n">
        <f aca="false">輸入與假設!C$95</f>
        <v>1.80589628695395</v>
      </c>
      <c r="D13" s="33" t="n">
        <f aca="false">輸入與假設!D$95</f>
        <v>2.46600676169447</v>
      </c>
      <c r="E13" s="33" t="n">
        <f aca="false">輸入與假設!E$95</f>
        <v>2.02009474796771</v>
      </c>
      <c r="F13" s="33" t="n">
        <f aca="false">輸入與假設!F$95</f>
        <v>1.73248149911395</v>
      </c>
      <c r="G13" s="33" t="n">
        <f aca="false">輸入與假設!G$95</f>
        <v>1.49513851973222</v>
      </c>
      <c r="I13" s="7" t="s">
        <v>338</v>
      </c>
    </row>
    <row r="14" customFormat="false" ht="15" hidden="false" customHeight="false" outlineLevel="1" collapsed="false">
      <c r="A14" s="3" t="s">
        <v>339</v>
      </c>
      <c r="B14" s="7" t="s">
        <v>92</v>
      </c>
      <c r="C14" s="26" t="n">
        <f aca="false">輸入與假設!$C$121</f>
        <v>3.127</v>
      </c>
      <c r="D14" s="26" t="n">
        <f aca="false">C41</f>
        <v>2</v>
      </c>
      <c r="E14" s="26" t="n">
        <f aca="false">D41</f>
        <v>2</v>
      </c>
      <c r="F14" s="26" t="n">
        <f aca="false">E41</f>
        <v>2</v>
      </c>
      <c r="G14" s="26" t="n">
        <f aca="false">F41</f>
        <v>2</v>
      </c>
      <c r="I14" s="7" t="s">
        <v>340</v>
      </c>
    </row>
    <row r="15" customFormat="false" ht="15" hidden="false" customHeight="false" outlineLevel="1" collapsed="false">
      <c r="A15" s="3" t="s">
        <v>341</v>
      </c>
      <c r="B15" s="7" t="s">
        <v>89</v>
      </c>
      <c r="C15" s="25" t="n">
        <f aca="false">IF(輸入與假設!$C$91=1,輸入與假設!C$94+MAX(0,輸入與假設!$C$90-450)/100*0.004,輸入與假設!C$94)</f>
        <v>0.09</v>
      </c>
      <c r="D15" s="25" t="n">
        <f aca="false">IF(輸入與假設!$C$91=1,輸入與假設!D$94+MAX(0,輸入與假設!$C$90-450)/100*0.004,輸入與假設!D$94)</f>
        <v>0.09</v>
      </c>
      <c r="E15" s="25" t="n">
        <f aca="false">IF(輸入與假設!$C$91=1,輸入與假設!E$94+MAX(0,輸入與假設!$C$90-450)/100*0.004,輸入與假設!E$94)</f>
        <v>0.09</v>
      </c>
      <c r="F15" s="25" t="n">
        <f aca="false">IF(輸入與假設!$C$91=1,輸入與假設!F$94+MAX(0,輸入與假設!$C$90-450)/100*0.004,輸入與假設!F$94)</f>
        <v>0.09</v>
      </c>
      <c r="G15" s="25" t="n">
        <f aca="false">IF(輸入與假設!$C$91=1,輸入與假設!G$94+MAX(0,輸入與假設!$C$90-450)/100*0.004,輸入與假設!G$94)</f>
        <v>0.09</v>
      </c>
      <c r="I15" s="7" t="s">
        <v>342</v>
      </c>
    </row>
    <row r="16" customFormat="false" ht="15" hidden="false" customHeight="false" outlineLevel="1" collapsed="false">
      <c r="A16" s="3" t="s">
        <v>343</v>
      </c>
      <c r="B16" s="7" t="s">
        <v>92</v>
      </c>
      <c r="C16" s="26" t="n">
        <f aca="false">C63</f>
        <v>0.564952311705499</v>
      </c>
      <c r="D16" s="26" t="n">
        <f aca="false">D63</f>
        <v>4.07082035882062</v>
      </c>
      <c r="E16" s="26" t="n">
        <f aca="false">E63</f>
        <v>5.58647186461765</v>
      </c>
      <c r="F16" s="26" t="n">
        <f aca="false">F63</f>
        <v>5.869010565</v>
      </c>
      <c r="G16" s="26" t="n">
        <f aca="false">G63</f>
        <v>6.51509604</v>
      </c>
      <c r="I16" s="11" t="s">
        <v>344</v>
      </c>
    </row>
    <row r="17" customFormat="false" ht="15" hidden="false" customHeight="false" outlineLevel="1" collapsed="false">
      <c r="A17" s="3" t="s">
        <v>345</v>
      </c>
      <c r="B17" s="7" t="s">
        <v>92</v>
      </c>
      <c r="C17" s="26" t="n">
        <f aca="false">C13+C16</f>
        <v>2.37084859865945</v>
      </c>
      <c r="D17" s="26" t="n">
        <f aca="false">D13+D16</f>
        <v>6.53682712051508</v>
      </c>
      <c r="E17" s="26" t="n">
        <f aca="false">E13+E16</f>
        <v>7.60656661258536</v>
      </c>
      <c r="F17" s="26" t="n">
        <f aca="false">F13+F16</f>
        <v>7.60149206411395</v>
      </c>
      <c r="G17" s="26" t="n">
        <f aca="false">G13+G16</f>
        <v>8.01023455973222</v>
      </c>
    </row>
    <row r="18" customFormat="false" ht="15" hidden="false" customHeight="false" outlineLevel="1" collapsed="false">
      <c r="A18" s="4" t="s">
        <v>346</v>
      </c>
      <c r="B18" s="7" t="s">
        <v>92</v>
      </c>
      <c r="C18" s="26" t="n">
        <f aca="false">輸入與假設!$C$125+輸入與假設!C$63</f>
        <v>1.938</v>
      </c>
      <c r="D18" s="26" t="n">
        <f aca="false">輸入與假設!D$63</f>
        <v>0.4</v>
      </c>
      <c r="E18" s="26" t="n">
        <f aca="false">輸入與假設!E$63</f>
        <v>0.3</v>
      </c>
      <c r="F18" s="26" t="n">
        <f aca="false">輸入與假設!F$63</f>
        <v>0.2</v>
      </c>
      <c r="G18" s="26" t="n">
        <f aca="false">輸入與假設!G$63</f>
        <v>0.2</v>
      </c>
      <c r="I18" s="7" t="s">
        <v>347</v>
      </c>
    </row>
    <row r="19" customFormat="false" ht="15" hidden="false" customHeight="false" outlineLevel="1" collapsed="false">
      <c r="A19" s="3" t="s">
        <v>348</v>
      </c>
      <c r="B19" s="7" t="s">
        <v>92</v>
      </c>
      <c r="C19" s="26" t="n">
        <f aca="false">IF(輸入與假設!$C$42=1,運營_產能與收入!C9*8760*輸入與假設!C$44*輸入與假設!C$43/1000000000*運營_產能與收入!C7,0)</f>
        <v>0</v>
      </c>
      <c r="D19" s="26" t="n">
        <f aca="false">IF(輸入與假設!$C$42=1,運營_產能與收入!D9*8760*輸入與假設!D$44*輸入與假設!D$43/1000000000*運營_產能與收入!D7,0)</f>
        <v>0</v>
      </c>
      <c r="E19" s="26" t="n">
        <f aca="false">IF(輸入與假設!$C$42=1,運營_產能與收入!E9*8760*輸入與假設!E$44*輸入與假設!E$43/1000000000*運營_產能與收入!E7,0)</f>
        <v>0</v>
      </c>
      <c r="F19" s="26" t="n">
        <f aca="false">IF(輸入與假設!$C$42=1,運營_產能與收入!F9*8760*輸入與假設!F$44*輸入與假設!F$43/1000000000*運營_產能與收入!F7,0)</f>
        <v>0</v>
      </c>
      <c r="G19" s="26" t="n">
        <f aca="false">IF(輸入與假設!$C$42=1,運營_產能與收入!G9*8760*輸入與假設!G$44*輸入與假設!G$43/1000000000*運營_產能與收入!G7,0)</f>
        <v>0</v>
      </c>
      <c r="I19" s="11" t="s">
        <v>349</v>
      </c>
    </row>
    <row r="20" customFormat="false" ht="15" hidden="false" customHeight="false" outlineLevel="1" collapsed="false">
      <c r="A20" s="3" t="s">
        <v>350</v>
      </c>
      <c r="B20" s="7" t="s">
        <v>92</v>
      </c>
      <c r="C20" s="26" t="n">
        <f aca="false">IF(輸入與假設!$C$42=1,運營_產能與收入!C9*輸入與假設!C$45/1000*運營_產能與收入!C7,0)</f>
        <v>0</v>
      </c>
      <c r="D20" s="26" t="n">
        <f aca="false">IF(輸入與假設!$C$42=1,運營_產能與收入!D9*輸入與假設!D$45/1000*運營_產能與收入!D7,0)</f>
        <v>0</v>
      </c>
      <c r="E20" s="26" t="n">
        <f aca="false">IF(輸入與假設!$C$42=1,運營_產能與收入!E9*輸入與假設!E$45/1000*運營_產能與收入!E7,0)</f>
        <v>0</v>
      </c>
      <c r="F20" s="26" t="n">
        <f aca="false">IF(輸入與假設!$C$42=1,運營_產能與收入!F9*輸入與假設!F$45/1000*運營_產能與收入!F7,0)</f>
        <v>0</v>
      </c>
      <c r="G20" s="26" t="n">
        <f aca="false">IF(輸入與假設!$C$42=1,運營_產能與收入!G9*輸入與假設!G$45/1000*運營_產能與收入!G7,0)</f>
        <v>0</v>
      </c>
    </row>
    <row r="21" customFormat="false" ht="15" hidden="false" customHeight="false" outlineLevel="1" collapsed="false">
      <c r="A21" s="3" t="s">
        <v>351</v>
      </c>
      <c r="B21" s="7" t="s">
        <v>92</v>
      </c>
      <c r="C21" s="26" t="n">
        <f aca="false">輸入與假設!$C$127+IF(輸入與假設!$C$82=1,輸入與假設!C$93,0)</f>
        <v>9.632</v>
      </c>
      <c r="D21" s="26" t="n">
        <f aca="false">IF(輸入與假設!$C$82=1,輸入與假設!D$93,0)</f>
        <v>6.184</v>
      </c>
      <c r="E21" s="26" t="n">
        <f aca="false">IF(輸入與假設!$C$82=1,輸入與假設!E$93,0)</f>
        <v>4.416</v>
      </c>
      <c r="F21" s="26" t="n">
        <f aca="false">IF(輸入與假設!$C$82=1,輸入與假設!F$93,0)</f>
        <v>2.421</v>
      </c>
      <c r="G21" s="26" t="n">
        <f aca="false">IF(輸入與假設!$C$82=1,輸入與假設!G$93,0)</f>
        <v>3.221</v>
      </c>
      <c r="I21" s="7" t="s">
        <v>352</v>
      </c>
    </row>
    <row r="22" customFormat="false" ht="15" hidden="false" customHeight="false" outlineLevel="1" collapsed="false">
      <c r="A22" s="4" t="s">
        <v>353</v>
      </c>
      <c r="B22" s="7" t="s">
        <v>92</v>
      </c>
      <c r="C22" s="26" t="n">
        <f aca="false">輸入與假設!$C$128</f>
        <v>0.492</v>
      </c>
      <c r="D22" s="26" t="n">
        <f aca="false">0</f>
        <v>0</v>
      </c>
      <c r="E22" s="26" t="n">
        <f aca="false">0</f>
        <v>0</v>
      </c>
      <c r="F22" s="26" t="n">
        <f aca="false">0</f>
        <v>0</v>
      </c>
      <c r="G22" s="26" t="n">
        <f aca="false">0</f>
        <v>0</v>
      </c>
      <c r="I22" s="7" t="s">
        <v>354</v>
      </c>
    </row>
    <row r="23" customFormat="false" ht="15" hidden="false" customHeight="false" outlineLevel="1" collapsed="false">
      <c r="A23" s="2" t="s">
        <v>355</v>
      </c>
      <c r="B23" s="7" t="s">
        <v>92</v>
      </c>
      <c r="C23" s="30" t="n">
        <f aca="false">C9+C12+C17+C18+C19+C20+C21+C22</f>
        <v>50.7258485986595</v>
      </c>
      <c r="D23" s="30" t="n">
        <f aca="false">D9+D12+D17+D18+D19+D20+D21+D22</f>
        <v>55.3948271205151</v>
      </c>
      <c r="E23" s="30" t="n">
        <f aca="false">E9+E12+E17+E18+E19+E20+E21+E22</f>
        <v>46.457921451295</v>
      </c>
      <c r="F23" s="30" t="n">
        <f aca="false">F9+F12+F17+F18+F19+F20+F21+F22</f>
        <v>45.945492064114</v>
      </c>
      <c r="G23" s="30" t="n">
        <f aca="false">G9+G12+G17+G18+G19+G20+G21+G22</f>
        <v>49.0917730212707</v>
      </c>
      <c r="I23" s="7" t="s">
        <v>356</v>
      </c>
    </row>
    <row r="24" customFormat="false" ht="15" hidden="false" customHeight="false" outlineLevel="0" collapsed="false">
      <c r="A24" s="40" t="s">
        <v>357</v>
      </c>
      <c r="B24" s="9"/>
      <c r="C24" s="9"/>
      <c r="D24" s="9"/>
      <c r="E24" s="9"/>
      <c r="F24" s="9"/>
      <c r="G24" s="9"/>
      <c r="H24" s="9"/>
    </row>
    <row r="25" customFormat="false" ht="15" hidden="false" customHeight="false" outlineLevel="1" collapsed="false">
      <c r="A25" s="4" t="s">
        <v>358</v>
      </c>
      <c r="B25" s="7" t="s">
        <v>92</v>
      </c>
      <c r="C25" s="33" t="n">
        <f aca="false">輸入與假設!$C$122</f>
        <v>3.663</v>
      </c>
      <c r="D25" s="33" t="n">
        <f aca="false">0</f>
        <v>0</v>
      </c>
      <c r="E25" s="33" t="n">
        <f aca="false">0</f>
        <v>0</v>
      </c>
      <c r="F25" s="33" t="n">
        <f aca="false">0</f>
        <v>0</v>
      </c>
      <c r="G25" s="33" t="n">
        <f aca="false">0</f>
        <v>0</v>
      </c>
      <c r="I25" s="7" t="s">
        <v>359</v>
      </c>
    </row>
    <row r="26" customFormat="false" ht="15" hidden="false" customHeight="false" outlineLevel="1" collapsed="false">
      <c r="A26" s="4" t="s">
        <v>360</v>
      </c>
      <c r="B26" s="7" t="s">
        <v>92</v>
      </c>
      <c r="C26" s="33" t="n">
        <f aca="false">運營_產能與收入!C36</f>
        <v>6.0636895903037</v>
      </c>
      <c r="D26" s="33" t="n">
        <f aca="false">運營_產能與收入!D36</f>
        <v>18.8954249232071</v>
      </c>
      <c r="E26" s="33" t="n">
        <f aca="false">運營_產能與收入!E36</f>
        <v>19.1311823027985</v>
      </c>
      <c r="F26" s="33" t="n">
        <f aca="false">運營_產能與收入!F36</f>
        <v>18.781449967</v>
      </c>
      <c r="G26" s="33" t="n">
        <f aca="false">運營_產能與收入!G36</f>
        <v>13.374716905551</v>
      </c>
    </row>
    <row r="27" customFormat="false" ht="15" hidden="false" customHeight="false" outlineLevel="1" collapsed="false">
      <c r="A27" s="3" t="s">
        <v>361</v>
      </c>
      <c r="B27" s="7" t="s">
        <v>92</v>
      </c>
      <c r="C27" s="33" t="n">
        <f aca="false">運營_產能與收入!C37</f>
        <v>0</v>
      </c>
      <c r="D27" s="33" t="n">
        <f aca="false">運營_產能與收入!D37</f>
        <v>0</v>
      </c>
      <c r="E27" s="33" t="n">
        <f aca="false">運營_產能與收入!E37</f>
        <v>6.78541228626628</v>
      </c>
      <c r="F27" s="33" t="n">
        <f aca="false">運營_產能與收入!F37</f>
        <v>10.826919371542</v>
      </c>
      <c r="G27" s="33" t="n">
        <f aca="false">運營_產能與收入!G37</f>
        <v>17.7594020166549</v>
      </c>
    </row>
    <row r="28" customFormat="false" ht="15" hidden="false" customHeight="false" outlineLevel="1" collapsed="false">
      <c r="A28" s="3" t="s">
        <v>362</v>
      </c>
      <c r="B28" s="7" t="s">
        <v>92</v>
      </c>
      <c r="C28" s="33" t="n">
        <f aca="false">輸入與假設!C$40</f>
        <v>0.224783192677998</v>
      </c>
      <c r="D28" s="33" t="n">
        <f aca="false">輸入與假設!D$40</f>
        <v>0.755760692756674</v>
      </c>
      <c r="E28" s="33" t="n">
        <f aca="false">輸入與假設!E$40</f>
        <v>1.34795457559659</v>
      </c>
      <c r="F28" s="33" t="n">
        <f aca="false">輸入與假設!F$40</f>
        <v>2.11660002119496</v>
      </c>
      <c r="G28" s="33" t="n">
        <f aca="false">輸入與假設!G$40</f>
        <v>2.90837126816542</v>
      </c>
    </row>
    <row r="29" customFormat="false" ht="15" hidden="false" customHeight="false" outlineLevel="1" collapsed="false">
      <c r="A29" s="3" t="s">
        <v>363</v>
      </c>
      <c r="B29" s="7" t="s">
        <v>92</v>
      </c>
      <c r="C29" s="26" t="n">
        <f aca="false">C8</f>
        <v>1.66688</v>
      </c>
      <c r="D29" s="26" t="n">
        <f aca="false">D8</f>
        <v>3.0668</v>
      </c>
      <c r="E29" s="26" t="n">
        <f aca="false">E8</f>
        <v>2.3528</v>
      </c>
      <c r="F29" s="26" t="n">
        <f aca="false">F8</f>
        <v>2.448</v>
      </c>
      <c r="G29" s="26" t="n">
        <f aca="false">G8</f>
        <v>2.5976</v>
      </c>
    </row>
    <row r="30" customFormat="false" ht="15" hidden="false" customHeight="false" outlineLevel="1" collapsed="false">
      <c r="A30" s="2" t="s">
        <v>364</v>
      </c>
      <c r="B30" s="7" t="s">
        <v>92</v>
      </c>
      <c r="C30" s="30" t="n">
        <f aca="false">C25+C26+C27+C28+C29</f>
        <v>11.6183527829817</v>
      </c>
      <c r="D30" s="30" t="n">
        <f aca="false">D25+D26+D27+D28+D29</f>
        <v>22.7179856159638</v>
      </c>
      <c r="E30" s="30" t="n">
        <f aca="false">E25+E26+E27+E28+E29</f>
        <v>29.6173491646613</v>
      </c>
      <c r="F30" s="30" t="n">
        <f aca="false">F25+F26+F27+F28+F29</f>
        <v>34.1729693597369</v>
      </c>
      <c r="G30" s="30" t="n">
        <f aca="false">G25+G26+G27+G28+G29</f>
        <v>36.6400901903713</v>
      </c>
    </row>
    <row r="31" customFormat="false" ht="15" hidden="false" customHeight="false" outlineLevel="1" collapsed="false">
      <c r="A31" s="3" t="s">
        <v>365</v>
      </c>
      <c r="B31" s="7" t="s">
        <v>92</v>
      </c>
      <c r="C31" s="26" t="n">
        <f aca="false">輸入與假設!$C$129+IF(輸入與假設!$C$79=1,輸入與假設!$C$78,0)</f>
        <v>9.182</v>
      </c>
      <c r="D31" s="26" t="n">
        <f aca="false">0</f>
        <v>0</v>
      </c>
      <c r="E31" s="26" t="n">
        <f aca="false">0</f>
        <v>0</v>
      </c>
      <c r="F31" s="26" t="n">
        <f aca="false">0</f>
        <v>0</v>
      </c>
      <c r="G31" s="26" t="n">
        <f aca="false">0</f>
        <v>0</v>
      </c>
      <c r="I31" s="7" t="s">
        <v>366</v>
      </c>
    </row>
    <row r="32" customFormat="false" ht="15" hidden="false" customHeight="false" outlineLevel="1" collapsed="false">
      <c r="A32" s="4" t="s">
        <v>367</v>
      </c>
      <c r="B32" s="7" t="s">
        <v>92</v>
      </c>
      <c r="C32" s="33" t="n">
        <f aca="false">輸入與假設!$C$126</f>
        <v>16.747</v>
      </c>
      <c r="D32" s="33" t="n">
        <f aca="false">0</f>
        <v>0</v>
      </c>
      <c r="E32" s="33" t="n">
        <f aca="false">0</f>
        <v>0</v>
      </c>
      <c r="F32" s="33" t="n">
        <f aca="false">0</f>
        <v>0</v>
      </c>
      <c r="G32" s="33" t="n">
        <f aca="false">0</f>
        <v>0</v>
      </c>
      <c r="I32" s="7" t="s">
        <v>368</v>
      </c>
    </row>
    <row r="33" customFormat="false" ht="15" hidden="false" customHeight="false" outlineLevel="1" collapsed="false">
      <c r="A33" s="3" t="s">
        <v>369</v>
      </c>
      <c r="B33" s="7" t="s">
        <v>92</v>
      </c>
      <c r="C33" s="26" t="n">
        <f aca="false">C58</f>
        <v>12.5544958156778</v>
      </c>
      <c r="D33" s="26" t="n">
        <f aca="false">D58</f>
        <v>32.6768415045513</v>
      </c>
      <c r="E33" s="26" t="n">
        <f aca="false">E58</f>
        <v>16.8405722866337</v>
      </c>
      <c r="F33" s="26" t="n">
        <f aca="false">F58</f>
        <v>3.13931889313726</v>
      </c>
      <c r="G33" s="26" t="n">
        <f aca="false">G58</f>
        <v>7.17872749999999</v>
      </c>
      <c r="I33" s="11" t="s">
        <v>370</v>
      </c>
    </row>
    <row r="34" customFormat="false" ht="15" hidden="false" customHeight="false" outlineLevel="1" collapsed="false">
      <c r="A34" s="3" t="s">
        <v>371</v>
      </c>
      <c r="B34" s="7" t="s">
        <v>92</v>
      </c>
      <c r="C34" s="26" t="n">
        <f aca="false">C61</f>
        <v>0</v>
      </c>
      <c r="D34" s="26" t="n">
        <f aca="false">D61</f>
        <v>0</v>
      </c>
      <c r="E34" s="26" t="n">
        <f aca="false">E61</f>
        <v>0</v>
      </c>
      <c r="F34" s="26" t="n">
        <f aca="false">F61</f>
        <v>8.63320381123975</v>
      </c>
      <c r="G34" s="26" t="n">
        <f aca="false">G61</f>
        <v>5.27295533089938</v>
      </c>
      <c r="I34" s="11" t="s">
        <v>372</v>
      </c>
    </row>
    <row r="35" customFormat="false" ht="15" hidden="false" customHeight="false" outlineLevel="1" collapsed="false">
      <c r="A35" s="3" t="s">
        <v>373</v>
      </c>
      <c r="B35" s="7" t="s">
        <v>92</v>
      </c>
      <c r="C35" s="26" t="n">
        <f aca="false">C62</f>
        <v>0</v>
      </c>
      <c r="D35" s="26" t="n">
        <f aca="false">D62</f>
        <v>0</v>
      </c>
      <c r="E35" s="26" t="n">
        <f aca="false">E62</f>
        <v>0</v>
      </c>
      <c r="F35" s="26" t="n">
        <f aca="false">F62</f>
        <v>0</v>
      </c>
      <c r="G35" s="26" t="n">
        <f aca="false">G62</f>
        <v>0</v>
      </c>
      <c r="I35" s="11" t="s">
        <v>374</v>
      </c>
    </row>
    <row r="36" customFormat="false" ht="15" hidden="false" customHeight="false" outlineLevel="1" collapsed="false">
      <c r="A36" s="2" t="s">
        <v>375</v>
      </c>
      <c r="B36" s="7" t="s">
        <v>92</v>
      </c>
      <c r="C36" s="30" t="n">
        <f aca="false">C30+C31+C32+C33+C34+C35</f>
        <v>50.1018485986595</v>
      </c>
      <c r="D36" s="30" t="n">
        <f aca="false">D30+D31+D32+D33+D34+D35</f>
        <v>55.3948271205151</v>
      </c>
      <c r="E36" s="30" t="n">
        <f aca="false">E30+E31+E32+E33+E34+E35</f>
        <v>46.457921451295</v>
      </c>
      <c r="F36" s="30" t="n">
        <f aca="false">F30+F31+F32+F33+F34+F35</f>
        <v>45.945492064114</v>
      </c>
      <c r="G36" s="30" t="n">
        <f aca="false">G30+G31+G32+G33+G34+G35</f>
        <v>49.0917730212707</v>
      </c>
    </row>
    <row r="37" customFormat="false" ht="15" hidden="false" customHeight="false" outlineLevel="0" collapsed="false">
      <c r="A37" s="40" t="s">
        <v>376</v>
      </c>
      <c r="B37" s="9"/>
      <c r="C37" s="9"/>
      <c r="D37" s="9"/>
      <c r="E37" s="9"/>
      <c r="F37" s="9"/>
      <c r="G37" s="9"/>
      <c r="H37" s="9"/>
    </row>
    <row r="38" customFormat="false" ht="15" hidden="false" customHeight="false" outlineLevel="1" collapsed="false">
      <c r="A38" s="3" t="s">
        <v>377</v>
      </c>
      <c r="B38" s="7" t="s">
        <v>92</v>
      </c>
      <c r="C38" s="26" t="n">
        <f aca="false">輸入與假設!$C$77-(輸入與假設!$C$121+輸入與假設!$C$122+輸入與假設!$C$126+輸入與假設!$C$129-輸入與假設!$C$123-輸入與假設!$C$125-輸入與假設!$C$127-輸入與假設!$C$128)</f>
        <v>-0.502999999999997</v>
      </c>
      <c r="D38" s="26" t="n">
        <f aca="false">0</f>
        <v>0</v>
      </c>
      <c r="E38" s="26" t="n">
        <f aca="false">0</f>
        <v>0</v>
      </c>
      <c r="F38" s="26" t="n">
        <f aca="false">0</f>
        <v>0</v>
      </c>
      <c r="G38" s="26" t="n">
        <f aca="false">0</f>
        <v>0</v>
      </c>
      <c r="I38" s="11" t="s">
        <v>378</v>
      </c>
    </row>
    <row r="39" customFormat="false" ht="15" hidden="false" customHeight="false" outlineLevel="1" collapsed="false">
      <c r="A39" s="2" t="s">
        <v>379</v>
      </c>
      <c r="B39" s="7" t="s">
        <v>92</v>
      </c>
      <c r="C39" s="30" t="n">
        <f aca="false">C30-(C23-C21-C22)</f>
        <v>-28.9834958156778</v>
      </c>
      <c r="D39" s="30" t="n">
        <f aca="false">D30-(D23-D21-D22)</f>
        <v>-26.4928415045513</v>
      </c>
      <c r="E39" s="30" t="n">
        <f aca="false">E30-(E23-E21-E22)</f>
        <v>-12.4245722866337</v>
      </c>
      <c r="F39" s="30" t="n">
        <f aca="false">F30-(F23-F21-F22)</f>
        <v>-9.351522704377</v>
      </c>
      <c r="G39" s="30" t="n">
        <f aca="false">G30-(G23-G21-G22)</f>
        <v>-9.23068283089938</v>
      </c>
      <c r="I39" s="11" t="s">
        <v>380</v>
      </c>
    </row>
    <row r="40" customFormat="false" ht="15" hidden="false" customHeight="false" outlineLevel="1" collapsed="false">
      <c r="A40" s="3" t="s">
        <v>381</v>
      </c>
      <c r="B40" s="7" t="s">
        <v>92</v>
      </c>
      <c r="C40" s="26" t="n">
        <f aca="false">C36-C23+C38</f>
        <v>-1.127</v>
      </c>
      <c r="D40" s="26" t="n">
        <f aca="false">D36-D23+D38</f>
        <v>0</v>
      </c>
      <c r="E40" s="26" t="n">
        <f aca="false">E36-E23+E38</f>
        <v>0</v>
      </c>
      <c r="F40" s="26" t="n">
        <f aca="false">F36-F23+F38</f>
        <v>0</v>
      </c>
      <c r="G40" s="26" t="n">
        <f aca="false">G36-G23+G38</f>
        <v>0</v>
      </c>
    </row>
    <row r="41" customFormat="false" ht="15" hidden="false" customHeight="false" outlineLevel="1" collapsed="false">
      <c r="A41" s="2" t="s">
        <v>382</v>
      </c>
      <c r="B41" s="7" t="s">
        <v>92</v>
      </c>
      <c r="C41" s="30" t="n">
        <f aca="false">C14+C40</f>
        <v>2</v>
      </c>
      <c r="D41" s="30" t="n">
        <f aca="false">D14+D40</f>
        <v>2</v>
      </c>
      <c r="E41" s="30" t="n">
        <f aca="false">E14+E40</f>
        <v>2</v>
      </c>
      <c r="F41" s="30" t="n">
        <f aca="false">F14+F40</f>
        <v>2</v>
      </c>
      <c r="G41" s="30" t="n">
        <f aca="false">G14+G40</f>
        <v>2</v>
      </c>
      <c r="I41" s="11" t="s">
        <v>383</v>
      </c>
    </row>
    <row r="43" customFormat="false" ht="15" hidden="false" customHeight="false" outlineLevel="0" collapsed="false">
      <c r="A43" s="40" t="s">
        <v>384</v>
      </c>
      <c r="B43" s="9"/>
      <c r="C43" s="9"/>
      <c r="D43" s="9"/>
      <c r="E43" s="9"/>
      <c r="F43" s="9"/>
      <c r="G43" s="9"/>
      <c r="H43" s="9"/>
    </row>
    <row r="44" customFormat="false" ht="15" hidden="false" customHeight="false" outlineLevel="1" collapsed="false">
      <c r="A44" s="3" t="s">
        <v>385</v>
      </c>
      <c r="B44" s="7" t="s">
        <v>92</v>
      </c>
      <c r="C44" s="26" t="n">
        <f aca="false">C9+C12+C13+C18+C19+C20+C21+C22</f>
        <v>50.160896286954</v>
      </c>
      <c r="D44" s="26" t="n">
        <f aca="false">D9+D12+D13+D18+D19+D20+D21+D22</f>
        <v>51.3240067616945</v>
      </c>
      <c r="E44" s="26" t="n">
        <f aca="false">E9+E12+E13+E18+E19+E20+E21+E22</f>
        <v>40.8714495866774</v>
      </c>
      <c r="F44" s="26" t="n">
        <f aca="false">F9+F12+F13+F18+F19+F20+F21+F22</f>
        <v>40.076481499114</v>
      </c>
      <c r="G44" s="26" t="n">
        <f aca="false">G9+G12+G13+G18+G19+G20+G21+G22</f>
        <v>42.5766769812707</v>
      </c>
      <c r="I44" s="11" t="s">
        <v>386</v>
      </c>
    </row>
    <row r="45" customFormat="false" ht="15" hidden="false" customHeight="false" outlineLevel="1" collapsed="false">
      <c r="A45" s="3" t="s">
        <v>387</v>
      </c>
      <c r="B45" s="7" t="s">
        <v>92</v>
      </c>
      <c r="C45" s="26" t="n">
        <f aca="false">0</f>
        <v>0</v>
      </c>
      <c r="D45" s="26" t="n">
        <f aca="false">C67</f>
        <v>12.5544958156778</v>
      </c>
      <c r="E45" s="26" t="n">
        <f aca="false">D67</f>
        <v>45.2313373202291</v>
      </c>
      <c r="F45" s="26" t="n">
        <f aca="false">E67</f>
        <v>62.0719096068628</v>
      </c>
      <c r="G45" s="26" t="n">
        <f aca="false">F67</f>
        <v>65.2112285</v>
      </c>
    </row>
    <row r="46" customFormat="false" ht="15" hidden="false" customHeight="false" outlineLevel="1" collapsed="false">
      <c r="A46" s="3" t="s">
        <v>388</v>
      </c>
      <c r="B46" s="7" t="s">
        <v>89</v>
      </c>
      <c r="C46" s="42" t="n">
        <f aca="false">C15*運營_產能與收入!C7</f>
        <v>0.045</v>
      </c>
      <c r="D46" s="42" t="n">
        <f aca="false">D15*運營_產能與收入!D7</f>
        <v>0.09</v>
      </c>
      <c r="E46" s="42" t="n">
        <f aca="false">E15*運營_產能與收入!E7</f>
        <v>0.09</v>
      </c>
      <c r="F46" s="42" t="n">
        <f aca="false">F15*運營_產能與收入!F7</f>
        <v>0.09</v>
      </c>
      <c r="G46" s="42" t="n">
        <f aca="false">G15*運營_產能與收入!G7</f>
        <v>0.09</v>
      </c>
    </row>
    <row r="47" customFormat="false" ht="15" hidden="false" customHeight="false" outlineLevel="1" collapsed="false">
      <c r="A47" s="3" t="s">
        <v>389</v>
      </c>
      <c r="B47" s="7" t="s">
        <v>92</v>
      </c>
      <c r="C47" s="26" t="n">
        <f aca="false">0</f>
        <v>0</v>
      </c>
      <c r="D47" s="26" t="n">
        <f aca="false">C69</f>
        <v>0</v>
      </c>
      <c r="E47" s="26" t="n">
        <f aca="false">D69</f>
        <v>0</v>
      </c>
      <c r="F47" s="26" t="n">
        <f aca="false">E69</f>
        <v>0</v>
      </c>
      <c r="G47" s="26" t="n">
        <f aca="false">F69</f>
        <v>0</v>
      </c>
    </row>
    <row r="48" customFormat="false" ht="15" hidden="false" customHeight="false" outlineLevel="1" collapsed="false">
      <c r="A48" s="3" t="s">
        <v>390</v>
      </c>
      <c r="B48" s="7" t="s">
        <v>89</v>
      </c>
      <c r="C48" s="42" t="n">
        <f aca="false">(輸入與假設!$C$89+IF(輸入與假設!$C$91=1,MAX(0,輸入與假設!$C$90-450)/10000*0.4,0))*運營_產能與收入!C7</f>
        <v>0.06</v>
      </c>
      <c r="D48" s="42" t="n">
        <f aca="false">(輸入與假設!$C$89+IF(輸入與假設!$C$91=1,MAX(0,輸入與假設!$C$90-450)/10000*0.4,0))*運營_產能與收入!D7</f>
        <v>0.12</v>
      </c>
      <c r="E48" s="42" t="n">
        <f aca="false">(輸入與假設!$C$89+IF(輸入與假設!$C$91=1,MAX(0,輸入與假設!$C$90-450)/10000*0.4,0))*運營_產能與收入!E7</f>
        <v>0.12</v>
      </c>
      <c r="F48" s="42" t="n">
        <f aca="false">(輸入與假設!$C$89+IF(輸入與假設!$C$91=1,MAX(0,輸入與假設!$C$90-450)/10000*0.4,0))*運營_產能與收入!F7</f>
        <v>0.12</v>
      </c>
      <c r="G48" s="42" t="n">
        <f aca="false">(輸入與假設!$C$89+IF(輸入與假設!$C$91=1,MAX(0,輸入與假設!$C$90-450)/10000*0.4,0))*運營_產能與收入!G7</f>
        <v>0.12</v>
      </c>
    </row>
    <row r="49" customFormat="false" ht="15" hidden="false" customHeight="false" outlineLevel="1" collapsed="false">
      <c r="A49" s="3" t="s">
        <v>391</v>
      </c>
      <c r="B49" s="7" t="s">
        <v>92</v>
      </c>
      <c r="C49" s="26" t="n">
        <f aca="false">C14+C30+C31+C32+C38-C44-C46*C45-C48*C47</f>
        <v>-9.98954350397226</v>
      </c>
      <c r="D49" s="26" t="n">
        <f aca="false">D14+D30+D31+D32+D38-D44-D46*D45-D48*D47</f>
        <v>-27.7359257691417</v>
      </c>
      <c r="E49" s="26" t="n">
        <f aca="false">E14+E30+E31+E32+E38-E44-E46*E45-E48*E47</f>
        <v>-13.3249207808367</v>
      </c>
      <c r="F49" s="26" t="n">
        <f aca="false">F14+F30+F31+F32+F38-F44-F46*F45-F48*F47</f>
        <v>-9.48998400399466</v>
      </c>
      <c r="G49" s="26" t="n">
        <f aca="false">G14+G30+G31+G32+G38-G44-G46*G45-G48*G47</f>
        <v>-9.80559735589938</v>
      </c>
    </row>
    <row r="50" customFormat="false" ht="15" hidden="false" customHeight="false" outlineLevel="1" collapsed="false">
      <c r="A50" s="2" t="s">
        <v>392</v>
      </c>
      <c r="B50" s="7" t="s">
        <v>92</v>
      </c>
      <c r="C50" s="30" t="n">
        <f aca="false">MAX(0,輸入與假設!$C$85-C49)</f>
        <v>11.9895435039723</v>
      </c>
      <c r="D50" s="30" t="n">
        <f aca="false">MAX(0,輸入與假設!$C$85-D49)</f>
        <v>29.7359257691417</v>
      </c>
      <c r="E50" s="30" t="n">
        <f aca="false">MAX(0,輸入與假設!$C$85-E49)</f>
        <v>15.3249207808367</v>
      </c>
      <c r="F50" s="30" t="n">
        <f aca="false">MAX(0,輸入與假設!$C$85-F49)</f>
        <v>11.4899840039947</v>
      </c>
      <c r="G50" s="30" t="n">
        <f aca="false">MAX(0,輸入與假設!$C$85-G49)</f>
        <v>11.8055973558994</v>
      </c>
    </row>
    <row r="51" customFormat="false" ht="15" hidden="false" customHeight="false" outlineLevel="1" collapsed="false">
      <c r="A51" s="3" t="s">
        <v>393</v>
      </c>
      <c r="B51" s="7" t="s">
        <v>92</v>
      </c>
      <c r="C51" s="26" t="n">
        <f aca="false">輸入與假設!$C$15+輸入與假設!$C$16</f>
        <v>128.7</v>
      </c>
      <c r="D51" s="26" t="n">
        <f aca="false">C53</f>
        <v>115.50825</v>
      </c>
      <c r="E51" s="26" t="n">
        <f aca="false">D53</f>
        <v>89.12475</v>
      </c>
      <c r="F51" s="26" t="n">
        <f aca="false">E53</f>
        <v>99.902412</v>
      </c>
      <c r="G51" s="26" t="n">
        <f aca="false">F53</f>
        <v>87.0282285</v>
      </c>
      <c r="I51" s="7" t="s">
        <v>394</v>
      </c>
    </row>
    <row r="52" customFormat="false" ht="15" hidden="false" customHeight="false" outlineLevel="1" collapsed="false">
      <c r="A52" s="3" t="s">
        <v>395</v>
      </c>
      <c r="B52" s="7" t="s">
        <v>92</v>
      </c>
      <c r="C52" s="26" t="n">
        <f aca="false">MAX(0,運營_產能與收入!C23/運營_產能與收入!C7-0)*輸入與假設!$C$84</f>
        <v>0</v>
      </c>
      <c r="D52" s="26" t="n">
        <f aca="false">MAX(0,運營_產能與收入!D23/運營_產能與收入!D7-運營_產能與收入!C23/運營_產能與收入!C7)*輸入與假設!$C$84</f>
        <v>0</v>
      </c>
      <c r="E52" s="26" t="n">
        <f aca="false">MAX(0,運營_產能與收入!E23/運營_產能與收入!E7-運營_產能與收入!D23/運營_產能與收入!D7)*輸入與假設!$C$84</f>
        <v>45.6470775</v>
      </c>
      <c r="F52" s="26" t="n">
        <f aca="false">MAX(0,運營_產能與收入!F23/運營_產能與收入!F7-運營_產能與收入!E23/運營_產能與收入!E7)*輸入與假設!$C$84</f>
        <v>26.689665</v>
      </c>
      <c r="G52" s="26" t="n">
        <f aca="false">MAX(0,運營_產能與收入!G23/運營_產能與收入!G7-運營_產能與收入!F23/運營_產能與收入!F7)*輸入與假設!$C$84</f>
        <v>45.1516575</v>
      </c>
    </row>
    <row r="53" customFormat="false" ht="15" hidden="false" customHeight="false" outlineLevel="1" collapsed="false">
      <c r="A53" s="3" t="s">
        <v>396</v>
      </c>
      <c r="B53" s="7" t="s">
        <v>92</v>
      </c>
      <c r="C53" s="26" t="n">
        <f aca="false">C51-運營_產能與收入!C17-運營_產能與收入!C23+C52</f>
        <v>115.50825</v>
      </c>
      <c r="D53" s="26" t="n">
        <f aca="false">D51-運營_產能與收入!D17-運營_產能與收入!D23+D52</f>
        <v>89.12475</v>
      </c>
      <c r="E53" s="26" t="n">
        <f aca="false">E51-運營_產能與收入!E17-運營_產能與收入!E23+E52</f>
        <v>99.902412</v>
      </c>
      <c r="F53" s="26" t="n">
        <f aca="false">F51-運營_產能與收入!F17-運營_產能與收入!F23+F52</f>
        <v>87.0282285</v>
      </c>
      <c r="G53" s="26" t="n">
        <f aca="false">G51-運營_產能與收入!G17-運營_產能與收入!G23+G52</f>
        <v>90.985956</v>
      </c>
      <c r="I53" s="11" t="s">
        <v>397</v>
      </c>
    </row>
    <row r="54" customFormat="false" ht="15" hidden="false" customHeight="false" outlineLevel="1" collapsed="false">
      <c r="A54" s="3" t="s">
        <v>398</v>
      </c>
      <c r="B54" s="7" t="s">
        <v>92</v>
      </c>
      <c r="C54" s="26" t="n">
        <f aca="false">IF(輸入與假設!$C$82=1,資產負債_既有債務!C30,35.551)+3.7</f>
        <v>34.838</v>
      </c>
      <c r="D54" s="26" t="n">
        <f aca="false">IF(輸入與假設!$C$82=1,資產負債_既有債務!D30,35.551)+3.7</f>
        <v>28.654</v>
      </c>
      <c r="E54" s="26" t="n">
        <f aca="false">IF(輸入與假設!$C$82=1,資產負債_既有債務!E30,35.551)+3.7</f>
        <v>24.238</v>
      </c>
      <c r="F54" s="26" t="n">
        <f aca="false">IF(輸入與假設!$C$82=1,資產負債_既有債務!F30,35.551)+3.7</f>
        <v>21.817</v>
      </c>
      <c r="G54" s="26" t="n">
        <f aca="false">IF(輸入與假設!$C$82=1,資產負債_既有債務!G30,35.551)+3.7</f>
        <v>18.596</v>
      </c>
      <c r="I54" s="11" t="s">
        <v>399</v>
      </c>
    </row>
    <row r="55" customFormat="false" ht="15" hidden="false" customHeight="false" outlineLevel="1" collapsed="false">
      <c r="A55" s="3" t="s">
        <v>400</v>
      </c>
      <c r="B55" s="7" t="s">
        <v>92</v>
      </c>
      <c r="C55" s="26" t="n">
        <f aca="false">輸入與假設!$C$83*C53</f>
        <v>115.50825</v>
      </c>
      <c r="D55" s="26" t="n">
        <f aca="false">輸入與假設!$C$83*D53</f>
        <v>89.12475</v>
      </c>
      <c r="E55" s="26" t="n">
        <f aca="false">輸入與假設!$C$83*E53</f>
        <v>99.902412</v>
      </c>
      <c r="F55" s="26" t="n">
        <f aca="false">輸入與假設!$C$83*F53</f>
        <v>87.0282285</v>
      </c>
      <c r="G55" s="26" t="n">
        <f aca="false">輸入與假設!$C$83*G53</f>
        <v>90.985956</v>
      </c>
    </row>
    <row r="56" customFormat="false" ht="15" hidden="false" customHeight="false" outlineLevel="1" collapsed="false">
      <c r="A56" s="3" t="s">
        <v>401</v>
      </c>
      <c r="B56" s="7" t="s">
        <v>92</v>
      </c>
      <c r="C56" s="26" t="n">
        <f aca="false">IF(輸入與假設!$C$81=1,輸入與假設!$C$80,0)</f>
        <v>10</v>
      </c>
      <c r="D56" s="26" t="n">
        <f aca="false">C68</f>
        <v>0</v>
      </c>
      <c r="E56" s="26" t="n">
        <f aca="false">D68</f>
        <v>0</v>
      </c>
      <c r="F56" s="26" t="n">
        <f aca="false">E68</f>
        <v>0</v>
      </c>
      <c r="G56" s="26" t="n">
        <f aca="false">F68</f>
        <v>0</v>
      </c>
    </row>
    <row r="57" customFormat="false" ht="15" hidden="false" customHeight="false" outlineLevel="1" collapsed="false">
      <c r="A57" s="3" t="s">
        <v>402</v>
      </c>
      <c r="B57" s="7" t="s">
        <v>92</v>
      </c>
      <c r="C57" s="26" t="n">
        <f aca="false">MAX(0,C55-(C54+C45),C56)</f>
        <v>80.67025</v>
      </c>
      <c r="D57" s="26" t="n">
        <f aca="false">MAX(0,D55-(D54+D45),D56)</f>
        <v>47.9162541843222</v>
      </c>
      <c r="E57" s="26" t="n">
        <f aca="false">MAX(0,E55-(E54+E45),E56)</f>
        <v>30.4330746797709</v>
      </c>
      <c r="F57" s="26" t="n">
        <f aca="false">MAX(0,F55-(F54+F45),F56)</f>
        <v>3.13931889313726</v>
      </c>
      <c r="G57" s="26" t="n">
        <f aca="false">MAX(0,G55-(G54+G45),G56)</f>
        <v>7.17872749999999</v>
      </c>
      <c r="I57" s="11" t="s">
        <v>403</v>
      </c>
    </row>
    <row r="58" customFormat="false" ht="15" hidden="false" customHeight="false" outlineLevel="1" collapsed="false">
      <c r="A58" s="2" t="s">
        <v>404</v>
      </c>
      <c r="B58" s="7" t="s">
        <v>92</v>
      </c>
      <c r="C58" s="30" t="n">
        <f aca="false">MIN(C57,C50/(1-C46))</f>
        <v>12.5544958156778</v>
      </c>
      <c r="D58" s="30" t="n">
        <f aca="false">MIN(D57,D50/(1-D46))</f>
        <v>32.6768415045513</v>
      </c>
      <c r="E58" s="30" t="n">
        <f aca="false">MIN(E57,E50/(1-E46))</f>
        <v>16.8405722866337</v>
      </c>
      <c r="F58" s="30" t="n">
        <f aca="false">MIN(F57,F50/(1-F46))</f>
        <v>3.13931889313726</v>
      </c>
      <c r="G58" s="30" t="n">
        <f aca="false">MIN(G57,G50/(1-G46))</f>
        <v>7.17872749999999</v>
      </c>
      <c r="I58" s="11" t="s">
        <v>405</v>
      </c>
    </row>
    <row r="59" customFormat="false" ht="15" hidden="false" customHeight="false" outlineLevel="1" collapsed="false">
      <c r="A59" s="3" t="s">
        <v>406</v>
      </c>
      <c r="B59" s="7" t="s">
        <v>92</v>
      </c>
      <c r="C59" s="26" t="n">
        <f aca="false">MAX(0,C50+C46*C58-C58)</f>
        <v>0</v>
      </c>
      <c r="D59" s="26" t="n">
        <f aca="false">MAX(0,D50+D46*D58-D58)</f>
        <v>0</v>
      </c>
      <c r="E59" s="26" t="n">
        <f aca="false">MAX(0,E50+E46*E58-E58)</f>
        <v>0</v>
      </c>
      <c r="F59" s="26" t="n">
        <f aca="false">MAX(0,F50+F46*F58-F58)</f>
        <v>8.63320381123975</v>
      </c>
      <c r="G59" s="26" t="n">
        <f aca="false">MAX(0,G50+G46*G58-G58)</f>
        <v>5.27295533089938</v>
      </c>
    </row>
    <row r="60" customFormat="false" ht="15" hidden="false" customHeight="false" outlineLevel="1" collapsed="false">
      <c r="A60" s="3" t="s">
        <v>407</v>
      </c>
      <c r="B60" s="7" t="s">
        <v>92</v>
      </c>
      <c r="C60" s="26" t="n">
        <f aca="false">IF(輸入與假設!$C$88&gt;=9,1E+099,輸入與假設!$C$88*輸入與假設!$C$86*0.5865*運營_產能與收入!C7)</f>
        <v>5.0104695</v>
      </c>
      <c r="D60" s="26" t="n">
        <f aca="false">IF(輸入與假設!$C$88&gt;=9,1E+099,輸入與假設!$C$88*輸入與假設!$C$86*0.5865*運營_產能與收入!D7)</f>
        <v>10.020939</v>
      </c>
      <c r="E60" s="26" t="n">
        <f aca="false">IF(輸入與假設!$C$88&gt;=9,1E+099,輸入與假設!$C$88*輸入與假設!$C$86*0.5865*運營_產能與收入!E7)</f>
        <v>10.020939</v>
      </c>
      <c r="F60" s="26" t="n">
        <f aca="false">IF(輸入與假設!$C$88&gt;=9,1E+099,輸入與假設!$C$88*輸入與假設!$C$86*0.5865*運營_產能與收入!F7)</f>
        <v>10.020939</v>
      </c>
      <c r="G60" s="26" t="n">
        <f aca="false">IF(輸入與假設!$C$88&gt;=9,1E+099,輸入與假設!$C$88*輸入與假設!$C$86*0.5865*運營_產能與收入!G7)</f>
        <v>10.020939</v>
      </c>
      <c r="I60" s="11" t="s">
        <v>408</v>
      </c>
    </row>
    <row r="61" customFormat="false" ht="15" hidden="false" customHeight="false" outlineLevel="1" collapsed="false">
      <c r="A61" s="2" t="s">
        <v>409</v>
      </c>
      <c r="B61" s="7" t="s">
        <v>92</v>
      </c>
      <c r="C61" s="30" t="n">
        <f aca="false">MIN(C59,C60)</f>
        <v>0</v>
      </c>
      <c r="D61" s="30" t="n">
        <f aca="false">MIN(D59,D60)</f>
        <v>0</v>
      </c>
      <c r="E61" s="30" t="n">
        <f aca="false">MIN(E59,E60)</f>
        <v>0</v>
      </c>
      <c r="F61" s="30" t="n">
        <f aca="false">MIN(F59,F60)</f>
        <v>8.63320381123975</v>
      </c>
      <c r="G61" s="30" t="n">
        <f aca="false">MIN(G59,G60)</f>
        <v>5.27295533089938</v>
      </c>
    </row>
    <row r="62" customFormat="false" ht="15" hidden="false" customHeight="false" outlineLevel="1" collapsed="false">
      <c r="A62" s="2" t="s">
        <v>410</v>
      </c>
      <c r="B62" s="7" t="s">
        <v>92</v>
      </c>
      <c r="C62" s="30" t="n">
        <f aca="false">(C59-C61)/(1-C48)</f>
        <v>0</v>
      </c>
      <c r="D62" s="30" t="n">
        <f aca="false">(D59-D61)/(1-D48)</f>
        <v>0</v>
      </c>
      <c r="E62" s="30" t="n">
        <f aca="false">(E59-E61)/(1-E48)</f>
        <v>0</v>
      </c>
      <c r="F62" s="30" t="n">
        <f aca="false">(F59-F61)/(1-F48)</f>
        <v>0</v>
      </c>
      <c r="G62" s="30" t="n">
        <f aca="false">(G59-G61)/(1-G48)</f>
        <v>0</v>
      </c>
    </row>
    <row r="63" customFormat="false" ht="15" hidden="false" customHeight="false" outlineLevel="1" collapsed="false">
      <c r="A63" s="3" t="s">
        <v>411</v>
      </c>
      <c r="B63" s="7" t="s">
        <v>92</v>
      </c>
      <c r="C63" s="26" t="n">
        <f aca="false">C46*(C45+C58)+C48*(C47+C62)</f>
        <v>0.564952311705499</v>
      </c>
      <c r="D63" s="26" t="n">
        <f aca="false">D46*(D45+D58)+D48*(D47+D62)</f>
        <v>4.07082035882062</v>
      </c>
      <c r="E63" s="26" t="n">
        <f aca="false">E46*(E45+E58)+E48*(E47+E62)</f>
        <v>5.58647186461765</v>
      </c>
      <c r="F63" s="26" t="n">
        <f aca="false">F46*(F45+F58)+F48*(F47+F62)</f>
        <v>5.869010565</v>
      </c>
      <c r="G63" s="26" t="n">
        <f aca="false">G46*(G45+G58)+G48*(G47+G62)</f>
        <v>6.51509604</v>
      </c>
    </row>
    <row r="64" customFormat="false" ht="15" hidden="false" customHeight="false" outlineLevel="1" collapsed="false">
      <c r="A64" s="3" t="s">
        <v>412</v>
      </c>
      <c r="B64" s="7" t="s">
        <v>223</v>
      </c>
      <c r="C64" s="43" t="n">
        <f aca="false">輸入與假設!$C$86*(1-輸入與假設!$C$87)</f>
        <v>76.887</v>
      </c>
      <c r="D64" s="43" t="n">
        <f aca="false">輸入與假設!$C$86*(1-輸入與假設!$C$87)</f>
        <v>76.887</v>
      </c>
      <c r="E64" s="43" t="n">
        <f aca="false">輸入與假設!$C$86*(1-輸入與假設!$C$87)</f>
        <v>76.887</v>
      </c>
      <c r="F64" s="43" t="n">
        <f aca="false">輸入與假設!$C$86*(1-輸入與假設!$C$87)</f>
        <v>76.887</v>
      </c>
      <c r="G64" s="43" t="n">
        <f aca="false">輸入與假設!$C$86*(1-輸入與假設!$C$87)</f>
        <v>76.887</v>
      </c>
    </row>
    <row r="65" customFormat="false" ht="15" hidden="false" customHeight="false" outlineLevel="1" collapsed="false">
      <c r="A65" s="3" t="s">
        <v>413</v>
      </c>
      <c r="B65" s="7" t="s">
        <v>246</v>
      </c>
      <c r="C65" s="44" t="n">
        <f aca="false">C61/C64</f>
        <v>0</v>
      </c>
      <c r="D65" s="44" t="n">
        <f aca="false">D61/D64</f>
        <v>0</v>
      </c>
      <c r="E65" s="44" t="n">
        <f aca="false">E61/E64</f>
        <v>0</v>
      </c>
      <c r="F65" s="44" t="n">
        <f aca="false">F61/F64</f>
        <v>0.112284310887923</v>
      </c>
      <c r="G65" s="44" t="n">
        <f aca="false">G61/G64</f>
        <v>0.0685805835953982</v>
      </c>
    </row>
    <row r="66" customFormat="false" ht="15" hidden="false" customHeight="false" outlineLevel="1" collapsed="false">
      <c r="A66" s="2" t="s">
        <v>414</v>
      </c>
      <c r="B66" s="7" t="s">
        <v>246</v>
      </c>
      <c r="C66" s="45" t="n">
        <f aca="false">C65</f>
        <v>0</v>
      </c>
      <c r="D66" s="45" t="n">
        <f aca="false">C66+D65</f>
        <v>0</v>
      </c>
      <c r="E66" s="45" t="n">
        <f aca="false">D66+E65</f>
        <v>0</v>
      </c>
      <c r="F66" s="45" t="n">
        <f aca="false">E66+F65</f>
        <v>0.112284310887923</v>
      </c>
      <c r="G66" s="45" t="n">
        <f aca="false">F66+G65</f>
        <v>0.180864894483321</v>
      </c>
    </row>
    <row r="67" customFormat="false" ht="15" hidden="false" customHeight="false" outlineLevel="1" collapsed="false">
      <c r="A67" s="3" t="s">
        <v>415</v>
      </c>
      <c r="B67" s="7" t="s">
        <v>92</v>
      </c>
      <c r="C67" s="26" t="n">
        <f aca="false">C45+C58</f>
        <v>12.5544958156778</v>
      </c>
      <c r="D67" s="26" t="n">
        <f aca="false">D45+D58</f>
        <v>45.2313373202291</v>
      </c>
      <c r="E67" s="26" t="n">
        <f aca="false">E45+E58</f>
        <v>62.0719096068628</v>
      </c>
      <c r="F67" s="26" t="n">
        <f aca="false">F45+F58</f>
        <v>65.2112285</v>
      </c>
      <c r="G67" s="26" t="n">
        <f aca="false">G45+G58</f>
        <v>72.389956</v>
      </c>
    </row>
    <row r="68" customFormat="false" ht="15" hidden="false" customHeight="false" outlineLevel="1" collapsed="false">
      <c r="A68" s="3" t="s">
        <v>416</v>
      </c>
      <c r="B68" s="7" t="s">
        <v>92</v>
      </c>
      <c r="C68" s="26" t="n">
        <f aca="false">C56-MIN(C56,C58)</f>
        <v>0</v>
      </c>
      <c r="D68" s="26" t="n">
        <f aca="false">D56-MIN(D56,D58)</f>
        <v>0</v>
      </c>
      <c r="E68" s="26" t="n">
        <f aca="false">E56-MIN(E56,E58)</f>
        <v>0</v>
      </c>
      <c r="F68" s="26" t="n">
        <f aca="false">F56-MIN(F56,F58)</f>
        <v>0</v>
      </c>
      <c r="G68" s="26" t="n">
        <f aca="false">G56-MIN(G56,G58)</f>
        <v>0</v>
      </c>
    </row>
    <row r="69" customFormat="false" ht="15" hidden="false" customHeight="false" outlineLevel="1" collapsed="false">
      <c r="A69" s="3" t="s">
        <v>417</v>
      </c>
      <c r="B69" s="7" t="s">
        <v>92</v>
      </c>
      <c r="C69" s="26" t="n">
        <f aca="false">C47+C62</f>
        <v>0</v>
      </c>
      <c r="D69" s="26" t="n">
        <f aca="false">D47+D62</f>
        <v>0</v>
      </c>
      <c r="E69" s="26" t="n">
        <f aca="false">E47+E62</f>
        <v>0</v>
      </c>
      <c r="F69" s="26" t="n">
        <f aca="false">F47+F62</f>
        <v>0</v>
      </c>
      <c r="G69" s="26" t="n">
        <f aca="false">G47+G62</f>
        <v>0</v>
      </c>
    </row>
    <row r="70" customFormat="false" ht="15" hidden="false" customHeight="false" outlineLevel="1" collapsed="false">
      <c r="A70" s="2" t="s">
        <v>418</v>
      </c>
      <c r="B70" s="7" t="s">
        <v>92</v>
      </c>
      <c r="C70" s="30" t="n">
        <f aca="false">C54+C67+C69</f>
        <v>47.3924958156778</v>
      </c>
      <c r="D70" s="30" t="n">
        <f aca="false">D54+D67+D69</f>
        <v>73.8853373202291</v>
      </c>
      <c r="E70" s="30" t="n">
        <f aca="false">E54+E67+E69</f>
        <v>86.3099096068628</v>
      </c>
      <c r="F70" s="30" t="n">
        <f aca="false">F54+F67+F69</f>
        <v>87.0282285</v>
      </c>
      <c r="G70" s="30" t="n">
        <f aca="false">G54+G67+G69</f>
        <v>90.985956</v>
      </c>
    </row>
    <row r="71" customFormat="false" ht="15" hidden="false" customHeight="false" outlineLevel="1" collapsed="false">
      <c r="A71" s="2" t="s">
        <v>419</v>
      </c>
      <c r="B71" s="7" t="s">
        <v>92</v>
      </c>
      <c r="C71" s="30" t="n">
        <f aca="false">C14+C30+C31+C32+C38-C44</f>
        <v>-9.98954350397226</v>
      </c>
      <c r="D71" s="30" t="n">
        <f aca="false">C71+D30+D31-D44</f>
        <v>-38.5955646497029</v>
      </c>
      <c r="E71" s="30" t="n">
        <f aca="false">D71+E30+E31-E44</f>
        <v>-49.849665071719</v>
      </c>
      <c r="F71" s="30" t="n">
        <f aca="false">E71+F30+F31-F44</f>
        <v>-55.753177211096</v>
      </c>
      <c r="G71" s="30" t="n">
        <f aca="false">F71+G30+G31-G44</f>
        <v>-61.6897640019954</v>
      </c>
      <c r="I71" s="11" t="s">
        <v>420</v>
      </c>
    </row>
    <row r="73" customFormat="false" ht="15" hidden="false" customHeight="false" outlineLevel="0" collapsed="true">
      <c r="A73" s="40" t="s">
        <v>421</v>
      </c>
      <c r="B73" s="9"/>
      <c r="C73" s="9"/>
      <c r="D73" s="9"/>
      <c r="E73" s="9"/>
      <c r="F73" s="9"/>
      <c r="G73" s="9"/>
      <c r="H73" s="9"/>
    </row>
    <row r="74" customFormat="false" ht="15" hidden="true" customHeight="false" outlineLevel="1" collapsed="false">
      <c r="A74" s="3" t="s">
        <v>422</v>
      </c>
      <c r="C74" s="46" t="n">
        <f aca="false">輸入與假設!$C$121</f>
        <v>3.127</v>
      </c>
    </row>
    <row r="75" customFormat="false" ht="15" hidden="true" customHeight="false" outlineLevel="1" collapsed="false">
      <c r="A75" s="3" t="s">
        <v>423</v>
      </c>
      <c r="C75" s="46" t="n">
        <f aca="false">SUM(C39:G39)</f>
        <v>-86.4831151421392</v>
      </c>
    </row>
    <row r="76" customFormat="false" ht="15" hidden="true" customHeight="false" outlineLevel="1" collapsed="false">
      <c r="A76" s="3" t="s">
        <v>424</v>
      </c>
      <c r="C76" s="46" t="n">
        <f aca="false">SUM(C31:G31)</f>
        <v>9.182</v>
      </c>
    </row>
    <row r="77" customFormat="false" ht="15" hidden="true" customHeight="false" outlineLevel="1" collapsed="false">
      <c r="A77" s="3" t="s">
        <v>425</v>
      </c>
      <c r="C77" s="46" t="n">
        <f aca="false">SUM(C32:G32)</f>
        <v>16.747</v>
      </c>
    </row>
    <row r="78" customFormat="false" ht="15" hidden="true" customHeight="false" outlineLevel="1" collapsed="false">
      <c r="A78" s="4" t="s">
        <v>426</v>
      </c>
      <c r="C78" s="46" t="n">
        <f aca="false">-SUM(C22:G22)</f>
        <v>-0.492</v>
      </c>
    </row>
    <row r="79" customFormat="false" ht="15" hidden="true" customHeight="false" outlineLevel="1" collapsed="false">
      <c r="A79" s="3" t="s">
        <v>427</v>
      </c>
      <c r="C79" s="46" t="n">
        <f aca="false">SUM(C38:G38)</f>
        <v>-0.502999999999997</v>
      </c>
    </row>
    <row r="80" customFormat="false" ht="15" hidden="true" customHeight="false" outlineLevel="1" collapsed="false">
      <c r="A80" s="3" t="s">
        <v>428</v>
      </c>
      <c r="C80" s="46" t="n">
        <f aca="false">SUM(C33:G33)+SUM(C34:G34)+SUM(C35:G35)</f>
        <v>86.2961151421391</v>
      </c>
    </row>
    <row r="81" customFormat="false" ht="15" hidden="true" customHeight="false" outlineLevel="1" collapsed="false">
      <c r="A81" s="3" t="s">
        <v>429</v>
      </c>
      <c r="C81" s="46" t="n">
        <f aca="false">-SUM(C21:G21)</f>
        <v>-25.874</v>
      </c>
    </row>
    <row r="82" customFormat="false" ht="15" hidden="true" customHeight="false" outlineLevel="1" collapsed="false">
      <c r="A82" s="2" t="s">
        <v>430</v>
      </c>
      <c r="C82" s="47" t="n">
        <f aca="false">SUM(C74:C81)</f>
        <v>1.99999999999998</v>
      </c>
    </row>
    <row r="83" customFormat="false" ht="15" hidden="true" customHeight="false" outlineLevel="1" collapsed="false">
      <c r="A83" s="3" t="s">
        <v>431</v>
      </c>
      <c r="C83" s="46" t="n">
        <f aca="false">G41</f>
        <v>2</v>
      </c>
    </row>
    <row r="84" customFormat="false" ht="15" hidden="true" customHeight="false" outlineLevel="1" collapsed="false">
      <c r="A84" s="2" t="s">
        <v>432</v>
      </c>
      <c r="C84" s="46" t="n">
        <f aca="false">C82-C83</f>
        <v>-2.57571741713036E-014</v>
      </c>
      <c r="I84" s="11" t="s">
        <v>433</v>
      </c>
    </row>
    <row r="86" customFormat="false" ht="15" hidden="false" customHeight="false" outlineLevel="0" collapsed="true">
      <c r="A86" s="8" t="s">
        <v>434</v>
      </c>
      <c r="B86" s="9"/>
      <c r="C86" s="9"/>
      <c r="D86" s="9"/>
      <c r="E86" s="9"/>
      <c r="F86" s="9"/>
      <c r="G86" s="9"/>
      <c r="H86" s="9"/>
    </row>
    <row r="87" customFormat="false" ht="15" hidden="true" customHeight="false" outlineLevel="1" collapsed="false">
      <c r="A87" s="4" t="s">
        <v>435</v>
      </c>
      <c r="C87" s="48" t="n">
        <f aca="false">運營_產能與收入!C27</f>
        <v>13.066</v>
      </c>
      <c r="I87" s="11" t="s">
        <v>436</v>
      </c>
    </row>
    <row r="88" customFormat="false" ht="15" hidden="true" customHeight="false" outlineLevel="1" collapsed="false">
      <c r="A88" s="4" t="s">
        <v>437</v>
      </c>
      <c r="C88" s="48" t="n">
        <f aca="false">C6</f>
        <v>36.975</v>
      </c>
      <c r="I88" s="11" t="s">
        <v>438</v>
      </c>
    </row>
    <row r="89" customFormat="false" ht="15" hidden="true" customHeight="false" outlineLevel="1" collapsed="false">
      <c r="A89" s="4" t="s">
        <v>439</v>
      </c>
      <c r="C89" s="48" t="n">
        <f aca="false">輸入與假設!$C$130+輸入與假設!C$95+C16</f>
        <v>3.54684859865945</v>
      </c>
      <c r="I89" s="7" t="s">
        <v>440</v>
      </c>
    </row>
    <row r="90" customFormat="false" ht="15" hidden="true" customHeight="false" outlineLevel="1" collapsed="false">
      <c r="A90" s="4" t="s">
        <v>441</v>
      </c>
      <c r="C90" s="48" t="n">
        <f aca="false">輸入與假設!$C$131+C12</f>
        <v>2.088</v>
      </c>
      <c r="I90" s="7" t="s">
        <v>442</v>
      </c>
    </row>
    <row r="91" customFormat="false" ht="15" hidden="true" customHeight="false" outlineLevel="1" collapsed="false">
      <c r="A91" s="4" t="s">
        <v>443</v>
      </c>
      <c r="C91" s="48" t="n">
        <f aca="false">C21</f>
        <v>9.632</v>
      </c>
      <c r="I91" s="7" t="s">
        <v>444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I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19.4" hidden="false" customHeight="false" outlineLevel="0" collapsed="false">
      <c r="A1" s="6" t="s">
        <v>445</v>
      </c>
    </row>
    <row r="2" customFormat="false" ht="15" hidden="false" customHeight="false" outlineLevel="0" collapsed="false">
      <c r="A2" s="11" t="s">
        <v>446</v>
      </c>
    </row>
    <row r="3" customFormat="false" ht="15" hidden="false" customHeight="false" outlineLevel="0" collapsed="false">
      <c r="A3" s="7" t="s">
        <v>447</v>
      </c>
    </row>
    <row r="5" customFormat="false" ht="15" hidden="false" customHeight="false" outlineLevel="0" collapsed="false">
      <c r="A5" s="15" t="s">
        <v>111</v>
      </c>
      <c r="B5" s="15" t="s">
        <v>74</v>
      </c>
      <c r="C5" s="21" t="s">
        <v>75</v>
      </c>
      <c r="D5" s="21" t="s">
        <v>76</v>
      </c>
      <c r="E5" s="21" t="s">
        <v>77</v>
      </c>
      <c r="F5" s="21" t="s">
        <v>78</v>
      </c>
      <c r="G5" s="21" t="s">
        <v>79</v>
      </c>
      <c r="I5" s="15" t="s">
        <v>323</v>
      </c>
    </row>
    <row r="6" customFormat="false" ht="15" hidden="false" customHeight="false" outlineLevel="0" collapsed="false">
      <c r="A6" s="3" t="s">
        <v>448</v>
      </c>
      <c r="B6" s="7"/>
      <c r="C6" s="26" t="str">
        <f aca="false">"2026-07-01~12-31"</f>
        <v>2026-07-01~12-31</v>
      </c>
      <c r="D6" s="26" t="str">
        <f aca="false">"2027 全年"</f>
        <v>2027 全年</v>
      </c>
      <c r="E6" s="26" t="str">
        <f aca="false">"2028 全年"</f>
        <v>2028 全年</v>
      </c>
      <c r="F6" s="26" t="str">
        <f aca="false">"2029 全年"</f>
        <v>2029 全年</v>
      </c>
      <c r="G6" s="26" t="str">
        <f aca="false">"2030 全年"</f>
        <v>2030 全年</v>
      </c>
      <c r="I6" s="7" t="s">
        <v>449</v>
      </c>
    </row>
    <row r="7" customFormat="false" ht="15" hidden="false" customHeight="false" outlineLevel="0" collapsed="false">
      <c r="A7" s="3" t="s">
        <v>113</v>
      </c>
      <c r="B7" s="7"/>
      <c r="C7" s="33" t="n">
        <f aca="false">輸入與假設!C$24</f>
        <v>0.5</v>
      </c>
      <c r="D7" s="33" t="n">
        <f aca="false">輸入與假設!D$24</f>
        <v>1</v>
      </c>
      <c r="E7" s="33" t="n">
        <f aca="false">輸入與假設!E$24</f>
        <v>1</v>
      </c>
      <c r="F7" s="33" t="n">
        <f aca="false">輸入與假設!F$24</f>
        <v>1</v>
      </c>
      <c r="G7" s="33" t="n">
        <f aca="false">輸入與假設!G$24</f>
        <v>1</v>
      </c>
      <c r="I7" s="11" t="s">
        <v>450</v>
      </c>
    </row>
    <row r="8" customFormat="false" ht="15" hidden="false" customHeight="false" outlineLevel="0" collapsed="false">
      <c r="A8" s="40" t="s">
        <v>451</v>
      </c>
      <c r="B8" s="9"/>
      <c r="C8" s="9"/>
      <c r="D8" s="9"/>
      <c r="E8" s="9"/>
      <c r="F8" s="9"/>
      <c r="G8" s="9"/>
      <c r="H8" s="9"/>
    </row>
    <row r="9" customFormat="false" ht="15" hidden="false" customHeight="false" outlineLevel="1" collapsed="false">
      <c r="A9" s="4" t="s">
        <v>452</v>
      </c>
      <c r="B9" s="7" t="s">
        <v>82</v>
      </c>
      <c r="C9" s="23" t="n">
        <f aca="false">MAX(0,輸入與假設!C$26)</f>
        <v>1850</v>
      </c>
      <c r="D9" s="23" t="n">
        <f aca="false">MAX(輸入與假設!D$26,C9)</f>
        <v>3100</v>
      </c>
      <c r="E9" s="23" t="n">
        <f aca="false">MAX(輸入與假設!E$26,D9)</f>
        <v>4000</v>
      </c>
      <c r="F9" s="23" t="n">
        <f aca="false">MAX(輸入與假設!F$26,E9)</f>
        <v>4800</v>
      </c>
      <c r="G9" s="23" t="n">
        <f aca="false">MAX(輸入與假設!G$26,F9)</f>
        <v>5600</v>
      </c>
      <c r="I9" s="11" t="s">
        <v>453</v>
      </c>
    </row>
    <row r="10" customFormat="false" ht="15" hidden="false" customHeight="false" outlineLevel="1" collapsed="false">
      <c r="A10" s="4" t="s">
        <v>454</v>
      </c>
      <c r="B10" s="7" t="s">
        <v>82</v>
      </c>
      <c r="C10" s="23" t="n">
        <f aca="false">MIN(MAX(0,輸入與假設!C$27),C9)</f>
        <v>1700</v>
      </c>
      <c r="D10" s="23" t="n">
        <f aca="false">MIN(MAX(0,輸入與假設!D$27),D9)</f>
        <v>2900</v>
      </c>
      <c r="E10" s="23" t="n">
        <f aca="false">MIN(MAX(0,輸入與假設!E$27),E9)</f>
        <v>3739</v>
      </c>
      <c r="F10" s="23" t="n">
        <f aca="false">MIN(MAX(0,輸入與假設!F$27),F9)</f>
        <v>4495</v>
      </c>
      <c r="G10" s="23" t="n">
        <f aca="false">MIN(MAX(0,輸入與假設!G$27),G9)</f>
        <v>5250</v>
      </c>
      <c r="I10" s="11" t="s">
        <v>455</v>
      </c>
    </row>
    <row r="11" customFormat="false" ht="15" hidden="false" customHeight="false" outlineLevel="1" collapsed="false">
      <c r="A11" s="3" t="s">
        <v>456</v>
      </c>
      <c r="B11" s="7" t="s">
        <v>82</v>
      </c>
      <c r="C11" s="23" t="n">
        <f aca="false">輸入與假設!$C$20</f>
        <v>1350</v>
      </c>
      <c r="D11" s="23" t="n">
        <f aca="false">C10</f>
        <v>1700</v>
      </c>
      <c r="E11" s="23" t="n">
        <f aca="false">D10</f>
        <v>2900</v>
      </c>
      <c r="F11" s="23" t="n">
        <f aca="false">E10</f>
        <v>3739</v>
      </c>
      <c r="G11" s="23" t="n">
        <f aca="false">F10</f>
        <v>4495</v>
      </c>
      <c r="I11" s="11" t="s">
        <v>457</v>
      </c>
    </row>
    <row r="12" customFormat="false" ht="15" hidden="false" customHeight="false" outlineLevel="1" collapsed="false">
      <c r="A12" s="3" t="s">
        <v>458</v>
      </c>
      <c r="B12" s="7" t="s">
        <v>82</v>
      </c>
      <c r="C12" s="23" t="n">
        <f aca="false">IF(輸入與假設!$C$21=1,(C11+C10)/2,C10)</f>
        <v>1525</v>
      </c>
      <c r="D12" s="23" t="n">
        <f aca="false">IF(輸入與假設!$C$21=1,(D11+D10)/2,D10)</f>
        <v>2300</v>
      </c>
      <c r="E12" s="23" t="n">
        <f aca="false">IF(輸入與假設!$C$21=1,(E11+E10)/2,E10)</f>
        <v>3319.5</v>
      </c>
      <c r="F12" s="23" t="n">
        <f aca="false">IF(輸入與假設!$C$21=1,(F11+F10)/2,F10)</f>
        <v>4117</v>
      </c>
      <c r="G12" s="23" t="n">
        <f aca="false">IF(輸入與假設!$C$21=1,(G11+G10)/2,G10)</f>
        <v>4872.5</v>
      </c>
      <c r="I12" s="11" t="s">
        <v>459</v>
      </c>
    </row>
    <row r="13" customFormat="false" ht="15" hidden="false" customHeight="false" outlineLevel="1" collapsed="false">
      <c r="A13" s="3" t="s">
        <v>121</v>
      </c>
      <c r="B13" s="7" t="s">
        <v>89</v>
      </c>
      <c r="C13" s="41" t="n">
        <f aca="false">輸入與假設!C$28</f>
        <v>0.95</v>
      </c>
      <c r="D13" s="41" t="n">
        <f aca="false">輸入與假設!D$28</f>
        <v>0.95</v>
      </c>
      <c r="E13" s="41" t="n">
        <f aca="false">輸入與假設!E$28</f>
        <v>0.94</v>
      </c>
      <c r="F13" s="41" t="n">
        <f aca="false">輸入與假設!F$28</f>
        <v>0.93</v>
      </c>
      <c r="G13" s="41" t="n">
        <f aca="false">輸入與假設!G$28</f>
        <v>0.92</v>
      </c>
    </row>
    <row r="14" customFormat="false" ht="15" hidden="false" customHeight="false" outlineLevel="1" collapsed="false">
      <c r="A14" s="3" t="s">
        <v>123</v>
      </c>
      <c r="B14" s="7" t="s">
        <v>124</v>
      </c>
      <c r="C14" s="49" t="n">
        <f aca="false">輸入與假設!C$29</f>
        <v>0.0112</v>
      </c>
      <c r="D14" s="49" t="n">
        <f aca="false">輸入與假設!D$29</f>
        <v>0.0115</v>
      </c>
      <c r="E14" s="49" t="n">
        <f aca="false">輸入與假設!E$29</f>
        <v>0.0115</v>
      </c>
      <c r="F14" s="49" t="n">
        <f aca="false">輸入與假設!F$29</f>
        <v>0.011</v>
      </c>
      <c r="G14" s="49" t="n">
        <f aca="false">輸入與假設!G$29</f>
        <v>0.0105</v>
      </c>
    </row>
    <row r="15" customFormat="false" ht="15" hidden="false" customHeight="false" outlineLevel="1" collapsed="false">
      <c r="A15" s="3" t="s">
        <v>460</v>
      </c>
      <c r="B15" s="7" t="s">
        <v>92</v>
      </c>
      <c r="C15" s="30" t="n">
        <f aca="false">C12*輸入與假設!C$29*輸入與假設!$C$22*輸入與假設!C$28*C7</f>
        <v>8.113</v>
      </c>
      <c r="D15" s="30" t="n">
        <f aca="false">D12*輸入與假設!D$29*輸入與假設!$C$22*輸入與假設!D$28*D7</f>
        <v>25.1275</v>
      </c>
      <c r="E15" s="30" t="n">
        <f aca="false">E12*輸入與假設!E$29*輸入與假設!$C$22*輸入與假設!E$28*E7</f>
        <v>35.883795</v>
      </c>
      <c r="F15" s="30" t="n">
        <f aca="false">F12*輸入與假設!F$29*輸入與假設!$C$22*輸入與假設!F$28*F7</f>
        <v>42.11691</v>
      </c>
      <c r="G15" s="30" t="n">
        <f aca="false">G12*輸入與假設!G$29*輸入與假設!$C$22*輸入與假設!G$28*G7</f>
        <v>47.06835</v>
      </c>
      <c r="I15" s="11" t="s">
        <v>461</v>
      </c>
    </row>
    <row r="16" customFormat="false" ht="15" hidden="false" customHeight="false" outlineLevel="0" collapsed="false">
      <c r="A16" s="40" t="s">
        <v>462</v>
      </c>
      <c r="B16" s="9"/>
      <c r="C16" s="9"/>
      <c r="D16" s="9"/>
      <c r="E16" s="9"/>
      <c r="F16" s="9"/>
      <c r="G16" s="9"/>
      <c r="H16" s="9"/>
    </row>
    <row r="17" customFormat="false" ht="15" hidden="false" customHeight="false" outlineLevel="1" collapsed="false">
      <c r="A17" s="3" t="s">
        <v>463</v>
      </c>
      <c r="B17" s="7" t="s">
        <v>92</v>
      </c>
      <c r="C17" s="26" t="n">
        <f aca="false">(輸入與假設!$C$15+輸入與假設!$C$16)*(輸入與假設!C$25/輸入與假設!$C$18)*輸入與假設!$C$17</f>
        <v>13.19175</v>
      </c>
      <c r="D17" s="26" t="n">
        <f aca="false">(輸入與假設!$C$15+輸入與假設!$C$16)*(輸入與假設!D$25/輸入與假設!$C$18)*輸入與假設!$C$17</f>
        <v>26.3835</v>
      </c>
      <c r="E17" s="26" t="n">
        <f aca="false">(輸入與假設!$C$15+輸入與假設!$C$16)*(輸入與假設!E$25/輸入與假設!$C$18)*輸入與假設!$C$17</f>
        <v>25.74</v>
      </c>
      <c r="F17" s="26" t="n">
        <f aca="false">(輸入與假設!$C$15+輸入與假設!$C$16)*(輸入與假設!F$25/輸入與假設!$C$18)*輸入與假設!$C$17</f>
        <v>25.0965</v>
      </c>
      <c r="G17" s="26" t="n">
        <f aca="false">(輸入與假設!$C$15+輸入與假設!$C$16)*(輸入與假設!G$25/輸入與假設!$C$18)*輸入與假設!$C$17</f>
        <v>17.69625</v>
      </c>
      <c r="I17" s="11" t="s">
        <v>464</v>
      </c>
    </row>
    <row r="18" customFormat="false" ht="15" hidden="false" customHeight="false" outlineLevel="0" collapsed="false">
      <c r="A18" s="40" t="s">
        <v>465</v>
      </c>
      <c r="B18" s="9"/>
      <c r="C18" s="9"/>
      <c r="D18" s="9"/>
      <c r="E18" s="9"/>
      <c r="F18" s="9"/>
      <c r="G18" s="9"/>
      <c r="H18" s="9"/>
    </row>
    <row r="19" customFormat="false" ht="15" hidden="false" customHeight="false" outlineLevel="1" collapsed="false">
      <c r="A19" s="3" t="s">
        <v>466</v>
      </c>
      <c r="B19" s="7" t="s">
        <v>92</v>
      </c>
      <c r="C19" s="30" t="n">
        <f aca="false">MAX(0,C17-C15)</f>
        <v>5.07875</v>
      </c>
      <c r="D19" s="30" t="n">
        <f aca="false">MAX(0,D17-D15)</f>
        <v>1.256</v>
      </c>
      <c r="E19" s="30" t="n">
        <f aca="false">MAX(0,E17-E15)</f>
        <v>0</v>
      </c>
      <c r="F19" s="30" t="n">
        <f aca="false">MAX(0,F17-F15)</f>
        <v>0</v>
      </c>
      <c r="G19" s="30" t="n">
        <f aca="false">MAX(0,G17-G15)</f>
        <v>0</v>
      </c>
      <c r="I19" s="11" t="s">
        <v>467</v>
      </c>
    </row>
    <row r="20" customFormat="false" ht="15" hidden="false" customHeight="false" outlineLevel="1" collapsed="false">
      <c r="A20" s="3" t="s">
        <v>468</v>
      </c>
      <c r="B20" s="7" t="s">
        <v>92</v>
      </c>
      <c r="C20" s="26" t="n">
        <f aca="false">C17-C19</f>
        <v>8.113</v>
      </c>
      <c r="D20" s="26" t="n">
        <f aca="false">D17-D19</f>
        <v>25.1275</v>
      </c>
      <c r="E20" s="26" t="n">
        <f aca="false">E17-E19</f>
        <v>25.74</v>
      </c>
      <c r="F20" s="26" t="n">
        <f aca="false">F17-F19</f>
        <v>25.0965</v>
      </c>
      <c r="G20" s="26" t="n">
        <f aca="false">G17-G19</f>
        <v>17.69625</v>
      </c>
      <c r="I20" s="11" t="s">
        <v>469</v>
      </c>
    </row>
    <row r="21" customFormat="false" ht="15" hidden="false" customHeight="false" outlineLevel="1" collapsed="false">
      <c r="A21" s="3" t="s">
        <v>470</v>
      </c>
      <c r="B21" s="7" t="s">
        <v>92</v>
      </c>
      <c r="C21" s="26" t="n">
        <f aca="false">MAX(0,C15-C17)</f>
        <v>0</v>
      </c>
      <c r="D21" s="26" t="n">
        <f aca="false">MAX(0,D15-D17)</f>
        <v>0</v>
      </c>
      <c r="E21" s="26" t="n">
        <f aca="false">MAX(0,E15-E17)</f>
        <v>10.143795</v>
      </c>
      <c r="F21" s="26" t="n">
        <f aca="false">MAX(0,F15-F17)</f>
        <v>17.02041</v>
      </c>
      <c r="G21" s="26" t="n">
        <f aca="false">MAX(0,G15-G17)</f>
        <v>29.3721</v>
      </c>
      <c r="I21" s="11" t="s">
        <v>471</v>
      </c>
    </row>
    <row r="22" customFormat="false" ht="15" hidden="false" customHeight="false" outlineLevel="1" collapsed="false">
      <c r="A22" s="3" t="s">
        <v>126</v>
      </c>
      <c r="B22" s="7" t="s">
        <v>89</v>
      </c>
      <c r="C22" s="41" t="n">
        <f aca="false">輸入與假設!C$30</f>
        <v>1</v>
      </c>
      <c r="D22" s="41" t="n">
        <f aca="false">輸入與假設!D$30</f>
        <v>1</v>
      </c>
      <c r="E22" s="41" t="n">
        <f aca="false">輸入與假設!E$30</f>
        <v>0.9</v>
      </c>
      <c r="F22" s="41" t="n">
        <f aca="false">輸入與假設!F$30</f>
        <v>0.85</v>
      </c>
      <c r="G22" s="41" t="n">
        <f aca="false">輸入與假設!G$30</f>
        <v>0.8</v>
      </c>
    </row>
    <row r="23" customFormat="false" ht="15" hidden="false" customHeight="false" outlineLevel="1" collapsed="false">
      <c r="A23" s="3" t="s">
        <v>472</v>
      </c>
      <c r="B23" s="7" t="s">
        <v>92</v>
      </c>
      <c r="C23" s="26" t="n">
        <f aca="false">C21*輸入與假設!C$30</f>
        <v>0</v>
      </c>
      <c r="D23" s="26" t="n">
        <f aca="false">D21*輸入與假設!D$30</f>
        <v>0</v>
      </c>
      <c r="E23" s="26" t="n">
        <f aca="false">E21*輸入與假設!E$30</f>
        <v>9.1294155</v>
      </c>
      <c r="F23" s="26" t="n">
        <f aca="false">F21*輸入與假設!F$30</f>
        <v>14.4673485</v>
      </c>
      <c r="G23" s="26" t="n">
        <f aca="false">G21*輸入與假設!G$30</f>
        <v>23.49768</v>
      </c>
      <c r="I23" s="11" t="s">
        <v>473</v>
      </c>
    </row>
    <row r="24" customFormat="false" ht="15" hidden="false" customHeight="false" outlineLevel="1" collapsed="false">
      <c r="A24" s="3" t="s">
        <v>474</v>
      </c>
      <c r="B24" s="7" t="s">
        <v>92</v>
      </c>
      <c r="C24" s="26" t="n">
        <f aca="false">MAX(0,C15-C20-C23)</f>
        <v>0</v>
      </c>
      <c r="D24" s="26" t="n">
        <f aca="false">MAX(0,D15-D20-D23)</f>
        <v>0</v>
      </c>
      <c r="E24" s="26" t="n">
        <f aca="false">MAX(0,E15-E20-E23)</f>
        <v>1.0143795</v>
      </c>
      <c r="F24" s="26" t="n">
        <f aca="false">MAX(0,F15-F20-F23)</f>
        <v>2.5530615</v>
      </c>
      <c r="G24" s="26" t="n">
        <f aca="false">MAX(0,G15-G20-G23)</f>
        <v>5.87442</v>
      </c>
      <c r="I24" s="11" t="s">
        <v>475</v>
      </c>
    </row>
    <row r="25" customFormat="false" ht="15" hidden="false" customHeight="false" outlineLevel="1" collapsed="false">
      <c r="A25" s="3" t="s">
        <v>476</v>
      </c>
      <c r="B25" s="7" t="s">
        <v>92</v>
      </c>
      <c r="C25" s="30" t="n">
        <f aca="false">C20+C23</f>
        <v>8.113</v>
      </c>
      <c r="D25" s="30" t="n">
        <f aca="false">D20+D23</f>
        <v>25.1275</v>
      </c>
      <c r="E25" s="30" t="n">
        <f aca="false">E20+E23</f>
        <v>34.8694155</v>
      </c>
      <c r="F25" s="30" t="n">
        <f aca="false">F20+F23</f>
        <v>39.5638485</v>
      </c>
      <c r="G25" s="30" t="n">
        <f aca="false">G20+G23</f>
        <v>41.19393</v>
      </c>
      <c r="I25" s="11" t="s">
        <v>477</v>
      </c>
    </row>
    <row r="26" customFormat="false" ht="15" hidden="false" customHeight="false" outlineLevel="1" collapsed="false">
      <c r="A26" s="4" t="s">
        <v>478</v>
      </c>
      <c r="B26" s="7" t="s">
        <v>92</v>
      </c>
      <c r="C26" s="33" t="n">
        <f aca="false">輸入與假設!$C$132</f>
        <v>4.653</v>
      </c>
      <c r="D26" s="33" t="n">
        <f aca="false">0</f>
        <v>0</v>
      </c>
      <c r="E26" s="33" t="n">
        <f aca="false">0</f>
        <v>0</v>
      </c>
      <c r="F26" s="33" t="n">
        <f aca="false">0</f>
        <v>0</v>
      </c>
      <c r="G26" s="33" t="n">
        <f aca="false">0</f>
        <v>0</v>
      </c>
      <c r="I26" s="7" t="s">
        <v>479</v>
      </c>
    </row>
    <row r="27" customFormat="false" ht="15" hidden="false" customHeight="false" outlineLevel="1" collapsed="false">
      <c r="A27" s="4" t="s">
        <v>480</v>
      </c>
      <c r="B27" s="7" t="s">
        <v>92</v>
      </c>
      <c r="C27" s="50" t="n">
        <f aca="false">C26+C25+輸入與假設!C$33</f>
        <v>13.066</v>
      </c>
      <c r="D27" s="30" t="n">
        <f aca="false">D26+D25+輸入與假設!D$33</f>
        <v>26.1275</v>
      </c>
      <c r="E27" s="30" t="n">
        <f aca="false">E26+E25+輸入與假設!E$33</f>
        <v>36.6694155</v>
      </c>
      <c r="F27" s="30" t="n">
        <f aca="false">F26+F25+輸入與假設!F$33</f>
        <v>42.3638485</v>
      </c>
      <c r="G27" s="30" t="n">
        <f aca="false">G26+G25+輸入與假設!G$33</f>
        <v>44.99393</v>
      </c>
      <c r="I27" s="7" t="s">
        <v>481</v>
      </c>
    </row>
    <row r="28" customFormat="false" ht="15" hidden="false" customHeight="false" outlineLevel="0" collapsed="false">
      <c r="A28" s="40" t="s">
        <v>482</v>
      </c>
      <c r="B28" s="9"/>
      <c r="C28" s="9"/>
      <c r="D28" s="9"/>
      <c r="E28" s="9"/>
      <c r="F28" s="9"/>
      <c r="G28" s="9"/>
      <c r="H28" s="9"/>
    </row>
    <row r="29" customFormat="false" ht="15" hidden="false" customHeight="false" outlineLevel="1" collapsed="false">
      <c r="A29" s="3" t="s">
        <v>128</v>
      </c>
      <c r="B29" s="7" t="s">
        <v>89</v>
      </c>
      <c r="C29" s="41" t="n">
        <f aca="false">輸入與假設!C$31</f>
        <v>0.005</v>
      </c>
      <c r="D29" s="41" t="n">
        <f aca="false">輸入與假設!D$31</f>
        <v>0.01</v>
      </c>
      <c r="E29" s="41" t="n">
        <f aca="false">輸入與假設!E$31</f>
        <v>0.015</v>
      </c>
      <c r="F29" s="41" t="n">
        <f aca="false">輸入與假設!F$31</f>
        <v>0.02</v>
      </c>
      <c r="G29" s="41" t="n">
        <f aca="false">輸入與假設!G$31</f>
        <v>0.025</v>
      </c>
    </row>
    <row r="30" customFormat="false" ht="15" hidden="false" customHeight="false" outlineLevel="1" collapsed="false">
      <c r="A30" s="3" t="s">
        <v>130</v>
      </c>
      <c r="B30" s="7" t="s">
        <v>89</v>
      </c>
      <c r="C30" s="41" t="n">
        <f aca="false">輸入與假設!C$32</f>
        <v>0.5</v>
      </c>
      <c r="D30" s="41" t="n">
        <f aca="false">輸入與假設!D$32</f>
        <v>0.5</v>
      </c>
      <c r="E30" s="41" t="n">
        <f aca="false">輸入與假設!E$32</f>
        <v>0.5</v>
      </c>
      <c r="F30" s="41" t="n">
        <f aca="false">輸入與假設!F$32</f>
        <v>0.5</v>
      </c>
      <c r="G30" s="41" t="n">
        <f aca="false">輸入與假設!G$32</f>
        <v>0.5</v>
      </c>
    </row>
    <row r="31" customFormat="false" ht="15" hidden="false" customHeight="false" outlineLevel="1" collapsed="false">
      <c r="A31" s="3" t="s">
        <v>483</v>
      </c>
      <c r="B31" s="7" t="s">
        <v>92</v>
      </c>
      <c r="C31" s="26" t="n">
        <f aca="false">C20*輸入與假設!C$31*(1-輸入與假設!C$32)</f>
        <v>0.0202825</v>
      </c>
      <c r="D31" s="26" t="n">
        <f aca="false">D20*輸入與假設!D$31*(1-輸入與假設!D$32)</f>
        <v>0.1256375</v>
      </c>
      <c r="E31" s="26" t="n">
        <f aca="false">E20*輸入與假設!E$31*(1-輸入與假設!E$32)</f>
        <v>0.19305</v>
      </c>
      <c r="F31" s="26" t="n">
        <f aca="false">F20*輸入與假設!F$31*(1-輸入與假設!F$32)</f>
        <v>0.250965</v>
      </c>
      <c r="G31" s="26" t="n">
        <f aca="false">G20*輸入與假設!G$31*(1-輸入與假設!G$32)</f>
        <v>0.221203125</v>
      </c>
      <c r="I31" s="11" t="s">
        <v>484</v>
      </c>
    </row>
    <row r="32" customFormat="false" ht="15" hidden="false" customHeight="false" outlineLevel="1" collapsed="false">
      <c r="A32" s="3" t="s">
        <v>485</v>
      </c>
      <c r="B32" s="7" t="s">
        <v>92</v>
      </c>
      <c r="C32" s="26" t="n">
        <f aca="false">C20-C31</f>
        <v>8.0927175</v>
      </c>
      <c r="D32" s="26" t="n">
        <f aca="false">D20-D31</f>
        <v>25.0018625</v>
      </c>
      <c r="E32" s="26" t="n">
        <f aca="false">E20-E31</f>
        <v>25.54695</v>
      </c>
      <c r="F32" s="26" t="n">
        <f aca="false">F20-F31</f>
        <v>24.845535</v>
      </c>
      <c r="G32" s="26" t="n">
        <f aca="false">G20-G31</f>
        <v>17.475046875</v>
      </c>
    </row>
    <row r="33" customFormat="false" ht="15" hidden="false" customHeight="false" outlineLevel="1" collapsed="false">
      <c r="A33" s="4" t="s">
        <v>486</v>
      </c>
      <c r="B33" s="7" t="s">
        <v>89</v>
      </c>
      <c r="C33" s="41" t="n">
        <f aca="false">輸入與假設!C$39</f>
        <v>0.59</v>
      </c>
      <c r="D33" s="41" t="n">
        <f aca="false">輸入與假設!D$39</f>
        <v>0.605</v>
      </c>
      <c r="E33" s="41" t="n">
        <f aca="false">輸入與假設!E$39</f>
        <v>0.62</v>
      </c>
      <c r="F33" s="41" t="n">
        <f aca="false">輸入與假設!F$39</f>
        <v>0.635</v>
      </c>
      <c r="G33" s="41" t="n">
        <f aca="false">輸入與假設!G$39</f>
        <v>0.65</v>
      </c>
      <c r="I33" s="11" t="s">
        <v>487</v>
      </c>
    </row>
    <row r="34" customFormat="false" ht="15" hidden="false" customHeight="false" outlineLevel="1" collapsed="false">
      <c r="A34" s="3" t="s">
        <v>488</v>
      </c>
      <c r="B34" s="7" t="s">
        <v>92</v>
      </c>
      <c r="C34" s="26" t="n">
        <f aca="false">C25+輸入與假設!C$33</f>
        <v>8.413</v>
      </c>
      <c r="D34" s="26" t="n">
        <f aca="false">D25+輸入與假設!D$33</f>
        <v>26.1275</v>
      </c>
      <c r="E34" s="26" t="n">
        <f aca="false">E25+輸入與假設!E$33</f>
        <v>36.6694155</v>
      </c>
      <c r="F34" s="26" t="n">
        <f aca="false">F25+輸入與假設!F$33</f>
        <v>42.3638485</v>
      </c>
      <c r="G34" s="26" t="n">
        <f aca="false">G25+輸入與假設!G$33</f>
        <v>44.99393</v>
      </c>
    </row>
    <row r="35" customFormat="false" ht="15" hidden="false" customHeight="false" outlineLevel="1" collapsed="false">
      <c r="A35" s="4" t="s">
        <v>489</v>
      </c>
      <c r="B35" s="7" t="s">
        <v>89</v>
      </c>
      <c r="C35" s="51" t="n">
        <f aca="false">輸入與假設!C$39+各期收支!C12/MAX(0.01,C34)</f>
        <v>0.749277308926661</v>
      </c>
      <c r="D35" s="51" t="n">
        <f aca="false">輸入與假設!D$39+各期收支!D12/MAX(0.01,D34)</f>
        <v>0.755760692756674</v>
      </c>
      <c r="E35" s="51" t="n">
        <f aca="false">輸入與假設!E$39+各期收支!E12/MAX(0.01,E34)</f>
        <v>0.748863653109215</v>
      </c>
      <c r="F35" s="51" t="n">
        <f aca="false">輸入與假設!F$39+各期收支!F12/MAX(0.01,F34)</f>
        <v>0.755928578998199</v>
      </c>
      <c r="G35" s="51" t="n">
        <f aca="false">輸入與假設!G$39+各期收支!G12/MAX(0.01,G34)</f>
        <v>0.765360860043532</v>
      </c>
      <c r="I35" s="11" t="s">
        <v>490</v>
      </c>
    </row>
    <row r="36" customFormat="false" ht="15" hidden="false" customHeight="false" outlineLevel="1" collapsed="false">
      <c r="A36" s="4" t="s">
        <v>491</v>
      </c>
      <c r="B36" s="7" t="s">
        <v>92</v>
      </c>
      <c r="C36" s="30" t="n">
        <f aca="false">C32*C35</f>
        <v>6.0636895903037</v>
      </c>
      <c r="D36" s="30" t="n">
        <f aca="false">D32*D35</f>
        <v>18.8954249232071</v>
      </c>
      <c r="E36" s="30" t="n">
        <f aca="false">E32*E35</f>
        <v>19.1311823027985</v>
      </c>
      <c r="F36" s="30" t="n">
        <f aca="false">F32*F35</f>
        <v>18.781449967</v>
      </c>
      <c r="G36" s="30" t="n">
        <f aca="false">G32*G35</f>
        <v>13.374716905551</v>
      </c>
      <c r="I36" s="7" t="s">
        <v>492</v>
      </c>
    </row>
    <row r="37" customFormat="false" ht="15" hidden="false" customHeight="false" outlineLevel="1" collapsed="false">
      <c r="A37" s="3" t="s">
        <v>493</v>
      </c>
      <c r="B37" s="7" t="s">
        <v>92</v>
      </c>
      <c r="C37" s="26" t="n">
        <f aca="false">C23*(1-輸入與假設!C$31*(1-輸入與假設!C$32))*C35</f>
        <v>0</v>
      </c>
      <c r="D37" s="26" t="n">
        <f aca="false">D23*(1-輸入與假設!D$31*(1-輸入與假設!D$32))*D35</f>
        <v>0</v>
      </c>
      <c r="E37" s="26" t="n">
        <f aca="false">E23*(1-輸入與假設!E$31*(1-輸入與假設!E$32))*E35</f>
        <v>6.78541228626628</v>
      </c>
      <c r="F37" s="26" t="n">
        <f aca="false">F23*(1-輸入與假設!F$31*(1-輸入與假設!F$32))*F35</f>
        <v>10.826919371542</v>
      </c>
      <c r="G37" s="26" t="n">
        <f aca="false">G23*(1-輸入與假設!G$31*(1-輸入與假設!G$32))*G35</f>
        <v>17.7594020166549</v>
      </c>
      <c r="I37" s="11" t="s">
        <v>494</v>
      </c>
    </row>
    <row r="38" customFormat="false" ht="15" hidden="false" customHeight="false" outlineLevel="1" collapsed="false"/>
    <row r="39" customFormat="false" ht="15" hidden="false" customHeight="false" outlineLevel="1" collapsed="false">
      <c r="A39" s="2" t="s">
        <v>495</v>
      </c>
    </row>
    <row r="40" customFormat="false" ht="15" hidden="false" customHeight="false" outlineLevel="1" collapsed="false">
      <c r="A40" s="11" t="s">
        <v>496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K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8" min="7" style="0" width="12"/>
    <col collapsed="false" customWidth="true" hidden="false" outlineLevel="0" max="9" min="9" style="0" width="18"/>
    <col collapsed="false" customWidth="true" hidden="false" outlineLevel="0" max="10" min="10" style="0" width="26"/>
    <col collapsed="false" customWidth="true" hidden="false" outlineLevel="0" max="11" min="11" style="0" width="60"/>
  </cols>
  <sheetData>
    <row r="1" customFormat="false" ht="19.4" hidden="false" customHeight="false" outlineLevel="0" collapsed="false">
      <c r="A1" s="6" t="s">
        <v>497</v>
      </c>
    </row>
    <row r="2" customFormat="false" ht="15" hidden="false" customHeight="false" outlineLevel="0" collapsed="false">
      <c r="A2" s="7" t="s">
        <v>498</v>
      </c>
    </row>
    <row r="4" customFormat="false" ht="15" hidden="false" customHeight="false" outlineLevel="0" collapsed="false">
      <c r="A4" s="15" t="s">
        <v>499</v>
      </c>
      <c r="B4" s="15" t="s">
        <v>500</v>
      </c>
      <c r="C4" s="15" t="s">
        <v>501</v>
      </c>
      <c r="D4" s="15" t="s">
        <v>502</v>
      </c>
      <c r="E4" s="15" t="s">
        <v>503</v>
      </c>
      <c r="F4" s="15" t="s">
        <v>504</v>
      </c>
      <c r="G4" s="15" t="s">
        <v>505</v>
      </c>
      <c r="H4" s="15" t="s">
        <v>506</v>
      </c>
      <c r="I4" s="15" t="s">
        <v>507</v>
      </c>
      <c r="J4" s="14" t="s">
        <v>508</v>
      </c>
      <c r="K4" s="15" t="s">
        <v>509</v>
      </c>
    </row>
    <row r="5" customFormat="false" ht="15" hidden="false" customHeight="false" outlineLevel="0" collapsed="false">
      <c r="A5" s="4" t="s">
        <v>510</v>
      </c>
      <c r="B5" s="7" t="s">
        <v>511</v>
      </c>
      <c r="C5" s="16" t="n">
        <v>526</v>
      </c>
      <c r="D5" s="16" t="n">
        <v>133</v>
      </c>
      <c r="E5" s="28" t="n">
        <v>15</v>
      </c>
      <c r="F5" s="16" t="n">
        <v>15</v>
      </c>
      <c r="G5" s="52" t="n">
        <f aca="false">E5/F5</f>
        <v>1</v>
      </c>
      <c r="H5" s="52" t="n">
        <f aca="false">G5/C5*1000</f>
        <v>1.90114068441065</v>
      </c>
      <c r="I5" s="7" t="s">
        <v>512</v>
      </c>
      <c r="J5" s="11" t="s">
        <v>513</v>
      </c>
      <c r="K5" s="7" t="s">
        <v>514</v>
      </c>
    </row>
    <row r="6" customFormat="false" ht="15" hidden="false" customHeight="false" outlineLevel="0" collapsed="false">
      <c r="A6" s="4" t="s">
        <v>515</v>
      </c>
      <c r="B6" s="7" t="s">
        <v>516</v>
      </c>
      <c r="C6" s="16" t="n">
        <v>400</v>
      </c>
      <c r="D6" s="16" t="n">
        <v>250</v>
      </c>
      <c r="E6" s="28" t="n">
        <v>11</v>
      </c>
      <c r="F6" s="16" t="n">
        <v>15</v>
      </c>
      <c r="G6" s="52" t="n">
        <f aca="false">E6/F6</f>
        <v>0.733333333333333</v>
      </c>
      <c r="H6" s="52" t="n">
        <f aca="false">G6/C6*1000</f>
        <v>1.83333333333333</v>
      </c>
      <c r="I6" s="7" t="s">
        <v>517</v>
      </c>
      <c r="J6" s="11" t="s">
        <v>518</v>
      </c>
      <c r="K6" s="7" t="s">
        <v>519</v>
      </c>
    </row>
    <row r="7" customFormat="false" ht="15" hidden="false" customHeight="false" outlineLevel="0" collapsed="false">
      <c r="A7" s="4" t="s">
        <v>520</v>
      </c>
      <c r="B7" s="7" t="s">
        <v>521</v>
      </c>
      <c r="C7" s="16" t="n">
        <v>590</v>
      </c>
      <c r="D7" s="16" t="n">
        <v>250</v>
      </c>
      <c r="E7" s="28" t="n">
        <v>10.2</v>
      </c>
      <c r="F7" s="16" t="n">
        <v>12</v>
      </c>
      <c r="G7" s="52" t="n">
        <f aca="false">E7/F7</f>
        <v>0.85</v>
      </c>
      <c r="H7" s="52" t="n">
        <f aca="false">G7/C7*1000</f>
        <v>1.4406779661017</v>
      </c>
      <c r="I7" s="7" t="s">
        <v>522</v>
      </c>
      <c r="J7" s="11" t="s">
        <v>523</v>
      </c>
      <c r="K7" s="7" t="s">
        <v>524</v>
      </c>
    </row>
    <row r="8" customFormat="false" ht="15" hidden="false" customHeight="false" outlineLevel="0" collapsed="false">
      <c r="A8" s="4" t="s">
        <v>525</v>
      </c>
      <c r="B8" s="7" t="s">
        <v>526</v>
      </c>
      <c r="C8" s="53" t="s">
        <v>527</v>
      </c>
      <c r="D8" s="16" t="n">
        <v>0</v>
      </c>
      <c r="E8" s="53" t="s">
        <v>527</v>
      </c>
      <c r="F8" s="16" t="n">
        <v>15</v>
      </c>
      <c r="I8" s="11" t="s">
        <v>528</v>
      </c>
      <c r="J8" s="7" t="s">
        <v>529</v>
      </c>
      <c r="K8" s="7" t="s">
        <v>530</v>
      </c>
    </row>
    <row r="9" customFormat="false" ht="15" hidden="false" customHeight="false" outlineLevel="0" collapsed="false">
      <c r="A9" s="2" t="s">
        <v>531</v>
      </c>
      <c r="C9" s="54" t="n">
        <f aca="false">SUM(C5:C8)</f>
        <v>1516</v>
      </c>
      <c r="D9" s="54" t="n">
        <f aca="false">SUM(D5:D8)</f>
        <v>633</v>
      </c>
      <c r="E9" s="47" t="n">
        <f aca="false">SUM(E5:E8)</f>
        <v>36.2</v>
      </c>
      <c r="G9" s="47" t="n">
        <f aca="false">SUM(G5:G8)</f>
        <v>2.58333333333333</v>
      </c>
      <c r="H9" s="55" t="n">
        <f aca="false">G9/C9*1000</f>
        <v>1.70404573438874</v>
      </c>
      <c r="K9" s="11" t="s">
        <v>532</v>
      </c>
    </row>
    <row r="11" customFormat="false" ht="15" hidden="false" customHeight="false" outlineLevel="0" collapsed="false">
      <c r="A11" s="40" t="s">
        <v>533</v>
      </c>
      <c r="B11" s="9"/>
      <c r="C11" s="9"/>
      <c r="D11" s="9"/>
      <c r="E11" s="9"/>
      <c r="F11" s="9"/>
      <c r="G11" s="9"/>
      <c r="H11" s="9"/>
      <c r="I11" s="9"/>
      <c r="J11" s="9"/>
      <c r="K11" s="9"/>
    </row>
    <row r="12" customFormat="false" ht="15" hidden="false" customHeight="false" outlineLevel="1" collapsed="false">
      <c r="A12" s="4" t="s">
        <v>534</v>
      </c>
      <c r="E12" s="18" t="n">
        <v>29.37</v>
      </c>
      <c r="K12" s="11" t="s">
        <v>535</v>
      </c>
    </row>
    <row r="13" customFormat="false" ht="15" hidden="false" customHeight="false" outlineLevel="1" collapsed="false">
      <c r="A13" s="4" t="s">
        <v>536</v>
      </c>
      <c r="E13" s="18" t="n">
        <v>35.5</v>
      </c>
      <c r="K13" s="7" t="s">
        <v>537</v>
      </c>
    </row>
    <row r="14" customFormat="false" ht="15" hidden="false" customHeight="false" outlineLevel="1" collapsed="false">
      <c r="A14" s="4" t="s">
        <v>538</v>
      </c>
      <c r="E14" s="18" t="n">
        <v>14.7</v>
      </c>
      <c r="K14" s="11" t="s">
        <v>539</v>
      </c>
    </row>
    <row r="15" customFormat="false" ht="15" hidden="false" customHeight="false" outlineLevel="1" collapsed="false">
      <c r="A15" s="5" t="s">
        <v>540</v>
      </c>
      <c r="E15" s="47" t="n">
        <f aca="false">SUM(E12:E14)</f>
        <v>79.57</v>
      </c>
      <c r="K15" s="11" t="s">
        <v>541</v>
      </c>
    </row>
    <row r="16" customFormat="false" ht="15" hidden="false" customHeight="false" outlineLevel="1" collapsed="false">
      <c r="A16" s="3" t="s">
        <v>542</v>
      </c>
      <c r="E16" s="46" t="n">
        <f aca="false">-E9</f>
        <v>-36.2</v>
      </c>
    </row>
    <row r="17" customFormat="false" ht="15" hidden="false" customHeight="false" outlineLevel="1" collapsed="false">
      <c r="A17" s="2" t="s">
        <v>543</v>
      </c>
      <c r="E17" s="47" t="n">
        <f aca="false">E15+E16</f>
        <v>43.37</v>
      </c>
      <c r="K17" s="7" t="s">
        <v>544</v>
      </c>
    </row>
    <row r="18" customFormat="false" ht="15" hidden="false" customHeight="false" outlineLevel="1" collapsed="false">
      <c r="A18" s="3" t="s">
        <v>545</v>
      </c>
      <c r="E18" s="22" t="n">
        <f aca="false">E17/E15</f>
        <v>0.545054668845042</v>
      </c>
    </row>
    <row r="20" customFormat="false" ht="15" hidden="false" customHeight="false" outlineLevel="0" collapsed="false">
      <c r="A20" s="40" t="s">
        <v>546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customFormat="false" ht="15" hidden="false" customHeight="false" outlineLevel="1" collapsed="false">
      <c r="A21" s="15" t="s">
        <v>111</v>
      </c>
      <c r="B21" s="15" t="s">
        <v>74</v>
      </c>
      <c r="C21" s="14" t="s">
        <v>75</v>
      </c>
      <c r="D21" s="14" t="s">
        <v>76</v>
      </c>
      <c r="E21" s="14" t="s">
        <v>77</v>
      </c>
      <c r="F21" s="14" t="s">
        <v>78</v>
      </c>
      <c r="G21" s="14" t="s">
        <v>79</v>
      </c>
    </row>
    <row r="22" customFormat="false" ht="15" hidden="false" customHeight="false" outlineLevel="1" collapsed="false">
      <c r="A22" s="3" t="s">
        <v>547</v>
      </c>
      <c r="B22" s="7" t="s">
        <v>92</v>
      </c>
      <c r="C22" s="26" t="n">
        <f aca="false">各期收支!C12</f>
        <v>1.34</v>
      </c>
      <c r="D22" s="26" t="n">
        <f aca="false">各期收支!D12</f>
        <v>3.939</v>
      </c>
      <c r="E22" s="26" t="n">
        <f aca="false">各期收支!E12</f>
        <v>4.72535483870968</v>
      </c>
      <c r="F22" s="26" t="n">
        <f aca="false">各期收支!F12</f>
        <v>5.123</v>
      </c>
      <c r="G22" s="26" t="n">
        <f aca="false">各期收支!G12</f>
        <v>5.19053846153846</v>
      </c>
    </row>
    <row r="23" customFormat="false" ht="15" hidden="false" customHeight="false" outlineLevel="1" collapsed="false">
      <c r="A23" s="3" t="s">
        <v>548</v>
      </c>
      <c r="B23" s="7" t="s">
        <v>82</v>
      </c>
      <c r="C23" s="23" t="n">
        <f aca="false">(輸入與假設!C$65+輸入與假設!C$26)/2</f>
        <v>1350</v>
      </c>
      <c r="D23" s="23" t="n">
        <f aca="false">(輸入與假設!D$65+輸入與假設!D$26)/2</f>
        <v>2475</v>
      </c>
      <c r="E23" s="23" t="n">
        <f aca="false">(輸入與假設!E$65+輸入與假設!E$26)/2</f>
        <v>3550</v>
      </c>
      <c r="F23" s="23" t="n">
        <f aca="false">(輸入與假設!F$65+輸入與假設!F$26)/2</f>
        <v>4400</v>
      </c>
      <c r="G23" s="23" t="n">
        <f aca="false">(輸入與假設!G$65+輸入與假設!G$26)/2</f>
        <v>5200</v>
      </c>
    </row>
    <row r="24" customFormat="false" ht="15" hidden="false" customHeight="false" outlineLevel="1" collapsed="false">
      <c r="A24" s="3" t="s">
        <v>113</v>
      </c>
      <c r="B24" s="11" t="s">
        <v>160</v>
      </c>
      <c r="C24" s="26" t="n">
        <f aca="false">輸入與假設!C$24</f>
        <v>0.5</v>
      </c>
      <c r="D24" s="26" t="n">
        <f aca="false">輸入與假設!D$24</f>
        <v>1</v>
      </c>
      <c r="E24" s="26" t="n">
        <f aca="false">輸入與假設!E$24</f>
        <v>1</v>
      </c>
      <c r="F24" s="26" t="n">
        <f aca="false">輸入與假設!F$24</f>
        <v>1</v>
      </c>
      <c r="G24" s="26" t="n">
        <f aca="false">輸入與假設!G$24</f>
        <v>1</v>
      </c>
    </row>
    <row r="25" customFormat="false" ht="15" hidden="false" customHeight="false" outlineLevel="1" collapsed="false">
      <c r="A25" s="2" t="s">
        <v>549</v>
      </c>
      <c r="B25" s="7" t="s">
        <v>151</v>
      </c>
      <c r="C25" s="30" t="n">
        <f aca="false">C22/C24/C23*1000</f>
        <v>1.98518518518519</v>
      </c>
      <c r="D25" s="30" t="n">
        <f aca="false">D22/D24/D23*1000</f>
        <v>1.59151515151515</v>
      </c>
      <c r="E25" s="30" t="n">
        <f aca="false">E22/E24/E23*1000</f>
        <v>1.33108587005906</v>
      </c>
      <c r="F25" s="30" t="n">
        <f aca="false">F22/F24/F23*1000</f>
        <v>1.16431818181818</v>
      </c>
      <c r="G25" s="30" t="n">
        <f aca="false">G22/G24/G23*1000</f>
        <v>0.998180473372781</v>
      </c>
      <c r="K25" s="7" t="s">
        <v>550</v>
      </c>
    </row>
    <row r="26" customFormat="false" ht="15" hidden="false" customHeight="false" outlineLevel="1" collapsed="false">
      <c r="A26" s="3" t="s">
        <v>551</v>
      </c>
      <c r="C26" s="17" t="n">
        <v>0.85</v>
      </c>
      <c r="K26" s="11" t="s">
        <v>552</v>
      </c>
    </row>
    <row r="27" customFormat="false" ht="15" hidden="false" customHeight="false" outlineLevel="1" collapsed="false">
      <c r="A27" s="3" t="s">
        <v>553</v>
      </c>
      <c r="B27" s="7" t="s">
        <v>92</v>
      </c>
      <c r="C27" s="26" t="n">
        <f aca="false">C23*運營_站點!$H$9/1000*$C$26*C24</f>
        <v>0.977696240105541</v>
      </c>
      <c r="D27" s="26" t="n">
        <f aca="false">D23*運營_站點!$H$9/1000*$C$26*D24</f>
        <v>3.58488621372032</v>
      </c>
      <c r="E27" s="26" t="n">
        <f aca="false">E23*運營_站點!$H$9/1000*$C$26*E24</f>
        <v>5.14195800351803</v>
      </c>
      <c r="F27" s="26" t="n">
        <f aca="false">F23*運營_站點!$H$9/1000*$C$26*F24</f>
        <v>6.3731310466139</v>
      </c>
      <c r="G27" s="26" t="n">
        <f aca="false">G23*運營_站點!$H$9/1000*$C$26*G24</f>
        <v>7.53188214599824</v>
      </c>
      <c r="K27" s="11" t="s">
        <v>554</v>
      </c>
    </row>
    <row r="28" customFormat="false" ht="15" hidden="false" customHeight="false" outlineLevel="1" collapsed="false">
      <c r="A28" s="2" t="s">
        <v>555</v>
      </c>
      <c r="B28" s="7" t="s">
        <v>92</v>
      </c>
      <c r="C28" s="30" t="n">
        <f aca="false">C27-C22</f>
        <v>-0.362303759894459</v>
      </c>
      <c r="D28" s="30" t="n">
        <f aca="false">D27-D22</f>
        <v>-0.354113786279684</v>
      </c>
      <c r="E28" s="30" t="n">
        <f aca="false">E27-E22</f>
        <v>0.416603164808353</v>
      </c>
      <c r="F28" s="30" t="n">
        <f aca="false">F27-F22</f>
        <v>1.2501310466139</v>
      </c>
      <c r="G28" s="30" t="n">
        <f aca="false">G27-G22</f>
        <v>2.34134368445978</v>
      </c>
      <c r="K28" s="11" t="s">
        <v>556</v>
      </c>
    </row>
    <row r="29" customFormat="false" ht="15" hidden="false" customHeight="false" outlineLevel="1" collapsed="false">
      <c r="A29" s="2" t="s">
        <v>557</v>
      </c>
      <c r="C29" s="55" t="n">
        <f aca="false">SUM(C28:G28)</f>
        <v>3.29166034970789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8" min="3" style="0" width="13"/>
    <col collapsed="false" customWidth="true" hidden="false" outlineLevel="0" max="9" min="9" style="0" width="90"/>
  </cols>
  <sheetData>
    <row r="1" customFormat="false" ht="19.4" hidden="false" customHeight="false" outlineLevel="0" collapsed="false">
      <c r="A1" s="6" t="s">
        <v>558</v>
      </c>
    </row>
    <row r="2" customFormat="false" ht="15" hidden="false" customHeight="false" outlineLevel="0" collapsed="false">
      <c r="A2" s="11" t="s">
        <v>559</v>
      </c>
    </row>
    <row r="4" customFormat="false" ht="15" hidden="false" customHeight="false" outlineLevel="0" collapsed="false">
      <c r="A4" s="15" t="s">
        <v>560</v>
      </c>
      <c r="B4" s="15" t="s">
        <v>561</v>
      </c>
      <c r="C4" s="15" t="s">
        <v>562</v>
      </c>
      <c r="D4" s="15" t="s">
        <v>563</v>
      </c>
      <c r="E4" s="14" t="s">
        <v>564</v>
      </c>
      <c r="F4" s="15" t="s">
        <v>565</v>
      </c>
      <c r="I4" s="15" t="s">
        <v>566</v>
      </c>
    </row>
    <row r="5" customFormat="false" ht="15" hidden="false" customHeight="false" outlineLevel="0" collapsed="false">
      <c r="A5" s="4" t="s">
        <v>567</v>
      </c>
      <c r="B5" s="11" t="s">
        <v>568</v>
      </c>
      <c r="C5" s="7" t="s">
        <v>569</v>
      </c>
      <c r="D5" s="17" t="n">
        <v>0.15</v>
      </c>
      <c r="E5" s="18" t="n">
        <v>1.3</v>
      </c>
      <c r="F5" s="26" t="n">
        <f aca="false">D5*E5</f>
        <v>0.195</v>
      </c>
      <c r="I5" s="11" t="s">
        <v>570</v>
      </c>
    </row>
    <row r="6" customFormat="false" ht="15" hidden="false" customHeight="false" outlineLevel="0" collapsed="false">
      <c r="A6" s="4" t="s">
        <v>571</v>
      </c>
      <c r="B6" s="11" t="s">
        <v>568</v>
      </c>
      <c r="C6" s="7" t="s">
        <v>572</v>
      </c>
      <c r="D6" s="17" t="n">
        <v>0.11</v>
      </c>
      <c r="E6" s="18" t="n">
        <v>3.19</v>
      </c>
      <c r="F6" s="26" t="n">
        <f aca="false">D6*E6</f>
        <v>0.3509</v>
      </c>
      <c r="I6" s="7" t="s">
        <v>305</v>
      </c>
    </row>
    <row r="7" customFormat="false" ht="15" hidden="false" customHeight="false" outlineLevel="0" collapsed="false">
      <c r="A7" s="4" t="s">
        <v>573</v>
      </c>
      <c r="B7" s="11" t="s">
        <v>568</v>
      </c>
      <c r="C7" s="7" t="s">
        <v>574</v>
      </c>
      <c r="D7" s="17" t="n">
        <v>0.09</v>
      </c>
      <c r="E7" s="18" t="n">
        <v>3</v>
      </c>
      <c r="F7" s="26" t="n">
        <f aca="false">D7*E7</f>
        <v>0.27</v>
      </c>
      <c r="I7" s="7" t="s">
        <v>305</v>
      </c>
    </row>
    <row r="8" customFormat="false" ht="15" hidden="false" customHeight="false" outlineLevel="0" collapsed="false">
      <c r="A8" s="4" t="s">
        <v>575</v>
      </c>
      <c r="B8" s="11" t="s">
        <v>568</v>
      </c>
      <c r="C8" s="7" t="s">
        <v>572</v>
      </c>
      <c r="D8" s="17" t="n">
        <v>0.09</v>
      </c>
      <c r="E8" s="18" t="n">
        <v>2.215</v>
      </c>
      <c r="F8" s="26" t="n">
        <f aca="false">D8*E8</f>
        <v>0.19935</v>
      </c>
      <c r="I8" s="7" t="s">
        <v>305</v>
      </c>
    </row>
    <row r="9" customFormat="false" ht="15" hidden="false" customHeight="false" outlineLevel="0" collapsed="false">
      <c r="A9" s="4" t="s">
        <v>576</v>
      </c>
      <c r="B9" s="11" t="s">
        <v>568</v>
      </c>
      <c r="C9" s="7" t="s">
        <v>577</v>
      </c>
      <c r="D9" s="17" t="n">
        <v>0.09</v>
      </c>
      <c r="E9" s="18" t="n">
        <v>1.101</v>
      </c>
      <c r="F9" s="26" t="n">
        <f aca="false">D9*E9</f>
        <v>0.09909</v>
      </c>
      <c r="I9" s="7" t="s">
        <v>578</v>
      </c>
    </row>
    <row r="10" customFormat="false" ht="15" hidden="false" customHeight="false" outlineLevel="0" collapsed="false">
      <c r="A10" s="4" t="s">
        <v>579</v>
      </c>
      <c r="B10" s="11" t="s">
        <v>568</v>
      </c>
      <c r="C10" s="7" t="s">
        <v>580</v>
      </c>
      <c r="D10" s="17" t="n">
        <v>0.1</v>
      </c>
      <c r="E10" s="18" t="n">
        <v>2</v>
      </c>
      <c r="F10" s="26" t="n">
        <f aca="false">D10*E10</f>
        <v>0.2</v>
      </c>
      <c r="I10" s="11" t="s">
        <v>581</v>
      </c>
    </row>
    <row r="11" customFormat="false" ht="15" hidden="false" customHeight="false" outlineLevel="0" collapsed="false">
      <c r="A11" s="4" t="s">
        <v>582</v>
      </c>
      <c r="B11" s="11" t="s">
        <v>568</v>
      </c>
      <c r="C11" s="7" t="s">
        <v>583</v>
      </c>
      <c r="D11" s="17" t="n">
        <v>0.1</v>
      </c>
      <c r="E11" s="18" t="n">
        <v>1.75</v>
      </c>
      <c r="F11" s="26" t="n">
        <f aca="false">D11*E11</f>
        <v>0.175</v>
      </c>
      <c r="I11" s="7" t="s">
        <v>305</v>
      </c>
    </row>
    <row r="12" customFormat="false" ht="15" hidden="false" customHeight="false" outlineLevel="0" collapsed="false">
      <c r="A12" s="4" t="s">
        <v>584</v>
      </c>
      <c r="B12" s="11" t="s">
        <v>568</v>
      </c>
      <c r="C12" s="7" t="s">
        <v>585</v>
      </c>
      <c r="D12" s="17" t="n">
        <v>0.1</v>
      </c>
      <c r="E12" s="18" t="n">
        <v>2.75</v>
      </c>
      <c r="F12" s="26" t="n">
        <f aca="false">D12*E12</f>
        <v>0.275</v>
      </c>
      <c r="I12" s="7" t="s">
        <v>586</v>
      </c>
    </row>
    <row r="13" customFormat="false" ht="15" hidden="false" customHeight="false" outlineLevel="0" collapsed="false">
      <c r="A13" s="4" t="s">
        <v>587</v>
      </c>
      <c r="B13" s="11" t="s">
        <v>568</v>
      </c>
      <c r="C13" s="7" t="s">
        <v>588</v>
      </c>
      <c r="D13" s="17" t="n">
        <v>0.1</v>
      </c>
      <c r="E13" s="18" t="n">
        <v>1.25</v>
      </c>
      <c r="F13" s="26" t="n">
        <f aca="false">D13*E13</f>
        <v>0.125</v>
      </c>
      <c r="I13" s="7" t="s">
        <v>589</v>
      </c>
    </row>
    <row r="14" customFormat="false" ht="15" hidden="false" customHeight="false" outlineLevel="0" collapsed="false">
      <c r="A14" s="4" t="s">
        <v>590</v>
      </c>
      <c r="B14" s="11" t="s">
        <v>568</v>
      </c>
      <c r="C14" s="7" t="s">
        <v>588</v>
      </c>
      <c r="D14" s="17" t="n">
        <v>0.09</v>
      </c>
      <c r="E14" s="18" t="n">
        <v>2.279</v>
      </c>
      <c r="F14" s="26" t="n">
        <f aca="false">D14*E14</f>
        <v>0.20511</v>
      </c>
      <c r="I14" s="11" t="s">
        <v>591</v>
      </c>
    </row>
    <row r="15" customFormat="false" ht="15" hidden="false" customHeight="false" outlineLevel="0" collapsed="false">
      <c r="A15" s="4" t="s">
        <v>592</v>
      </c>
      <c r="B15" s="11" t="s">
        <v>568</v>
      </c>
      <c r="C15" s="7" t="s">
        <v>593</v>
      </c>
      <c r="D15" s="17" t="n">
        <v>0.02</v>
      </c>
      <c r="E15" s="18" t="n">
        <v>2.588</v>
      </c>
      <c r="F15" s="26" t="n">
        <f aca="false">D15*E15</f>
        <v>0.05176</v>
      </c>
      <c r="I15" s="7" t="s">
        <v>305</v>
      </c>
    </row>
    <row r="16" customFormat="false" ht="15" hidden="false" customHeight="false" outlineLevel="0" collapsed="false">
      <c r="A16" s="4" t="s">
        <v>594</v>
      </c>
      <c r="B16" s="11" t="s">
        <v>568</v>
      </c>
      <c r="C16" s="7" t="s">
        <v>595</v>
      </c>
      <c r="D16" s="17" t="n">
        <v>0.02</v>
      </c>
      <c r="E16" s="18" t="n">
        <v>4</v>
      </c>
      <c r="F16" s="26" t="n">
        <f aca="false">D16*E16</f>
        <v>0.08</v>
      </c>
      <c r="I16" s="11" t="s">
        <v>596</v>
      </c>
    </row>
    <row r="17" customFormat="false" ht="15" hidden="false" customHeight="false" outlineLevel="0" collapsed="false">
      <c r="A17" s="4" t="s">
        <v>597</v>
      </c>
      <c r="B17" s="11" t="s">
        <v>568</v>
      </c>
      <c r="C17" s="7" t="s">
        <v>598</v>
      </c>
      <c r="D17" s="17" t="n">
        <v>0.11</v>
      </c>
      <c r="E17" s="18" t="n">
        <v>4.22</v>
      </c>
      <c r="F17" s="26" t="n">
        <f aca="false">D17*E17</f>
        <v>0.4642</v>
      </c>
      <c r="I17" s="11" t="s">
        <v>599</v>
      </c>
    </row>
    <row r="18" customFormat="false" ht="15" hidden="false" customHeight="false" outlineLevel="0" collapsed="false">
      <c r="A18" s="4" t="s">
        <v>600</v>
      </c>
      <c r="B18" s="11" t="s">
        <v>568</v>
      </c>
      <c r="C18" s="7" t="s">
        <v>601</v>
      </c>
      <c r="D18" s="17" t="n">
        <v>0.12</v>
      </c>
      <c r="E18" s="18" t="n">
        <v>0.189</v>
      </c>
      <c r="F18" s="26" t="n">
        <f aca="false">D18*E18</f>
        <v>0.02268</v>
      </c>
      <c r="I18" s="7" t="s">
        <v>305</v>
      </c>
    </row>
    <row r="19" customFormat="false" ht="15" hidden="false" customHeight="false" outlineLevel="0" collapsed="false">
      <c r="A19" s="4" t="s">
        <v>602</v>
      </c>
      <c r="B19" s="11" t="s">
        <v>603</v>
      </c>
      <c r="C19" s="7" t="s">
        <v>604</v>
      </c>
      <c r="D19" s="17" t="n">
        <v>0.07</v>
      </c>
      <c r="E19" s="18" t="n">
        <v>2.837</v>
      </c>
      <c r="F19" s="26" t="n">
        <f aca="false">D19*E19</f>
        <v>0.19859</v>
      </c>
      <c r="I19" s="7" t="s">
        <v>605</v>
      </c>
    </row>
    <row r="20" customFormat="false" ht="15" hidden="false" customHeight="false" outlineLevel="0" collapsed="false">
      <c r="A20" s="4" t="s">
        <v>606</v>
      </c>
      <c r="B20" s="11" t="s">
        <v>603</v>
      </c>
      <c r="C20" s="7" t="s">
        <v>607</v>
      </c>
      <c r="D20" s="17" t="n">
        <v>0.09</v>
      </c>
      <c r="E20" s="18" t="n">
        <v>0.882</v>
      </c>
      <c r="F20" s="26" t="n">
        <f aca="false">D20*E20</f>
        <v>0.07938</v>
      </c>
      <c r="I20" s="7" t="s">
        <v>305</v>
      </c>
    </row>
    <row r="21" customFormat="false" ht="15" hidden="false" customHeight="false" outlineLevel="0" collapsed="false">
      <c r="A21" s="2" t="s">
        <v>608</v>
      </c>
      <c r="E21" s="47" t="n">
        <f aca="false">SUM(E5:E20)</f>
        <v>35.551</v>
      </c>
      <c r="F21" s="47" t="n">
        <f aca="false">SUM(F5:F20)</f>
        <v>2.99106</v>
      </c>
      <c r="I21" s="11" t="s">
        <v>609</v>
      </c>
    </row>
    <row r="22" customFormat="false" ht="15" hidden="false" customHeight="false" outlineLevel="0" collapsed="false">
      <c r="A22" s="2" t="s">
        <v>610</v>
      </c>
      <c r="D22" s="56" t="n">
        <f aca="false">F21/E21</f>
        <v>0.084134342212596</v>
      </c>
      <c r="I22" s="11" t="s">
        <v>611</v>
      </c>
    </row>
    <row r="24" customFormat="false" ht="15" hidden="false" customHeight="false" outlineLevel="0" collapsed="false">
      <c r="A24" s="4" t="s">
        <v>612</v>
      </c>
      <c r="D24" s="57" t="n">
        <v>0.02875</v>
      </c>
      <c r="E24" s="18" t="n">
        <v>3.7</v>
      </c>
      <c r="F24" s="48" t="n">
        <f aca="false">D24*E24</f>
        <v>0.106375</v>
      </c>
      <c r="I24" s="11" t="s">
        <v>613</v>
      </c>
    </row>
    <row r="26" customFormat="false" ht="15" hidden="false" customHeight="false" outlineLevel="0" collapsed="false">
      <c r="A26" s="40" t="s">
        <v>614</v>
      </c>
      <c r="B26" s="9"/>
      <c r="C26" s="9"/>
      <c r="D26" s="9"/>
      <c r="E26" s="9"/>
      <c r="F26" s="9"/>
      <c r="G26" s="9"/>
      <c r="H26" s="9"/>
    </row>
    <row r="27" customFormat="false" ht="15" hidden="false" customHeight="false" outlineLevel="1" collapsed="false">
      <c r="A27" s="15" t="s">
        <v>111</v>
      </c>
      <c r="B27" s="15" t="s">
        <v>74</v>
      </c>
      <c r="C27" s="21" t="s">
        <v>75</v>
      </c>
      <c r="D27" s="21" t="s">
        <v>76</v>
      </c>
      <c r="E27" s="21" t="s">
        <v>77</v>
      </c>
      <c r="F27" s="21" t="s">
        <v>78</v>
      </c>
      <c r="G27" s="21" t="s">
        <v>79</v>
      </c>
      <c r="I27" s="15" t="s">
        <v>323</v>
      </c>
    </row>
    <row r="28" customFormat="false" ht="15" hidden="false" customHeight="false" outlineLevel="1" collapsed="false">
      <c r="A28" s="3" t="s">
        <v>615</v>
      </c>
      <c r="B28" s="7" t="s">
        <v>92</v>
      </c>
      <c r="C28" s="26" t="n">
        <f aca="false">E21</f>
        <v>35.551</v>
      </c>
      <c r="D28" s="26" t="n">
        <f aca="false">C30</f>
        <v>31.138</v>
      </c>
      <c r="E28" s="26" t="n">
        <f aca="false">D30</f>
        <v>24.954</v>
      </c>
      <c r="F28" s="26" t="n">
        <f aca="false">E30</f>
        <v>20.538</v>
      </c>
      <c r="G28" s="26" t="n">
        <f aca="false">F30</f>
        <v>18.117</v>
      </c>
      <c r="I28" s="7" t="s">
        <v>616</v>
      </c>
    </row>
    <row r="29" customFormat="false" ht="15" hidden="false" customHeight="false" outlineLevel="1" collapsed="false">
      <c r="A29" s="3" t="s">
        <v>617</v>
      </c>
      <c r="B29" s="7" t="s">
        <v>92</v>
      </c>
      <c r="C29" s="33" t="n">
        <f aca="false">輸入與假設!C$93</f>
        <v>4.413</v>
      </c>
      <c r="D29" s="33" t="n">
        <f aca="false">輸入與假設!D$93</f>
        <v>6.184</v>
      </c>
      <c r="E29" s="33" t="n">
        <f aca="false">輸入與假設!E$93</f>
        <v>4.416</v>
      </c>
      <c r="F29" s="33" t="n">
        <f aca="false">輸入與假設!F$93</f>
        <v>2.421</v>
      </c>
      <c r="G29" s="33" t="n">
        <f aca="false">輸入與假設!G$93</f>
        <v>3.221</v>
      </c>
      <c r="I29" s="7" t="s">
        <v>618</v>
      </c>
    </row>
    <row r="30" customFormat="false" ht="15" hidden="false" customHeight="false" outlineLevel="1" collapsed="false">
      <c r="A30" s="3" t="s">
        <v>619</v>
      </c>
      <c r="B30" s="7" t="s">
        <v>92</v>
      </c>
      <c r="C30" s="26" t="n">
        <f aca="false">C28-C29</f>
        <v>31.138</v>
      </c>
      <c r="D30" s="26" t="n">
        <f aca="false">D28-D29</f>
        <v>24.954</v>
      </c>
      <c r="E30" s="26" t="n">
        <f aca="false">E28-E29</f>
        <v>20.538</v>
      </c>
      <c r="F30" s="26" t="n">
        <f aca="false">F28-F29</f>
        <v>18.117</v>
      </c>
      <c r="G30" s="26" t="n">
        <f aca="false">G28-G29</f>
        <v>14.896</v>
      </c>
    </row>
    <row r="31" customFormat="false" ht="15" hidden="false" customHeight="false" outlineLevel="1" collapsed="false">
      <c r="A31" s="3" t="s">
        <v>620</v>
      </c>
      <c r="B31" s="7" t="s">
        <v>92</v>
      </c>
      <c r="C31" s="26" t="n">
        <f aca="false">(C28+C30)/2</f>
        <v>33.3445</v>
      </c>
      <c r="D31" s="26" t="n">
        <f aca="false">(D28+D30)/2</f>
        <v>28.046</v>
      </c>
      <c r="E31" s="26" t="n">
        <f aca="false">(E28+E30)/2</f>
        <v>22.746</v>
      </c>
      <c r="F31" s="26" t="n">
        <f aca="false">(F28+F30)/2</f>
        <v>19.3275</v>
      </c>
      <c r="G31" s="26" t="n">
        <f aca="false">(G28+G30)/2</f>
        <v>16.5065</v>
      </c>
    </row>
    <row r="32" customFormat="false" ht="15" hidden="false" customHeight="false" outlineLevel="1" collapsed="false">
      <c r="A32" s="3" t="s">
        <v>621</v>
      </c>
      <c r="B32" s="7" t="s">
        <v>92</v>
      </c>
      <c r="C32" s="26" t="n">
        <f aca="false">C31*資產負債_既有債務!$D$22*輸入與假設!C$24</f>
        <v>1.40270878695395</v>
      </c>
      <c r="D32" s="26" t="n">
        <f aca="false">D31*資產負債_既有債務!$D$22*輸入與假設!D$24</f>
        <v>2.35963176169447</v>
      </c>
      <c r="E32" s="26" t="n">
        <f aca="false">E31*資產負債_既有債務!$D$22*輸入與假設!E$24</f>
        <v>1.91371974796771</v>
      </c>
      <c r="F32" s="26" t="n">
        <f aca="false">F31*資產負債_既有債務!$D$22*輸入與假設!F$24</f>
        <v>1.62610649911395</v>
      </c>
      <c r="G32" s="26" t="n">
        <f aca="false">G31*資產負債_既有債務!$D$22*輸入與假設!G$24</f>
        <v>1.38876351973222</v>
      </c>
      <c r="I32" s="11" t="s">
        <v>622</v>
      </c>
    </row>
    <row r="33" customFormat="false" ht="15" hidden="false" customHeight="false" outlineLevel="1" collapsed="false">
      <c r="A33" s="4" t="s">
        <v>623</v>
      </c>
      <c r="B33" s="7" t="s">
        <v>92</v>
      </c>
      <c r="C33" s="26" t="n">
        <f aca="false">資產負債_既有債務!$F$24*輸入與假設!C$24</f>
        <v>0.0531875</v>
      </c>
      <c r="D33" s="26" t="n">
        <f aca="false">資產負債_既有債務!$F$24*輸入與假設!D$24</f>
        <v>0.106375</v>
      </c>
      <c r="E33" s="26" t="n">
        <f aca="false">資產負債_既有債務!$F$24*輸入與假設!E$24</f>
        <v>0.106375</v>
      </c>
      <c r="F33" s="26" t="n">
        <f aca="false">資產負債_既有債務!$F$24*輸入與假設!F$24</f>
        <v>0.106375</v>
      </c>
      <c r="G33" s="26" t="n">
        <f aca="false">資產負債_既有債務!$F$24*輸入與假設!G$24</f>
        <v>0.106375</v>
      </c>
    </row>
    <row r="34" customFormat="false" ht="15" hidden="false" customHeight="false" outlineLevel="1" collapsed="false">
      <c r="A34" s="4" t="s">
        <v>624</v>
      </c>
      <c r="B34" s="7" t="s">
        <v>92</v>
      </c>
      <c r="C34" s="18" t="n">
        <f aca="false">0.35</f>
        <v>0.35</v>
      </c>
      <c r="D34" s="18" t="n">
        <f aca="false">0</f>
        <v>0</v>
      </c>
      <c r="E34" s="18" t="n">
        <f aca="false">0</f>
        <v>0</v>
      </c>
      <c r="F34" s="18" t="n">
        <f aca="false">0</f>
        <v>0</v>
      </c>
      <c r="G34" s="18" t="n">
        <f aca="false">0</f>
        <v>0</v>
      </c>
      <c r="I34" s="7" t="s">
        <v>625</v>
      </c>
    </row>
    <row r="35" customFormat="false" ht="15" hidden="false" customHeight="false" outlineLevel="1" collapsed="false">
      <c r="A35" s="2" t="s">
        <v>626</v>
      </c>
      <c r="B35" s="7" t="s">
        <v>92</v>
      </c>
      <c r="C35" s="30" t="n">
        <f aca="false">C32+C33+C34</f>
        <v>1.80589628695395</v>
      </c>
      <c r="D35" s="30" t="n">
        <f aca="false">D32+D33+D34</f>
        <v>2.46600676169447</v>
      </c>
      <c r="E35" s="30" t="n">
        <f aca="false">E32+E33+E34</f>
        <v>2.02009474796771</v>
      </c>
      <c r="F35" s="30" t="n">
        <f aca="false">F32+F33+F34</f>
        <v>1.73248149911395</v>
      </c>
      <c r="G35" s="30" t="n">
        <f aca="false">G32+G33+G34</f>
        <v>1.49513851973222</v>
      </c>
      <c r="I35" s="7" t="s">
        <v>627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7" min="3" style="0" width="12"/>
    <col collapsed="false" customWidth="true" hidden="false" outlineLevel="0" max="9" min="9" style="0" width="80"/>
  </cols>
  <sheetData>
    <row r="1" customFormat="false" ht="17.35" hidden="false" customHeight="false" outlineLevel="0" collapsed="false">
      <c r="A1" s="6" t="s">
        <v>628</v>
      </c>
    </row>
    <row r="2" customFormat="false" ht="15" hidden="false" customHeight="false" outlineLevel="0" collapsed="false">
      <c r="A2" s="11" t="s">
        <v>629</v>
      </c>
    </row>
    <row r="4" customFormat="false" ht="15" hidden="false" customHeight="false" outlineLevel="0" collapsed="false">
      <c r="A4" s="15" t="s">
        <v>111</v>
      </c>
      <c r="B4" s="15" t="s">
        <v>74</v>
      </c>
      <c r="C4" s="21" t="s">
        <v>75</v>
      </c>
      <c r="D4" s="21" t="s">
        <v>76</v>
      </c>
      <c r="E4" s="21" t="s">
        <v>77</v>
      </c>
      <c r="F4" s="21" t="s">
        <v>78</v>
      </c>
      <c r="G4" s="21" t="s">
        <v>79</v>
      </c>
      <c r="I4" s="15" t="s">
        <v>323</v>
      </c>
    </row>
    <row r="5" customFormat="false" ht="15" hidden="false" customHeight="false" outlineLevel="0" collapsed="false">
      <c r="A5" s="40" t="s">
        <v>630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631</v>
      </c>
      <c r="B6" s="7" t="s">
        <v>92</v>
      </c>
      <c r="C6" s="26" t="n">
        <f aca="false">輸入與假設!$C$77</f>
        <v>5.5</v>
      </c>
      <c r="D6" s="26" t="n">
        <f aca="false">各期收支!C41</f>
        <v>2</v>
      </c>
      <c r="E6" s="26" t="n">
        <f aca="false">各期收支!D41</f>
        <v>2</v>
      </c>
      <c r="F6" s="26" t="n">
        <f aca="false">各期收支!E41</f>
        <v>2</v>
      </c>
      <c r="G6" s="26" t="n">
        <f aca="false">各期收支!F41</f>
        <v>2</v>
      </c>
      <c r="I6" s="7" t="s">
        <v>632</v>
      </c>
    </row>
    <row r="7" customFormat="false" ht="15" hidden="false" customHeight="false" outlineLevel="1" collapsed="false">
      <c r="A7" s="3" t="s">
        <v>633</v>
      </c>
      <c r="B7" s="7" t="s">
        <v>92</v>
      </c>
      <c r="C7" s="26" t="n">
        <f aca="false">各期收支!C71-輸入與假設!$C$77</f>
        <v>-15.4895435039723</v>
      </c>
      <c r="D7" s="26" t="n">
        <f aca="false">各期收支!D71-各期收支!C71</f>
        <v>-28.6060211457307</v>
      </c>
      <c r="E7" s="26" t="n">
        <f aca="false">各期收支!E71-各期收支!D71</f>
        <v>-11.2541004220161</v>
      </c>
      <c r="F7" s="26" t="n">
        <f aca="false">各期收支!F71-各期收支!E71</f>
        <v>-5.90351213937701</v>
      </c>
      <c r="G7" s="26" t="n">
        <f aca="false">各期收支!G71-各期收支!F71</f>
        <v>-5.93658679089938</v>
      </c>
      <c r="I7" s="11" t="s">
        <v>634</v>
      </c>
    </row>
    <row r="8" customFormat="false" ht="15" hidden="false" customHeight="false" outlineLevel="1" collapsed="false">
      <c r="A8" s="3" t="s">
        <v>635</v>
      </c>
      <c r="B8" s="7" t="s">
        <v>92</v>
      </c>
      <c r="C8" s="26" t="n">
        <f aca="false">各期收支!C58</f>
        <v>12.5544958156778</v>
      </c>
      <c r="D8" s="26" t="n">
        <f aca="false">各期收支!D58</f>
        <v>32.6768415045513</v>
      </c>
      <c r="E8" s="26" t="n">
        <f aca="false">各期收支!E58</f>
        <v>16.8405722866337</v>
      </c>
      <c r="F8" s="26" t="n">
        <f aca="false">各期收支!F58</f>
        <v>3.13931889313726</v>
      </c>
      <c r="G8" s="26" t="n">
        <f aca="false">各期收支!G58</f>
        <v>7.17872749999999</v>
      </c>
    </row>
    <row r="9" customFormat="false" ht="15" hidden="false" customHeight="false" outlineLevel="1" collapsed="false">
      <c r="A9" s="3" t="s">
        <v>636</v>
      </c>
      <c r="B9" s="7" t="s">
        <v>92</v>
      </c>
      <c r="C9" s="26" t="n">
        <f aca="false">各期收支!C62</f>
        <v>0</v>
      </c>
      <c r="D9" s="26" t="n">
        <f aca="false">各期收支!D62</f>
        <v>0</v>
      </c>
      <c r="E9" s="26" t="n">
        <f aca="false">各期收支!E62</f>
        <v>0</v>
      </c>
      <c r="F9" s="26" t="n">
        <f aca="false">各期收支!F62</f>
        <v>0</v>
      </c>
      <c r="G9" s="26" t="n">
        <f aca="false">各期收支!G62</f>
        <v>0</v>
      </c>
    </row>
    <row r="10" customFormat="false" ht="15" hidden="false" customHeight="false" outlineLevel="1" collapsed="false">
      <c r="A10" s="3" t="s">
        <v>637</v>
      </c>
      <c r="B10" s="7" t="s">
        <v>92</v>
      </c>
      <c r="C10" s="26" t="n">
        <f aca="false">各期收支!C61</f>
        <v>0</v>
      </c>
      <c r="D10" s="26" t="n">
        <f aca="false">各期收支!D61</f>
        <v>0</v>
      </c>
      <c r="E10" s="26" t="n">
        <f aca="false">各期收支!E61</f>
        <v>0</v>
      </c>
      <c r="F10" s="26" t="n">
        <f aca="false">各期收支!F61</f>
        <v>8.63320381123975</v>
      </c>
      <c r="G10" s="26" t="n">
        <f aca="false">各期收支!G61</f>
        <v>5.27295533089938</v>
      </c>
    </row>
    <row r="11" customFormat="false" ht="15" hidden="false" customHeight="false" outlineLevel="1" collapsed="false">
      <c r="A11" s="3" t="s">
        <v>638</v>
      </c>
      <c r="B11" s="7" t="s">
        <v>92</v>
      </c>
      <c r="C11" s="26" t="n">
        <f aca="false">-各期收支!C63</f>
        <v>-0.564952311705499</v>
      </c>
      <c r="D11" s="26" t="n">
        <f aca="false">-各期收支!D63</f>
        <v>-4.07082035882062</v>
      </c>
      <c r="E11" s="26" t="n">
        <f aca="false">-各期收支!E63</f>
        <v>-5.58647186461765</v>
      </c>
      <c r="F11" s="26" t="n">
        <f aca="false">-各期收支!F63</f>
        <v>-5.869010565</v>
      </c>
      <c r="G11" s="26" t="n">
        <f aca="false">-各期收支!G63</f>
        <v>-6.51509604</v>
      </c>
    </row>
    <row r="12" customFormat="false" ht="15" hidden="false" customHeight="false" outlineLevel="1" collapsed="false">
      <c r="A12" s="2" t="s">
        <v>639</v>
      </c>
      <c r="B12" s="7" t="s">
        <v>92</v>
      </c>
      <c r="C12" s="30" t="n">
        <f aca="false">SUM(C6:C11)</f>
        <v>2</v>
      </c>
      <c r="D12" s="30" t="n">
        <f aca="false">SUM(D6:D11)</f>
        <v>2</v>
      </c>
      <c r="E12" s="30" t="n">
        <f aca="false">SUM(E6:E11)</f>
        <v>2</v>
      </c>
      <c r="F12" s="30" t="n">
        <f aca="false">SUM(F6:F11)</f>
        <v>2</v>
      </c>
      <c r="G12" s="30" t="n">
        <f aca="false">SUM(G6:G11)</f>
        <v>2</v>
      </c>
      <c r="I12" s="11" t="s">
        <v>640</v>
      </c>
    </row>
    <row r="13" customFormat="false" ht="15" hidden="false" customHeight="false" outlineLevel="1" collapsed="false">
      <c r="A13" s="3" t="s">
        <v>641</v>
      </c>
      <c r="B13" s="7" t="s">
        <v>92</v>
      </c>
      <c r="C13" s="26" t="n">
        <f aca="false">C12-各期收支!C41</f>
        <v>0</v>
      </c>
      <c r="D13" s="26" t="n">
        <f aca="false">D12-各期收支!D41</f>
        <v>0</v>
      </c>
      <c r="E13" s="26" t="n">
        <f aca="false">E12-各期收支!E41</f>
        <v>0</v>
      </c>
      <c r="F13" s="26" t="n">
        <f aca="false">F12-各期收支!F41</f>
        <v>0</v>
      </c>
      <c r="G13" s="26" t="n">
        <f aca="false">G12-各期收支!G41</f>
        <v>0</v>
      </c>
      <c r="I13" s="11" t="s">
        <v>642</v>
      </c>
    </row>
    <row r="14" customFormat="false" ht="15" hidden="false" customHeight="false" outlineLevel="0" collapsed="false">
      <c r="A14" s="40" t="s">
        <v>643</v>
      </c>
      <c r="B14" s="9"/>
      <c r="C14" s="9"/>
      <c r="D14" s="9"/>
      <c r="E14" s="9"/>
      <c r="F14" s="9"/>
      <c r="G14" s="9"/>
      <c r="H14" s="9"/>
    </row>
    <row r="15" customFormat="false" ht="15" hidden="false" customHeight="false" outlineLevel="1" collapsed="false">
      <c r="A15" s="3" t="s">
        <v>644</v>
      </c>
      <c r="B15" s="7" t="s">
        <v>92</v>
      </c>
      <c r="C15" s="26" t="n">
        <f aca="false">35.551</f>
        <v>35.551</v>
      </c>
      <c r="D15" s="26" t="n">
        <f aca="false">C17</f>
        <v>31.138</v>
      </c>
      <c r="E15" s="26" t="n">
        <f aca="false">D17</f>
        <v>24.954</v>
      </c>
      <c r="F15" s="26" t="n">
        <f aca="false">E17</f>
        <v>20.538</v>
      </c>
      <c r="G15" s="26" t="n">
        <f aca="false">F17</f>
        <v>18.117</v>
      </c>
    </row>
    <row r="16" customFormat="false" ht="15" hidden="false" customHeight="false" outlineLevel="1" collapsed="false">
      <c r="A16" s="3" t="s">
        <v>645</v>
      </c>
      <c r="B16" s="7" t="s">
        <v>92</v>
      </c>
      <c r="C16" s="26" t="n">
        <f aca="false">-IF(輸入與假設!$C$82=1,輸入與假設!C$93,0)</f>
        <v>-4.413</v>
      </c>
      <c r="D16" s="26" t="n">
        <f aca="false">-IF(輸入與假設!$C$82=1,輸入與假設!D$93,0)</f>
        <v>-6.184</v>
      </c>
      <c r="E16" s="26" t="n">
        <f aca="false">-IF(輸入與假設!$C$82=1,輸入與假設!E$93,0)</f>
        <v>-4.416</v>
      </c>
      <c r="F16" s="26" t="n">
        <f aca="false">-IF(輸入與假設!$C$82=1,輸入與假設!F$93,0)</f>
        <v>-2.421</v>
      </c>
      <c r="G16" s="26" t="n">
        <f aca="false">-IF(輸入與假設!$C$82=1,輸入與假設!G$93,0)</f>
        <v>-3.221</v>
      </c>
    </row>
    <row r="17" customFormat="false" ht="15" hidden="false" customHeight="false" outlineLevel="1" collapsed="false">
      <c r="A17" s="3" t="s">
        <v>646</v>
      </c>
      <c r="B17" s="7" t="s">
        <v>92</v>
      </c>
      <c r="C17" s="26" t="n">
        <f aca="false">各期收支!C54-3.7</f>
        <v>31.138</v>
      </c>
      <c r="D17" s="26" t="n">
        <f aca="false">各期收支!D54-3.7</f>
        <v>24.954</v>
      </c>
      <c r="E17" s="26" t="n">
        <f aca="false">各期收支!E54-3.7</f>
        <v>20.538</v>
      </c>
      <c r="F17" s="26" t="n">
        <f aca="false">各期收支!F54-3.7</f>
        <v>18.117</v>
      </c>
      <c r="G17" s="26" t="n">
        <f aca="false">各期收支!G54-3.7</f>
        <v>14.896</v>
      </c>
      <c r="I17" s="11" t="s">
        <v>647</v>
      </c>
    </row>
    <row r="18" customFormat="false" ht="15" hidden="false" customHeight="false" outlineLevel="1" collapsed="false">
      <c r="A18" s="3" t="s">
        <v>648</v>
      </c>
      <c r="B18" s="7" t="s">
        <v>92</v>
      </c>
      <c r="C18" s="26" t="n">
        <f aca="false">3.7</f>
        <v>3.7</v>
      </c>
      <c r="D18" s="26" t="n">
        <f aca="false">3.7</f>
        <v>3.7</v>
      </c>
      <c r="E18" s="26" t="n">
        <f aca="false">3.7</f>
        <v>3.7</v>
      </c>
      <c r="F18" s="26" t="n">
        <f aca="false">3.7</f>
        <v>3.7</v>
      </c>
      <c r="G18" s="26" t="n">
        <f aca="false">3.7</f>
        <v>3.7</v>
      </c>
    </row>
    <row r="19" customFormat="false" ht="15" hidden="false" customHeight="false" outlineLevel="1" collapsed="false">
      <c r="A19" s="3" t="s">
        <v>649</v>
      </c>
      <c r="B19" s="7" t="s">
        <v>92</v>
      </c>
      <c r="C19" s="26" t="n">
        <f aca="false">各期收支!C67</f>
        <v>12.5544958156778</v>
      </c>
      <c r="D19" s="26" t="n">
        <f aca="false">各期收支!D67</f>
        <v>45.2313373202291</v>
      </c>
      <c r="E19" s="26" t="n">
        <f aca="false">各期收支!E67</f>
        <v>62.0719096068628</v>
      </c>
      <c r="F19" s="26" t="n">
        <f aca="false">各期收支!F67</f>
        <v>65.2112285</v>
      </c>
      <c r="G19" s="26" t="n">
        <f aca="false">各期收支!G67</f>
        <v>72.389956</v>
      </c>
    </row>
    <row r="20" customFormat="false" ht="15" hidden="false" customHeight="false" outlineLevel="1" collapsed="false">
      <c r="A20" s="3" t="s">
        <v>650</v>
      </c>
      <c r="B20" s="7" t="s">
        <v>92</v>
      </c>
      <c r="C20" s="26" t="n">
        <f aca="false">各期收支!C69</f>
        <v>0</v>
      </c>
      <c r="D20" s="26" t="n">
        <f aca="false">各期收支!D69</f>
        <v>0</v>
      </c>
      <c r="E20" s="26" t="n">
        <f aca="false">各期收支!E69</f>
        <v>0</v>
      </c>
      <c r="F20" s="26" t="n">
        <f aca="false">各期收支!F69</f>
        <v>0</v>
      </c>
      <c r="G20" s="26" t="n">
        <f aca="false">各期收支!G69</f>
        <v>0</v>
      </c>
    </row>
    <row r="21" customFormat="false" ht="15" hidden="false" customHeight="false" outlineLevel="1" collapsed="false">
      <c r="A21" s="2" t="s">
        <v>651</v>
      </c>
      <c r="B21" s="7" t="s">
        <v>92</v>
      </c>
      <c r="C21" s="30" t="n">
        <f aca="false">SUM(C17:C20)</f>
        <v>47.3924958156778</v>
      </c>
      <c r="D21" s="30" t="n">
        <f aca="false">SUM(D17:D20)</f>
        <v>73.8853373202291</v>
      </c>
      <c r="E21" s="30" t="n">
        <f aca="false">SUM(E17:E20)</f>
        <v>86.3099096068628</v>
      </c>
      <c r="F21" s="30" t="n">
        <f aca="false">SUM(F17:F20)</f>
        <v>87.0282285</v>
      </c>
      <c r="G21" s="30" t="n">
        <f aca="false">SUM(G17:G20)</f>
        <v>90.985956</v>
      </c>
      <c r="I21" s="11" t="s">
        <v>652</v>
      </c>
    </row>
    <row r="22" customFormat="false" ht="15" hidden="false" customHeight="false" outlineLevel="1" collapsed="false">
      <c r="A22" s="2" t="s">
        <v>653</v>
      </c>
      <c r="B22" s="7" t="s">
        <v>92</v>
      </c>
      <c r="C22" s="30" t="n">
        <f aca="false">C21-C12</f>
        <v>45.3924958156778</v>
      </c>
      <c r="D22" s="30" t="n">
        <f aca="false">D21-D12</f>
        <v>71.8853373202291</v>
      </c>
      <c r="E22" s="30" t="n">
        <f aca="false">E21-E12</f>
        <v>84.3099096068628</v>
      </c>
      <c r="F22" s="30" t="n">
        <f aca="false">F21-F12</f>
        <v>85.0282285</v>
      </c>
      <c r="G22" s="30" t="n">
        <f aca="false">G21-G12</f>
        <v>88.985956</v>
      </c>
    </row>
    <row r="23" customFormat="false" ht="15" hidden="false" customHeight="false" outlineLevel="0" collapsed="false">
      <c r="A23" s="40" t="s">
        <v>654</v>
      </c>
      <c r="B23" s="9"/>
      <c r="C23" s="9"/>
      <c r="D23" s="9"/>
      <c r="E23" s="9"/>
      <c r="F23" s="9"/>
      <c r="G23" s="9"/>
      <c r="H23" s="9"/>
    </row>
    <row r="24" customFormat="false" ht="15" hidden="false" customHeight="false" outlineLevel="1" collapsed="false">
      <c r="A24" s="3" t="s">
        <v>655</v>
      </c>
      <c r="B24" s="7" t="s">
        <v>246</v>
      </c>
      <c r="C24" s="44" t="n">
        <f aca="false">損益!C20</f>
        <v>0.587</v>
      </c>
      <c r="D24" s="44" t="n">
        <f aca="false">損益!D20</f>
        <v>0.59287</v>
      </c>
      <c r="E24" s="44" t="n">
        <f aca="false">損益!E20</f>
        <v>0.5987987</v>
      </c>
      <c r="F24" s="44" t="n">
        <f aca="false">損益!F20</f>
        <v>0.604786687</v>
      </c>
      <c r="G24" s="44" t="n">
        <f aca="false">損益!G20</f>
        <v>0.61083455387</v>
      </c>
    </row>
    <row r="25" customFormat="false" ht="15" hidden="false" customHeight="false" outlineLevel="1" collapsed="false">
      <c r="A25" s="3" t="s">
        <v>656</v>
      </c>
      <c r="B25" s="7" t="s">
        <v>246</v>
      </c>
      <c r="C25" s="44" t="n">
        <f aca="false">各期收支!C65</f>
        <v>0</v>
      </c>
      <c r="D25" s="44" t="n">
        <f aca="false">各期收支!D65</f>
        <v>0</v>
      </c>
      <c r="E25" s="44" t="n">
        <f aca="false">各期收支!E65</f>
        <v>0</v>
      </c>
      <c r="F25" s="44" t="n">
        <f aca="false">各期收支!F65</f>
        <v>0.112284310887923</v>
      </c>
      <c r="G25" s="44" t="n">
        <f aca="false">各期收支!G65</f>
        <v>0.0685805835953982</v>
      </c>
    </row>
    <row r="26" customFormat="false" ht="15" hidden="false" customHeight="false" outlineLevel="1" collapsed="false">
      <c r="A26" s="2" t="s">
        <v>657</v>
      </c>
      <c r="B26" s="7" t="s">
        <v>246</v>
      </c>
      <c r="C26" s="45" t="n">
        <f aca="false">損益!C21</f>
        <v>0.587</v>
      </c>
      <c r="D26" s="45" t="n">
        <f aca="false">損益!D21</f>
        <v>0.59287</v>
      </c>
      <c r="E26" s="45" t="n">
        <f aca="false">損益!E21</f>
        <v>0.5987987</v>
      </c>
      <c r="F26" s="45" t="n">
        <f aca="false">損益!F21</f>
        <v>0.717070997887923</v>
      </c>
      <c r="G26" s="45" t="n">
        <f aca="false">損益!G21</f>
        <v>0.791699448353322</v>
      </c>
      <c r="I26" s="11" t="s">
        <v>658</v>
      </c>
    </row>
    <row r="27" customFormat="false" ht="15" hidden="false" customHeight="false" outlineLevel="0" collapsed="false">
      <c r="A27" s="40" t="s">
        <v>659</v>
      </c>
      <c r="B27" s="9"/>
      <c r="C27" s="9"/>
      <c r="D27" s="9"/>
      <c r="E27" s="9"/>
      <c r="F27" s="9"/>
      <c r="G27" s="9"/>
      <c r="H27" s="9"/>
    </row>
    <row r="28" customFormat="false" ht="15" hidden="false" customHeight="false" outlineLevel="1" collapsed="false">
      <c r="A28" s="3" t="s">
        <v>396</v>
      </c>
      <c r="B28" s="7" t="s">
        <v>92</v>
      </c>
      <c r="C28" s="26" t="n">
        <f aca="false">各期收支!C53</f>
        <v>115.50825</v>
      </c>
      <c r="D28" s="26" t="n">
        <f aca="false">各期收支!D53</f>
        <v>89.12475</v>
      </c>
      <c r="E28" s="26" t="n">
        <f aca="false">各期收支!E53</f>
        <v>99.902412</v>
      </c>
      <c r="F28" s="26" t="n">
        <f aca="false">各期收支!F53</f>
        <v>87.0282285</v>
      </c>
      <c r="G28" s="26" t="n">
        <f aca="false">各期收支!G53</f>
        <v>90.985956</v>
      </c>
    </row>
    <row r="29" customFormat="false" ht="15" hidden="false" customHeight="false" outlineLevel="1" collapsed="false">
      <c r="A29" s="3" t="s">
        <v>400</v>
      </c>
      <c r="B29" s="7" t="s">
        <v>92</v>
      </c>
      <c r="C29" s="26" t="n">
        <f aca="false">各期收支!C55</f>
        <v>115.50825</v>
      </c>
      <c r="D29" s="26" t="n">
        <f aca="false">各期收支!D55</f>
        <v>89.12475</v>
      </c>
      <c r="E29" s="26" t="n">
        <f aca="false">各期收支!E55</f>
        <v>99.902412</v>
      </c>
      <c r="F29" s="26" t="n">
        <f aca="false">各期收支!F55</f>
        <v>87.0282285</v>
      </c>
      <c r="G29" s="26" t="n">
        <f aca="false">各期收支!G55</f>
        <v>90.985956</v>
      </c>
    </row>
    <row r="30" customFormat="false" ht="15" hidden="false" customHeight="false" outlineLevel="1" collapsed="false">
      <c r="A30" s="3" t="s">
        <v>660</v>
      </c>
      <c r="B30" s="7" t="s">
        <v>216</v>
      </c>
      <c r="C30" s="58" t="n">
        <f aca="false">C21/MAX(0.01,C28)</f>
        <v>0.410295332287328</v>
      </c>
      <c r="D30" s="58" t="n">
        <f aca="false">D21/MAX(0.01,D28)</f>
        <v>0.829010317787473</v>
      </c>
      <c r="E30" s="58" t="n">
        <f aca="false">E21/MAX(0.01,E28)</f>
        <v>0.863942199982747</v>
      </c>
      <c r="F30" s="58" t="n">
        <f aca="false">F21/MAX(0.01,F28)</f>
        <v>1</v>
      </c>
      <c r="G30" s="58" t="n">
        <f aca="false">G21/MAX(0.01,G28)</f>
        <v>1</v>
      </c>
      <c r="I30" s="11" t="s">
        <v>661</v>
      </c>
    </row>
    <row r="31" customFormat="false" ht="15" hidden="false" customHeight="false" outlineLevel="1" collapsed="false">
      <c r="A31" s="3" t="s">
        <v>662</v>
      </c>
      <c r="B31" s="7" t="s">
        <v>216</v>
      </c>
      <c r="C31" s="59" t="n">
        <f aca="false">C21/MAX(0.01,損益!C19/輸入與假設!C$24)</f>
        <v>4.77393700786694</v>
      </c>
      <c r="D31" s="59" t="n">
        <f aca="false">D21/MAX(0.01,損益!D19/輸入與假設!D$24)</f>
        <v>4.67417565768812</v>
      </c>
      <c r="E31" s="59" t="n">
        <f aca="false">E21/MAX(0.01,損益!E19/輸入與假設!E$24)</f>
        <v>3.79633898511342</v>
      </c>
      <c r="F31" s="59" t="n">
        <f aca="false">F21/MAX(0.01,損益!F19/輸入與假設!F$24)</f>
        <v>3.2351245979566</v>
      </c>
      <c r="G31" s="59" t="n">
        <f aca="false">G21/MAX(0.01,損益!G19/輸入與假設!G$24)</f>
        <v>3.11105062052045</v>
      </c>
      <c r="I31" s="7" t="s">
        <v>663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pageSetUpPr fitToPage="fals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8" min="3" style="0" width="13"/>
    <col collapsed="false" customWidth="true" hidden="false" outlineLevel="0" max="9" min="9" style="0" width="86"/>
  </cols>
  <sheetData>
    <row r="1" customFormat="false" ht="19.4" hidden="false" customHeight="false" outlineLevel="0" collapsed="false">
      <c r="A1" s="6" t="s">
        <v>664</v>
      </c>
    </row>
    <row r="2" customFormat="false" ht="15" hidden="false" customHeight="false" outlineLevel="0" collapsed="false">
      <c r="A2" s="11" t="s">
        <v>665</v>
      </c>
    </row>
    <row r="4" customFormat="false" ht="15" hidden="false" customHeight="false" outlineLevel="0" collapsed="false">
      <c r="A4" s="2" t="s">
        <v>666</v>
      </c>
    </row>
    <row r="5" customFormat="false" ht="15" hidden="false" customHeight="false" outlineLevel="0" collapsed="false">
      <c r="A5" s="15" t="s">
        <v>111</v>
      </c>
      <c r="B5" s="15" t="s">
        <v>74</v>
      </c>
      <c r="C5" s="14" t="s">
        <v>667</v>
      </c>
      <c r="D5" s="14" t="s">
        <v>668</v>
      </c>
      <c r="E5" s="14" t="s">
        <v>669</v>
      </c>
      <c r="F5" s="14" t="s">
        <v>670</v>
      </c>
      <c r="G5" s="14" t="s">
        <v>671</v>
      </c>
      <c r="H5" s="15" t="s">
        <v>672</v>
      </c>
    </row>
    <row r="6" customFormat="false" ht="15" hidden="false" customHeight="false" outlineLevel="0" collapsed="false">
      <c r="A6" s="3" t="s">
        <v>673</v>
      </c>
      <c r="B6" s="7" t="s">
        <v>92</v>
      </c>
      <c r="C6" s="18" t="n">
        <v>1.028</v>
      </c>
      <c r="D6" s="18" t="n">
        <v>2.116</v>
      </c>
      <c r="E6" s="18" t="n">
        <v>2.306</v>
      </c>
      <c r="F6" s="18" t="n">
        <v>2.373</v>
      </c>
      <c r="G6" s="18" t="n">
        <v>2.289</v>
      </c>
      <c r="H6" s="18" t="n">
        <v>19.023</v>
      </c>
    </row>
    <row r="7" customFormat="false" ht="15" hidden="false" customHeight="false" outlineLevel="0" collapsed="false">
      <c r="A7" s="3" t="s">
        <v>674</v>
      </c>
      <c r="B7" s="7" t="s">
        <v>92</v>
      </c>
      <c r="C7" s="18" t="n">
        <v>0.012</v>
      </c>
      <c r="D7" s="18" t="n">
        <v>0.223</v>
      </c>
      <c r="E7" s="18" t="n">
        <v>0</v>
      </c>
      <c r="F7" s="18" t="n">
        <v>0</v>
      </c>
      <c r="G7" s="18" t="n">
        <v>0</v>
      </c>
      <c r="H7" s="18" t="n">
        <v>0</v>
      </c>
    </row>
    <row r="8" customFormat="false" ht="15" hidden="false" customHeight="false" outlineLevel="0" collapsed="false">
      <c r="A8" s="2" t="s">
        <v>675</v>
      </c>
      <c r="C8" s="47" t="n">
        <f aca="false">SUM(C6:C7)</f>
        <v>1.04</v>
      </c>
      <c r="D8" s="47" t="n">
        <f aca="false">SUM(D6:D7)</f>
        <v>2.339</v>
      </c>
      <c r="E8" s="47" t="n">
        <f aca="false">SUM(E6:E7)</f>
        <v>2.306</v>
      </c>
      <c r="F8" s="47" t="n">
        <f aca="false">SUM(F6:F7)</f>
        <v>2.373</v>
      </c>
      <c r="G8" s="47" t="n">
        <f aca="false">SUM(G6:G7)</f>
        <v>2.289</v>
      </c>
      <c r="H8" s="47" t="n">
        <f aca="false">SUM(H6:H7)</f>
        <v>19.023</v>
      </c>
      <c r="I8" s="11" t="s">
        <v>676</v>
      </c>
    </row>
    <row r="10" customFormat="false" ht="15" hidden="false" customHeight="false" outlineLevel="0" collapsed="false">
      <c r="A10" s="2" t="s">
        <v>677</v>
      </c>
    </row>
    <row r="11" customFormat="false" ht="15" hidden="false" customHeight="false" outlineLevel="0" collapsed="false">
      <c r="A11" s="15" t="s">
        <v>111</v>
      </c>
      <c r="B11" s="15" t="s">
        <v>74</v>
      </c>
      <c r="C11" s="14" t="s">
        <v>667</v>
      </c>
      <c r="D11" s="14" t="s">
        <v>668</v>
      </c>
      <c r="E11" s="14" t="s">
        <v>669</v>
      </c>
      <c r="F11" s="14" t="s">
        <v>670</v>
      </c>
      <c r="G11" s="14" t="s">
        <v>671</v>
      </c>
      <c r="H11" s="15" t="s">
        <v>672</v>
      </c>
    </row>
    <row r="12" customFormat="false" ht="15" hidden="false" customHeight="false" outlineLevel="0" collapsed="false">
      <c r="A12" s="3" t="s">
        <v>678</v>
      </c>
      <c r="B12" s="7" t="s">
        <v>92</v>
      </c>
      <c r="C12" s="18" t="n">
        <v>4.413</v>
      </c>
      <c r="D12" s="18" t="n">
        <v>6.184</v>
      </c>
      <c r="E12" s="18" t="n">
        <v>4.416</v>
      </c>
      <c r="F12" s="18" t="n">
        <v>2.421</v>
      </c>
      <c r="G12" s="18" t="n">
        <v>3.221</v>
      </c>
      <c r="H12" s="18" t="n">
        <v>14.896</v>
      </c>
      <c r="I12" s="11" t="s">
        <v>679</v>
      </c>
    </row>
    <row r="13" customFormat="false" ht="15" hidden="false" customHeight="false" outlineLevel="0" collapsed="false">
      <c r="A13" s="2" t="s">
        <v>680</v>
      </c>
      <c r="C13" s="47" t="n">
        <f aca="false">SUM(C12:H12)</f>
        <v>35.551</v>
      </c>
    </row>
    <row r="15" customFormat="false" ht="15" hidden="false" customHeight="false" outlineLevel="0" collapsed="false">
      <c r="A15" s="2" t="s">
        <v>681</v>
      </c>
    </row>
    <row r="16" customFormat="false" ht="15" hidden="false" customHeight="false" outlineLevel="0" collapsed="false">
      <c r="A16" s="15" t="s">
        <v>111</v>
      </c>
      <c r="B16" s="15" t="s">
        <v>74</v>
      </c>
      <c r="C16" s="15" t="s">
        <v>682</v>
      </c>
      <c r="D16" s="15" t="s">
        <v>683</v>
      </c>
      <c r="E16" s="15" t="s">
        <v>684</v>
      </c>
      <c r="F16" s="15" t="s">
        <v>685</v>
      </c>
    </row>
    <row r="17" customFormat="false" ht="15" hidden="false" customHeight="false" outlineLevel="0" collapsed="false">
      <c r="A17" s="3" t="s">
        <v>686</v>
      </c>
      <c r="B17" s="7" t="s">
        <v>92</v>
      </c>
      <c r="C17" s="60" t="n">
        <v>35.5</v>
      </c>
      <c r="D17" s="7" t="s">
        <v>687</v>
      </c>
      <c r="E17" s="11" t="s">
        <v>688</v>
      </c>
      <c r="F17" s="11" t="s">
        <v>689</v>
      </c>
    </row>
    <row r="18" customFormat="false" ht="15" hidden="false" customHeight="false" outlineLevel="0" collapsed="false">
      <c r="A18" s="3" t="s">
        <v>690</v>
      </c>
      <c r="B18" s="7" t="s">
        <v>92</v>
      </c>
      <c r="C18" s="60" t="n">
        <v>14.7</v>
      </c>
      <c r="D18" s="7" t="s">
        <v>691</v>
      </c>
      <c r="E18" s="11" t="s">
        <v>688</v>
      </c>
      <c r="F18" s="11" t="s">
        <v>689</v>
      </c>
    </row>
    <row r="19" customFormat="false" ht="15" hidden="false" customHeight="false" outlineLevel="0" collapsed="false">
      <c r="A19" s="3" t="s">
        <v>692</v>
      </c>
      <c r="B19" s="7" t="s">
        <v>92</v>
      </c>
      <c r="C19" s="61" t="s">
        <v>693</v>
      </c>
      <c r="D19" s="7" t="s">
        <v>694</v>
      </c>
      <c r="E19" s="11" t="s">
        <v>688</v>
      </c>
      <c r="F19" s="11" t="s">
        <v>689</v>
      </c>
    </row>
    <row r="20" customFormat="false" ht="15" hidden="false" customHeight="false" outlineLevel="0" collapsed="false">
      <c r="A20" s="3" t="s">
        <v>695</v>
      </c>
      <c r="B20" s="7" t="s">
        <v>92</v>
      </c>
      <c r="C20" s="60" t="n">
        <v>1.2</v>
      </c>
      <c r="D20" s="7" t="s">
        <v>696</v>
      </c>
      <c r="E20" s="11" t="s">
        <v>688</v>
      </c>
      <c r="F20" s="11" t="s">
        <v>697</v>
      </c>
    </row>
    <row r="21" customFormat="false" ht="15" hidden="false" customHeight="false" outlineLevel="0" collapsed="false">
      <c r="A21" s="4" t="s">
        <v>698</v>
      </c>
      <c r="B21" s="7" t="s">
        <v>92</v>
      </c>
      <c r="C21" s="60" t="n">
        <v>1.7</v>
      </c>
      <c r="D21" s="11" t="s">
        <v>699</v>
      </c>
      <c r="E21" s="11" t="s">
        <v>688</v>
      </c>
      <c r="F21" s="7" t="s">
        <v>700</v>
      </c>
    </row>
    <row r="22" customFormat="false" ht="15" hidden="false" customHeight="false" outlineLevel="0" collapsed="false">
      <c r="A22" s="4" t="s">
        <v>701</v>
      </c>
      <c r="B22" s="7" t="s">
        <v>92</v>
      </c>
      <c r="C22" s="60" t="n">
        <v>0.108</v>
      </c>
      <c r="D22" s="7" t="s">
        <v>702</v>
      </c>
      <c r="E22" s="11" t="s">
        <v>688</v>
      </c>
      <c r="F22" s="11" t="s">
        <v>703</v>
      </c>
    </row>
    <row r="23" customFormat="false" ht="15" hidden="false" customHeight="false" outlineLevel="0" collapsed="false">
      <c r="A23" s="3" t="s">
        <v>704</v>
      </c>
      <c r="B23" s="7" t="s">
        <v>92</v>
      </c>
      <c r="C23" s="60" t="n">
        <v>10.014</v>
      </c>
      <c r="D23" s="7" t="s">
        <v>705</v>
      </c>
      <c r="E23" s="11" t="s">
        <v>706</v>
      </c>
      <c r="F23" s="11" t="s">
        <v>707</v>
      </c>
    </row>
    <row r="24" customFormat="false" ht="15" hidden="false" customHeight="false" outlineLevel="0" collapsed="false">
      <c r="A24" s="2" t="s">
        <v>708</v>
      </c>
      <c r="C24" s="47" t="n">
        <f aca="false">C17+C18</f>
        <v>50.2</v>
      </c>
    </row>
    <row r="25" customFormat="false" ht="15" hidden="false" customHeight="false" outlineLevel="0" collapsed="false">
      <c r="A25" s="3" t="s">
        <v>709</v>
      </c>
      <c r="C25" s="62" t="n">
        <f aca="false">SUM(各期收支!C11:G11)</f>
        <v>9.97089330024814</v>
      </c>
    </row>
    <row r="26" customFormat="false" ht="15" hidden="false" customHeight="false" outlineLevel="0" collapsed="false">
      <c r="A26" s="3" t="s">
        <v>710</v>
      </c>
      <c r="C26" s="46" t="n">
        <f aca="false">各期收支!G11*12</f>
        <v>34.8184615384615</v>
      </c>
    </row>
    <row r="27" customFormat="false" ht="15" hidden="false" customHeight="false" outlineLevel="0" collapsed="false">
      <c r="A27" s="2" t="s">
        <v>711</v>
      </c>
      <c r="C27" s="63" t="n">
        <f aca="false">(C25+C26)/C24</f>
        <v>0.892218223878679</v>
      </c>
      <c r="I27" s="7" t="s">
        <v>712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A35A"/>
    <outlinePr summaryBelow="0" summaryRight="1"/>
    <pageSetUpPr fitToPage="false"/>
  </sheetPr>
  <dimension ref="A1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17.35" hidden="false" customHeight="false" outlineLevel="0" collapsed="false">
      <c r="A1" s="6" t="s">
        <v>713</v>
      </c>
    </row>
    <row r="2" customFormat="false" ht="15" hidden="false" customHeight="false" outlineLevel="0" collapsed="false">
      <c r="A2" s="11" t="s">
        <v>714</v>
      </c>
    </row>
    <row r="4" customFormat="false" ht="15" hidden="false" customHeight="false" outlineLevel="0" collapsed="false">
      <c r="A4" s="15" t="s">
        <v>111</v>
      </c>
      <c r="B4" s="15" t="s">
        <v>74</v>
      </c>
      <c r="C4" s="21" t="s">
        <v>75</v>
      </c>
      <c r="D4" s="21" t="s">
        <v>76</v>
      </c>
      <c r="E4" s="21" t="s">
        <v>77</v>
      </c>
      <c r="F4" s="21" t="s">
        <v>78</v>
      </c>
      <c r="G4" s="21" t="s">
        <v>79</v>
      </c>
      <c r="I4" s="15" t="s">
        <v>323</v>
      </c>
    </row>
    <row r="5" customFormat="false" ht="15" hidden="false" customHeight="false" outlineLevel="0" collapsed="false">
      <c r="A5" s="40" t="s">
        <v>715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716</v>
      </c>
      <c r="B6" s="7" t="s">
        <v>92</v>
      </c>
      <c r="C6" s="33" t="n">
        <f aca="false">運營_產能與收入!C25</f>
        <v>8.113</v>
      </c>
      <c r="D6" s="33" t="n">
        <f aca="false">運營_產能與收入!D25</f>
        <v>25.1275</v>
      </c>
      <c r="E6" s="33" t="n">
        <f aca="false">運營_產能與收入!E25</f>
        <v>34.8694155</v>
      </c>
      <c r="F6" s="33" t="n">
        <f aca="false">運營_產能與收入!F25</f>
        <v>39.5638485</v>
      </c>
      <c r="G6" s="33" t="n">
        <f aca="false">運營_產能與收入!G25</f>
        <v>41.19393</v>
      </c>
      <c r="I6" s="11" t="s">
        <v>717</v>
      </c>
    </row>
    <row r="7" customFormat="false" ht="15" hidden="false" customHeight="false" outlineLevel="1" collapsed="false">
      <c r="A7" s="3" t="s">
        <v>718</v>
      </c>
      <c r="B7" s="7" t="s">
        <v>92</v>
      </c>
      <c r="C7" s="33" t="n">
        <f aca="false">輸入與假設!C$33</f>
        <v>0.3</v>
      </c>
      <c r="D7" s="33" t="n">
        <f aca="false">輸入與假設!D$33</f>
        <v>1</v>
      </c>
      <c r="E7" s="33" t="n">
        <f aca="false">輸入與假設!E$33</f>
        <v>1.8</v>
      </c>
      <c r="F7" s="33" t="n">
        <f aca="false">輸入與假設!F$33</f>
        <v>2.8</v>
      </c>
      <c r="G7" s="33" t="n">
        <f aca="false">輸入與假設!G$33</f>
        <v>3.8</v>
      </c>
    </row>
    <row r="8" customFormat="false" ht="15" hidden="false" customHeight="false" outlineLevel="1" collapsed="false">
      <c r="A8" s="2" t="s">
        <v>719</v>
      </c>
      <c r="B8" s="7" t="s">
        <v>92</v>
      </c>
      <c r="C8" s="30" t="n">
        <f aca="false">C6+C7</f>
        <v>8.413</v>
      </c>
      <c r="D8" s="30" t="n">
        <f aca="false">D6+D7</f>
        <v>26.1275</v>
      </c>
      <c r="E8" s="30" t="n">
        <f aca="false">E6+E7</f>
        <v>36.6694155</v>
      </c>
      <c r="F8" s="30" t="n">
        <f aca="false">F6+F7</f>
        <v>42.3638485</v>
      </c>
      <c r="G8" s="30" t="n">
        <f aca="false">G6+G7</f>
        <v>44.99393</v>
      </c>
    </row>
    <row r="9" customFormat="false" ht="15" hidden="false" customHeight="false" outlineLevel="1" collapsed="false">
      <c r="A9" s="4" t="s">
        <v>139</v>
      </c>
      <c r="B9" s="7" t="s">
        <v>89</v>
      </c>
      <c r="C9" s="41" t="n">
        <f aca="false">輸入與假設!C$39</f>
        <v>0.59</v>
      </c>
      <c r="D9" s="41" t="n">
        <f aca="false">輸入與假設!D$39</f>
        <v>0.605</v>
      </c>
      <c r="E9" s="41" t="n">
        <f aca="false">輸入與假設!E$39</f>
        <v>0.62</v>
      </c>
      <c r="F9" s="41" t="n">
        <f aca="false">輸入與假設!F$39</f>
        <v>0.635</v>
      </c>
      <c r="G9" s="41" t="n">
        <f aca="false">輸入與假設!G$39</f>
        <v>0.65</v>
      </c>
    </row>
    <row r="10" customFormat="false" ht="15" hidden="false" customHeight="false" outlineLevel="1" collapsed="false">
      <c r="A10" s="3" t="s">
        <v>720</v>
      </c>
      <c r="B10" s="7" t="s">
        <v>92</v>
      </c>
      <c r="C10" s="26" t="n">
        <f aca="false">C8*輸入與假設!C$39-輸入與假設!C$74</f>
        <v>0.200836666666667</v>
      </c>
      <c r="D10" s="26" t="n">
        <f aca="false">D8*輸入與假設!D$39-輸入與假設!D$74</f>
        <v>1.35055416666666</v>
      </c>
      <c r="E10" s="26" t="n">
        <f aca="false">E8*輸入與假設!E$39-輸入與假設!E$74</f>
        <v>2.63303761</v>
      </c>
      <c r="F10" s="26" t="n">
        <f aca="false">F8*輸入與假設!F$39-輸入與假設!F$74</f>
        <v>2.0815437975</v>
      </c>
      <c r="G10" s="26" t="n">
        <f aca="false">G8*輸入與假設!G$39-輸入與假設!G$74</f>
        <v>0.19072116666667</v>
      </c>
      <c r="I10" s="11" t="s">
        <v>721</v>
      </c>
    </row>
    <row r="11" customFormat="false" ht="15" hidden="false" customHeight="false" outlineLevel="1" collapsed="false">
      <c r="A11" s="3" t="s">
        <v>722</v>
      </c>
      <c r="B11" s="7" t="s">
        <v>92</v>
      </c>
      <c r="C11" s="33" t="n">
        <f aca="false">各期收支!C17</f>
        <v>2.37084859865945</v>
      </c>
      <c r="D11" s="33" t="n">
        <f aca="false">各期收支!D17</f>
        <v>6.53682712051508</v>
      </c>
      <c r="E11" s="33" t="n">
        <f aca="false">各期收支!E17</f>
        <v>7.60656661258536</v>
      </c>
      <c r="F11" s="33" t="n">
        <f aca="false">各期收支!F17</f>
        <v>7.60149206411395</v>
      </c>
      <c r="G11" s="33" t="n">
        <f aca="false">各期收支!G17</f>
        <v>8.01023455973222</v>
      </c>
    </row>
    <row r="12" customFormat="false" ht="15" hidden="false" customHeight="false" outlineLevel="1" collapsed="false">
      <c r="A12" s="3" t="s">
        <v>723</v>
      </c>
      <c r="B12" s="7" t="s">
        <v>92</v>
      </c>
      <c r="C12" s="26" t="n">
        <f aca="false">C10-C11</f>
        <v>-2.17001193199279</v>
      </c>
      <c r="D12" s="26" t="n">
        <f aca="false">D10-D11</f>
        <v>-5.18627295384842</v>
      </c>
      <c r="E12" s="26" t="n">
        <f aca="false">E10-E11</f>
        <v>-4.97352900258536</v>
      </c>
      <c r="F12" s="26" t="n">
        <f aca="false">F10-F11</f>
        <v>-5.51994826661395</v>
      </c>
      <c r="G12" s="26" t="n">
        <f aca="false">G10-G11</f>
        <v>-7.81951339306555</v>
      </c>
    </row>
    <row r="13" customFormat="false" ht="15" hidden="false" customHeight="false" outlineLevel="1" collapsed="false">
      <c r="A13" s="4" t="s">
        <v>724</v>
      </c>
      <c r="B13" s="7" t="s">
        <v>92</v>
      </c>
      <c r="C13" s="26" t="n">
        <f aca="false">輸入與假設!$C$105</f>
        <v>4</v>
      </c>
      <c r="D13" s="26" t="n">
        <f aca="false">C15</f>
        <v>6.17001193199279</v>
      </c>
      <c r="E13" s="26" t="n">
        <f aca="false">D15</f>
        <v>11.3562848858412</v>
      </c>
      <c r="F13" s="26" t="n">
        <f aca="false">E15</f>
        <v>16.3298138884266</v>
      </c>
      <c r="G13" s="26" t="n">
        <f aca="false">F15</f>
        <v>21.8497621550405</v>
      </c>
      <c r="I13" s="7" t="s">
        <v>725</v>
      </c>
    </row>
    <row r="14" customFormat="false" ht="15" hidden="false" customHeight="false" outlineLevel="1" collapsed="false">
      <c r="A14" s="3" t="s">
        <v>726</v>
      </c>
      <c r="B14" s="7" t="s">
        <v>92</v>
      </c>
      <c r="C14" s="26" t="n">
        <f aca="false">MIN(C13,MAX(0,C12)*0.8)</f>
        <v>0</v>
      </c>
      <c r="D14" s="26" t="n">
        <f aca="false">MIN(D13,MAX(0,D12)*0.8)</f>
        <v>0</v>
      </c>
      <c r="E14" s="26" t="n">
        <f aca="false">MIN(E13,MAX(0,E12)*0.8)</f>
        <v>0</v>
      </c>
      <c r="F14" s="26" t="n">
        <f aca="false">MIN(F13,MAX(0,F12)*0.8)</f>
        <v>0</v>
      </c>
      <c r="G14" s="26" t="n">
        <f aca="false">MIN(G13,MAX(0,G12)*0.8)</f>
        <v>0</v>
      </c>
      <c r="I14" s="11" t="s">
        <v>727</v>
      </c>
    </row>
    <row r="15" customFormat="false" ht="15" hidden="false" customHeight="false" outlineLevel="1" collapsed="false">
      <c r="A15" s="4" t="s">
        <v>728</v>
      </c>
      <c r="B15" s="7" t="s">
        <v>92</v>
      </c>
      <c r="C15" s="26" t="n">
        <f aca="false">C13-C14+MAX(0,-C12)</f>
        <v>6.17001193199279</v>
      </c>
      <c r="D15" s="26" t="n">
        <f aca="false">D13-D14+MAX(0,-D12)</f>
        <v>11.3562848858412</v>
      </c>
      <c r="E15" s="26" t="n">
        <f aca="false">E13-E14+MAX(0,-E12)</f>
        <v>16.3298138884266</v>
      </c>
      <c r="F15" s="26" t="n">
        <f aca="false">F13-F14+MAX(0,-F12)</f>
        <v>21.8497621550405</v>
      </c>
      <c r="G15" s="26" t="n">
        <f aca="false">G13-G14+MAX(0,-G12)</f>
        <v>29.6692755481061</v>
      </c>
    </row>
    <row r="16" customFormat="false" ht="15" hidden="false" customHeight="false" outlineLevel="1" collapsed="false">
      <c r="A16" s="3" t="s">
        <v>729</v>
      </c>
      <c r="B16" s="7" t="s">
        <v>92</v>
      </c>
      <c r="C16" s="26" t="n">
        <f aca="false">MAX(0,C12-C14)*輸入與假設!$C$104</f>
        <v>0</v>
      </c>
      <c r="D16" s="26" t="n">
        <f aca="false">MAX(0,D12-D14)*輸入與假設!$C$104</f>
        <v>0</v>
      </c>
      <c r="E16" s="26" t="n">
        <f aca="false">MAX(0,E12-E14)*輸入與假設!$C$104</f>
        <v>0</v>
      </c>
      <c r="F16" s="26" t="n">
        <f aca="false">MAX(0,F12-F14)*輸入與假設!$C$104</f>
        <v>0</v>
      </c>
      <c r="G16" s="26" t="n">
        <f aca="false">MAX(0,G12-G14)*輸入與假設!$C$104</f>
        <v>0</v>
      </c>
      <c r="I16" s="11" t="s">
        <v>730</v>
      </c>
    </row>
    <row r="17" customFormat="false" ht="15" hidden="false" customHeight="false" outlineLevel="1" collapsed="false">
      <c r="A17" s="2" t="s">
        <v>731</v>
      </c>
      <c r="B17" s="7" t="s">
        <v>92</v>
      </c>
      <c r="C17" s="30" t="n">
        <f aca="false">C12-C16</f>
        <v>-2.17001193199279</v>
      </c>
      <c r="D17" s="30" t="n">
        <f aca="false">D12-D16</f>
        <v>-5.18627295384842</v>
      </c>
      <c r="E17" s="30" t="n">
        <f aca="false">E12-E16</f>
        <v>-4.97352900258536</v>
      </c>
      <c r="F17" s="30" t="n">
        <f aca="false">F12-F16</f>
        <v>-5.51994826661395</v>
      </c>
      <c r="G17" s="30" t="n">
        <f aca="false">G12-G16</f>
        <v>-7.81951339306555</v>
      </c>
    </row>
    <row r="18" customFormat="false" ht="15" hidden="false" customHeight="false" outlineLevel="1" collapsed="false">
      <c r="A18" s="4" t="s">
        <v>308</v>
      </c>
      <c r="B18" s="7" t="s">
        <v>92</v>
      </c>
      <c r="C18" s="33" t="n">
        <f aca="false">輸入與假設!C$74</f>
        <v>4.76283333333333</v>
      </c>
      <c r="D18" s="33" t="n">
        <f aca="false">輸入與假設!D$74</f>
        <v>14.4565833333333</v>
      </c>
      <c r="E18" s="33" t="n">
        <f aca="false">輸入與假設!E$74</f>
        <v>20.102</v>
      </c>
      <c r="F18" s="33" t="n">
        <f aca="false">輸入與假設!F$74</f>
        <v>24.8195</v>
      </c>
      <c r="G18" s="33" t="n">
        <f aca="false">輸入與假設!G$74</f>
        <v>29.0553333333333</v>
      </c>
      <c r="I18" s="11" t="s">
        <v>732</v>
      </c>
    </row>
    <row r="19" customFormat="false" ht="15" hidden="false" customHeight="false" outlineLevel="1" collapsed="false">
      <c r="A19" s="5" t="s">
        <v>733</v>
      </c>
      <c r="B19" s="7" t="s">
        <v>92</v>
      </c>
      <c r="C19" s="30" t="n">
        <f aca="false">C10+C18</f>
        <v>4.96367</v>
      </c>
      <c r="D19" s="30" t="n">
        <f aca="false">D10+D18</f>
        <v>15.8071375</v>
      </c>
      <c r="E19" s="30" t="n">
        <f aca="false">E10+E18</f>
        <v>22.73503761</v>
      </c>
      <c r="F19" s="30" t="n">
        <f aca="false">F10+F18</f>
        <v>26.9010437975</v>
      </c>
      <c r="G19" s="30" t="n">
        <f aca="false">G10+G18</f>
        <v>29.2460545</v>
      </c>
    </row>
    <row r="20" customFormat="false" ht="15" hidden="false" customHeight="false" outlineLevel="1" collapsed="false">
      <c r="A20" s="3" t="s">
        <v>734</v>
      </c>
      <c r="B20" s="7" t="s">
        <v>246</v>
      </c>
      <c r="C20" s="64" t="n">
        <f aca="false">輸入與假設!$C$99</f>
        <v>0.587</v>
      </c>
      <c r="D20" s="64" t="n">
        <f aca="false">C20*(1+輸入與假設!$C$112)</f>
        <v>0.59287</v>
      </c>
      <c r="E20" s="64" t="n">
        <f aca="false">D20*(1+輸入與假設!$C$112)</f>
        <v>0.5987987</v>
      </c>
      <c r="F20" s="64" t="n">
        <f aca="false">E20*(1+輸入與假設!$C$112)</f>
        <v>0.604786687</v>
      </c>
      <c r="G20" s="64" t="n">
        <f aca="false">F20*(1+輸入與假設!$C$112)</f>
        <v>0.61083455387</v>
      </c>
      <c r="I20" s="7" t="s">
        <v>735</v>
      </c>
    </row>
    <row r="21" customFormat="false" ht="15" hidden="false" customHeight="false" outlineLevel="1" collapsed="false">
      <c r="A21" s="3" t="s">
        <v>736</v>
      </c>
      <c r="B21" s="7" t="s">
        <v>246</v>
      </c>
      <c r="C21" s="64" t="n">
        <f aca="false">C20+各期收支!C66</f>
        <v>0.587</v>
      </c>
      <c r="D21" s="64" t="n">
        <f aca="false">D20+各期收支!D66</f>
        <v>0.59287</v>
      </c>
      <c r="E21" s="64" t="n">
        <f aca="false">E20+各期收支!E66</f>
        <v>0.5987987</v>
      </c>
      <c r="F21" s="64" t="n">
        <f aca="false">F20+各期收支!F66</f>
        <v>0.717070997887923</v>
      </c>
      <c r="G21" s="64" t="n">
        <f aca="false">G20+各期收支!G66</f>
        <v>0.791699448353322</v>
      </c>
      <c r="I21" s="11" t="s">
        <v>737</v>
      </c>
    </row>
    <row r="22" customFormat="false" ht="15" hidden="false" customHeight="false" outlineLevel="1" collapsed="false">
      <c r="A22" s="3" t="s">
        <v>738</v>
      </c>
      <c r="B22" s="7" t="s">
        <v>223</v>
      </c>
      <c r="C22" s="43" t="n">
        <f aca="false">C17/C21</f>
        <v>-3.69678352980032</v>
      </c>
      <c r="D22" s="43" t="n">
        <f aca="false">D17/D21</f>
        <v>-8.74774057356321</v>
      </c>
      <c r="E22" s="43" t="n">
        <f aca="false">E17/E21</f>
        <v>-8.30584468968513</v>
      </c>
      <c r="F22" s="43" t="n">
        <f aca="false">F17/F21</f>
        <v>-7.69791036434681</v>
      </c>
      <c r="G22" s="43" t="n">
        <f aca="false">G17/G21</f>
        <v>-9.87687108956508</v>
      </c>
      <c r="I22" s="7" t="s">
        <v>739</v>
      </c>
    </row>
    <row r="24" customFormat="false" ht="15" hidden="false" customHeight="false" outlineLevel="0" collapsed="false">
      <c r="A24" s="40" t="s">
        <v>740</v>
      </c>
      <c r="B24" s="9"/>
      <c r="C24" s="9"/>
      <c r="D24" s="9"/>
      <c r="E24" s="9"/>
      <c r="F24" s="9"/>
      <c r="G24" s="9"/>
      <c r="H24" s="9"/>
    </row>
    <row r="25" customFormat="false" ht="15" hidden="false" customHeight="false" outlineLevel="1" collapsed="false">
      <c r="A25" s="4" t="s">
        <v>741</v>
      </c>
      <c r="B25" s="7" t="s">
        <v>92</v>
      </c>
      <c r="C25" s="33" t="n">
        <f aca="false">輸入與假設!$C$132</f>
        <v>4.653</v>
      </c>
      <c r="D25" s="33" t="n">
        <f aca="false">0</f>
        <v>0</v>
      </c>
      <c r="E25" s="33" t="n">
        <f aca="false">0</f>
        <v>0</v>
      </c>
      <c r="F25" s="33" t="n">
        <f aca="false">0</f>
        <v>0</v>
      </c>
      <c r="G25" s="33" t="n">
        <f aca="false">0</f>
        <v>0</v>
      </c>
    </row>
    <row r="26" customFormat="false" ht="15" hidden="false" customHeight="false" outlineLevel="1" collapsed="false">
      <c r="A26" s="2" t="s">
        <v>742</v>
      </c>
      <c r="B26" s="7" t="s">
        <v>92</v>
      </c>
      <c r="C26" s="30" t="n">
        <f aca="false">C25+C8</f>
        <v>13.066</v>
      </c>
      <c r="D26" s="30" t="n">
        <f aca="false">D25+D8</f>
        <v>26.1275</v>
      </c>
      <c r="E26" s="30" t="n">
        <f aca="false">E25+E8</f>
        <v>36.6694155</v>
      </c>
      <c r="F26" s="30" t="n">
        <f aca="false">F25+F8</f>
        <v>42.3638485</v>
      </c>
      <c r="G26" s="30" t="n">
        <f aca="false">G25+G8</f>
        <v>44.99393</v>
      </c>
      <c r="I26" s="7" t="s">
        <v>743</v>
      </c>
    </row>
    <row r="27" customFormat="false" ht="15" hidden="false" customHeight="false" outlineLevel="1" collapsed="false">
      <c r="A27" s="3" t="s">
        <v>744</v>
      </c>
      <c r="B27" s="7" t="s">
        <v>89</v>
      </c>
      <c r="C27" s="25" t="n">
        <f aca="false">C26/5.131-1</f>
        <v>1.54648216721887</v>
      </c>
      <c r="D27" s="25" t="n">
        <f aca="false">D26/C26-1</f>
        <v>0.999655594673198</v>
      </c>
      <c r="E27" s="25" t="n">
        <f aca="false">E26/D26-1</f>
        <v>0.403479686154435</v>
      </c>
      <c r="F27" s="25" t="n">
        <f aca="false">F26/E26-1</f>
        <v>0.155291076292176</v>
      </c>
      <c r="G27" s="25" t="n">
        <f aca="false">G26/F26-1</f>
        <v>0.0620831580020405</v>
      </c>
      <c r="I27" s="7" t="s">
        <v>745</v>
      </c>
    </row>
    <row r="28" customFormat="false" ht="15" hidden="false" customHeight="false" outlineLevel="1" collapsed="false">
      <c r="A28" s="3" t="s">
        <v>746</v>
      </c>
      <c r="B28" s="7" t="s">
        <v>92</v>
      </c>
      <c r="C28" s="26" t="n">
        <f aca="false">輸入與假設!$C$133+C10</f>
        <v>0.00783666666666655</v>
      </c>
      <c r="D28" s="26" t="n">
        <f aca="false">D10</f>
        <v>1.35055416666666</v>
      </c>
      <c r="E28" s="26" t="n">
        <f aca="false">E10</f>
        <v>2.63303761</v>
      </c>
      <c r="F28" s="26" t="n">
        <f aca="false">F10</f>
        <v>2.0815437975</v>
      </c>
      <c r="G28" s="26" t="n">
        <f aca="false">G10</f>
        <v>0.19072116666667</v>
      </c>
    </row>
    <row r="29" customFormat="false" ht="15" hidden="false" customHeight="false" outlineLevel="1" collapsed="false">
      <c r="A29" s="3" t="s">
        <v>747</v>
      </c>
      <c r="B29" s="7" t="s">
        <v>89</v>
      </c>
      <c r="C29" s="25" t="n">
        <f aca="false">C28/C26</f>
        <v>0.000599775498749927</v>
      </c>
      <c r="D29" s="25" t="n">
        <f aca="false">D28/D26</f>
        <v>0.0516909067712817</v>
      </c>
      <c r="E29" s="25" t="n">
        <f aca="false">E28/E26</f>
        <v>0.0718047335660422</v>
      </c>
      <c r="F29" s="25" t="n">
        <f aca="false">F28/F26</f>
        <v>0.0491349079746615</v>
      </c>
      <c r="G29" s="25" t="n">
        <f aca="false">G28/G26</f>
        <v>0.00423881991785714</v>
      </c>
    </row>
    <row r="30" customFormat="false" ht="15" hidden="false" customHeight="false" outlineLevel="1" collapsed="false">
      <c r="A30" s="3" t="s">
        <v>748</v>
      </c>
      <c r="B30" s="7" t="s">
        <v>92</v>
      </c>
      <c r="C30" s="26" t="n">
        <f aca="false">輸入與假設!$C$136+C18</f>
        <v>7.30283333333333</v>
      </c>
      <c r="D30" s="26" t="n">
        <f aca="false">D18</f>
        <v>14.4565833333333</v>
      </c>
      <c r="E30" s="26" t="n">
        <f aca="false">E18</f>
        <v>20.102</v>
      </c>
      <c r="F30" s="26" t="n">
        <f aca="false">F18</f>
        <v>24.8195</v>
      </c>
      <c r="G30" s="26" t="n">
        <f aca="false">G18</f>
        <v>29.0553333333333</v>
      </c>
      <c r="I30" s="7" t="s">
        <v>749</v>
      </c>
    </row>
    <row r="31" customFormat="false" ht="15" hidden="false" customHeight="false" outlineLevel="1" collapsed="false">
      <c r="A31" s="2" t="s">
        <v>750</v>
      </c>
      <c r="B31" s="7" t="s">
        <v>92</v>
      </c>
      <c r="C31" s="30" t="n">
        <f aca="false">C28+C30</f>
        <v>7.31067</v>
      </c>
      <c r="D31" s="30" t="n">
        <f aca="false">D28+D30</f>
        <v>15.8071375</v>
      </c>
      <c r="E31" s="30" t="n">
        <f aca="false">E28+E30</f>
        <v>22.73503761</v>
      </c>
      <c r="F31" s="30" t="n">
        <f aca="false">F28+F30</f>
        <v>26.9010437975</v>
      </c>
      <c r="G31" s="30" t="n">
        <f aca="false">G28+G30</f>
        <v>29.2460545</v>
      </c>
    </row>
    <row r="32" customFormat="false" ht="15" hidden="false" customHeight="false" outlineLevel="1" collapsed="false">
      <c r="A32" s="3" t="s">
        <v>751</v>
      </c>
      <c r="B32" s="7" t="s">
        <v>92</v>
      </c>
      <c r="C32" s="26" t="n">
        <f aca="false">輸入與假設!$C$130+C11</f>
        <v>3.54684859865945</v>
      </c>
      <c r="D32" s="26" t="n">
        <f aca="false">D11</f>
        <v>6.53682712051508</v>
      </c>
      <c r="E32" s="26" t="n">
        <f aca="false">E11</f>
        <v>7.60656661258536</v>
      </c>
      <c r="F32" s="26" t="n">
        <f aca="false">F11</f>
        <v>7.60149206411395</v>
      </c>
      <c r="G32" s="26" t="n">
        <f aca="false">G11</f>
        <v>8.01023455973222</v>
      </c>
      <c r="I32" s="7" t="s">
        <v>752</v>
      </c>
    </row>
    <row r="33" customFormat="false" ht="15" hidden="false" customHeight="false" outlineLevel="1" collapsed="false">
      <c r="A33" s="2" t="s">
        <v>753</v>
      </c>
      <c r="B33" s="7" t="s">
        <v>92</v>
      </c>
      <c r="C33" s="30" t="n">
        <f aca="false">輸入與假設!$C$134+C17</f>
        <v>-3.53601193199279</v>
      </c>
      <c r="D33" s="30" t="n">
        <f aca="false">D17</f>
        <v>-5.18627295384842</v>
      </c>
      <c r="E33" s="30" t="n">
        <f aca="false">E17</f>
        <v>-4.97352900258536</v>
      </c>
      <c r="F33" s="30" t="n">
        <f aca="false">F17</f>
        <v>-5.51994826661395</v>
      </c>
      <c r="G33" s="30" t="n">
        <f aca="false">G17</f>
        <v>-7.81951339306555</v>
      </c>
    </row>
    <row r="34" customFormat="false" ht="15" hidden="false" customHeight="false" outlineLevel="1" collapsed="false">
      <c r="A34" s="3" t="s">
        <v>754</v>
      </c>
      <c r="B34" s="7" t="s">
        <v>89</v>
      </c>
      <c r="C34" s="25" t="n">
        <f aca="false">C33/C26</f>
        <v>-0.270626965558915</v>
      </c>
      <c r="D34" s="25" t="n">
        <f aca="false">D33/D26</f>
        <v>-0.198498629943486</v>
      </c>
      <c r="E34" s="25" t="n">
        <f aca="false">E33/E26</f>
        <v>-0.135631532021157</v>
      </c>
      <c r="F34" s="25" t="n">
        <f aca="false">F33/F26</f>
        <v>-0.130298555538786</v>
      </c>
      <c r="G34" s="25" t="n">
        <f aca="false">G33/G26</f>
        <v>-0.173790406685203</v>
      </c>
    </row>
    <row r="35" customFormat="false" ht="15" hidden="false" customHeight="false" outlineLevel="1" collapsed="false">
      <c r="A35" s="2" t="s">
        <v>755</v>
      </c>
      <c r="B35" s="7" t="s">
        <v>223</v>
      </c>
      <c r="C35" s="65" t="n">
        <f aca="false">輸入與假設!$C$138+C17/C21</f>
        <v>-6.22678352980032</v>
      </c>
      <c r="D35" s="65" t="n">
        <f aca="false">D17/D21</f>
        <v>-8.74774057356321</v>
      </c>
      <c r="E35" s="65" t="n">
        <f aca="false">E17/E21</f>
        <v>-8.30584468968513</v>
      </c>
      <c r="F35" s="65" t="n">
        <f aca="false">F17/F21</f>
        <v>-7.69791036434681</v>
      </c>
      <c r="G35" s="65" t="n">
        <f aca="false">G17/G21</f>
        <v>-9.87687108956508</v>
      </c>
      <c r="I35" s="7" t="s">
        <v>756</v>
      </c>
    </row>
    <row r="36" customFormat="false" ht="15" hidden="false" customHeight="false" outlineLevel="1" collapsed="false">
      <c r="A36" s="3" t="s">
        <v>757</v>
      </c>
      <c r="B36" s="7" t="s">
        <v>223</v>
      </c>
      <c r="C36" s="43" t="n">
        <f aca="false">輸入與假設!$C$139+(C17+輸入與假設!$C$113*輸入與假設!C$24)/C21</f>
        <v>-5.04053140032843</v>
      </c>
      <c r="D36" s="43" t="n">
        <f aca="false">(D17+輸入與假設!$C$113*輸入與假設!D$24)/D21</f>
        <v>-7.56704328748026</v>
      </c>
      <c r="E36" s="43" t="n">
        <f aca="false">(E17+輸入與假設!$C$113*輸入與假設!E$24)/E21</f>
        <v>-7.13683747574161</v>
      </c>
      <c r="F36" s="43" t="n">
        <f aca="false">(F17+輸入與假設!$C$113*輸入與假設!F$24)/F21</f>
        <v>-6.72171693013765</v>
      </c>
      <c r="G36" s="43" t="n">
        <f aca="false">(G17+輸入與假設!$C$113*輸入與假設!G$24)/G21</f>
        <v>-8.99269717551734</v>
      </c>
      <c r="I36" s="11" t="s">
        <v>758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19.4" hidden="false" customHeight="false" outlineLevel="0" collapsed="false">
      <c r="A1" s="6" t="s">
        <v>759</v>
      </c>
    </row>
    <row r="2" customFormat="false" ht="15" hidden="false" customHeight="false" outlineLevel="0" collapsed="false">
      <c r="A2" s="11" t="s">
        <v>760</v>
      </c>
    </row>
    <row r="4" customFormat="false" ht="15" hidden="false" customHeight="false" outlineLevel="0" collapsed="false">
      <c r="A4" s="15" t="s">
        <v>111</v>
      </c>
      <c r="B4" s="15" t="s">
        <v>74</v>
      </c>
      <c r="C4" s="21" t="s">
        <v>75</v>
      </c>
      <c r="D4" s="21" t="s">
        <v>76</v>
      </c>
      <c r="E4" s="21" t="s">
        <v>77</v>
      </c>
      <c r="F4" s="21" t="s">
        <v>78</v>
      </c>
      <c r="G4" s="21" t="s">
        <v>79</v>
      </c>
      <c r="I4" s="15" t="s">
        <v>323</v>
      </c>
    </row>
    <row r="5" customFormat="false" ht="15" hidden="false" customHeight="false" outlineLevel="0" collapsed="false">
      <c r="A5" s="8" t="s">
        <v>761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762</v>
      </c>
      <c r="B6" s="7" t="s">
        <v>92</v>
      </c>
      <c r="C6" s="26" t="n">
        <f aca="false">輸入與假設!C$73-各期收支!C8</f>
        <v>19.16912</v>
      </c>
      <c r="D6" s="26" t="n">
        <f aca="false">輸入與假設!D$73-各期收支!D8</f>
        <v>35.2682</v>
      </c>
      <c r="E6" s="26" t="n">
        <f aca="false">輸入與假設!E$73-各期收支!E8</f>
        <v>27.0572</v>
      </c>
      <c r="F6" s="26" t="n">
        <f aca="false">輸入與假設!F$73-各期收支!F8</f>
        <v>28.152</v>
      </c>
      <c r="G6" s="26" t="n">
        <f aca="false">輸入與假設!G$73-各期收支!G8</f>
        <v>29.8724</v>
      </c>
      <c r="I6" s="7" t="s">
        <v>763</v>
      </c>
    </row>
    <row r="7" customFormat="false" ht="15" hidden="false" customHeight="false" outlineLevel="1" collapsed="false">
      <c r="A7" s="3" t="s">
        <v>764</v>
      </c>
      <c r="B7" s="7" t="s">
        <v>92</v>
      </c>
      <c r="C7" s="26" t="n">
        <f aca="false">5.131</f>
        <v>5.131</v>
      </c>
      <c r="D7" s="26" t="n">
        <f aca="false">4.653+損益!C8</f>
        <v>13.066</v>
      </c>
      <c r="E7" s="26" t="n">
        <f aca="false">損益!D8</f>
        <v>26.1275</v>
      </c>
      <c r="F7" s="26" t="n">
        <f aca="false">損益!E8</f>
        <v>36.6694155</v>
      </c>
      <c r="G7" s="26" t="n">
        <f aca="false">損益!F8</f>
        <v>42.3638485</v>
      </c>
      <c r="I7" s="7" t="s">
        <v>765</v>
      </c>
    </row>
    <row r="8" customFormat="false" ht="15" hidden="false" customHeight="false" outlineLevel="1" collapsed="false">
      <c r="A8" s="3" t="s">
        <v>766</v>
      </c>
      <c r="B8" s="7" t="s">
        <v>92</v>
      </c>
      <c r="C8" s="26" t="n">
        <f aca="false">0.02*MAX(0,損益!C8-C7)</f>
        <v>0.06564</v>
      </c>
      <c r="D8" s="26" t="n">
        <f aca="false">0.02*MAX(0,損益!D8-D7)</f>
        <v>0.26123</v>
      </c>
      <c r="E8" s="26" t="n">
        <f aca="false">0.02*MAX(0,損益!E8-E7)</f>
        <v>0.21083831</v>
      </c>
      <c r="F8" s="26" t="n">
        <f aca="false">0.02*MAX(0,損益!F8-F7)</f>
        <v>0.11388866</v>
      </c>
      <c r="G8" s="26" t="n">
        <f aca="false">0.02*MAX(0,損益!G8-G7)</f>
        <v>0.0526016300000001</v>
      </c>
      <c r="I8" s="11" t="s">
        <v>767</v>
      </c>
    </row>
    <row r="9" customFormat="false" ht="15" hidden="false" customHeight="false" outlineLevel="1" collapsed="false">
      <c r="A9" s="3" t="s">
        <v>768</v>
      </c>
      <c r="B9" s="7" t="s">
        <v>92</v>
      </c>
      <c r="C9" s="26" t="n">
        <f aca="false">輸入與假設!$C$105</f>
        <v>4</v>
      </c>
      <c r="D9" s="26" t="n">
        <f aca="false">C11</f>
        <v>3.83933066666667</v>
      </c>
      <c r="E9" s="26" t="n">
        <f aca="false">D11</f>
        <v>2.75888733333334</v>
      </c>
      <c r="F9" s="26" t="n">
        <f aca="false">E11</f>
        <v>0.652457245333336</v>
      </c>
      <c r="G9" s="26" t="n">
        <f aca="false">F11</f>
        <v>0</v>
      </c>
      <c r="I9" s="7" t="s">
        <v>769</v>
      </c>
    </row>
    <row r="10" customFormat="false" ht="15" hidden="false" customHeight="false" outlineLevel="1" collapsed="false">
      <c r="A10" s="3" t="s">
        <v>770</v>
      </c>
      <c r="B10" s="7" t="s">
        <v>92</v>
      </c>
      <c r="C10" s="26" t="n">
        <f aca="false">MIN(C9,MAX(0,損益!C10)*0.8)</f>
        <v>0.160669333333333</v>
      </c>
      <c r="D10" s="26" t="n">
        <f aca="false">MIN(D9,MAX(0,損益!D10)*0.8)</f>
        <v>1.08044333333333</v>
      </c>
      <c r="E10" s="26" t="n">
        <f aca="false">MIN(E9,MAX(0,損益!E10)*0.8)</f>
        <v>2.106430088</v>
      </c>
      <c r="F10" s="26" t="n">
        <f aca="false">MIN(F9,MAX(0,損益!F10)*0.8)</f>
        <v>0.652457245333336</v>
      </c>
      <c r="G10" s="26" t="n">
        <f aca="false">MIN(G9,MAX(0,損益!G10)*0.8)</f>
        <v>0</v>
      </c>
    </row>
    <row r="11" customFormat="false" ht="15" hidden="false" customHeight="false" outlineLevel="1" collapsed="false">
      <c r="A11" s="3" t="s">
        <v>771</v>
      </c>
      <c r="B11" s="7" t="s">
        <v>92</v>
      </c>
      <c r="C11" s="26" t="n">
        <f aca="false">C9-C10+MAX(0,-損益!C10)</f>
        <v>3.83933066666667</v>
      </c>
      <c r="D11" s="26" t="n">
        <f aca="false">D9-D10+MAX(0,-損益!D10)</f>
        <v>2.75888733333334</v>
      </c>
      <c r="E11" s="26" t="n">
        <f aca="false">E9-E10+MAX(0,-損益!E10)</f>
        <v>0.652457245333336</v>
      </c>
      <c r="F11" s="26" t="n">
        <f aca="false">F9-F10+MAX(0,-損益!F10)</f>
        <v>0</v>
      </c>
      <c r="G11" s="26" t="n">
        <f aca="false">G9-G10+MAX(0,-損益!G10)</f>
        <v>0</v>
      </c>
    </row>
    <row r="12" customFormat="false" ht="15" hidden="false" customHeight="false" outlineLevel="1" collapsed="false">
      <c r="A12" s="3" t="s">
        <v>772</v>
      </c>
      <c r="B12" s="7" t="s">
        <v>92</v>
      </c>
      <c r="C12" s="26" t="n">
        <f aca="false">MAX(0,損益!C10-C10)*輸入與假設!$C$104</f>
        <v>0.00843513999999999</v>
      </c>
      <c r="D12" s="26" t="n">
        <f aca="false">MAX(0,損益!D10-D10)*輸入與假設!$C$104</f>
        <v>0.0567232749999999</v>
      </c>
      <c r="E12" s="26" t="n">
        <f aca="false">MAX(0,損益!E10-E10)*輸入與假設!$C$104</f>
        <v>0.11058757962</v>
      </c>
      <c r="F12" s="26" t="n">
        <f aca="false">MAX(0,損益!F10-F10)*輸入與假設!$C$104</f>
        <v>0.300108175954999</v>
      </c>
      <c r="G12" s="26" t="n">
        <f aca="false">MAX(0,損益!G10-G10)*輸入與假設!$C$104</f>
        <v>0.0400514450000006</v>
      </c>
      <c r="I12" s="11" t="s">
        <v>773</v>
      </c>
    </row>
    <row r="13" customFormat="false" ht="15" hidden="false" customHeight="false" outlineLevel="1" collapsed="false">
      <c r="A13" s="5" t="s">
        <v>774</v>
      </c>
      <c r="B13" s="7" t="s">
        <v>92</v>
      </c>
      <c r="C13" s="30" t="n">
        <f aca="false">損益!C10-C12+損益!C18-C6-C8</f>
        <v>-14.27952514</v>
      </c>
      <c r="D13" s="30" t="n">
        <f aca="false">損益!D10-D12+損益!D18-D6-D8</f>
        <v>-19.779015775</v>
      </c>
      <c r="E13" s="30" t="n">
        <f aca="false">損益!E10-E12+損益!E18-E6-E8</f>
        <v>-4.64358827962</v>
      </c>
      <c r="F13" s="30" t="n">
        <f aca="false">損益!F10-F12+損益!F18-F6-F8</f>
        <v>-1.664953038455</v>
      </c>
      <c r="G13" s="30" t="n">
        <f aca="false">損益!G10-G12+損益!G18-G6-G8</f>
        <v>-0.718998574999995</v>
      </c>
      <c r="I13" s="11" t="s">
        <v>775</v>
      </c>
    </row>
    <row r="14" customFormat="false" ht="15" hidden="false" customHeight="false" outlineLevel="1" collapsed="false">
      <c r="A14" s="3" t="s">
        <v>776</v>
      </c>
      <c r="B14" s="11" t="s">
        <v>160</v>
      </c>
      <c r="C14" s="66" t="n">
        <f aca="false">0.5</f>
        <v>0.5</v>
      </c>
      <c r="D14" s="66" t="n">
        <f aca="false">1.5</f>
        <v>1.5</v>
      </c>
      <c r="E14" s="66" t="n">
        <f aca="false">2.5</f>
        <v>2.5</v>
      </c>
      <c r="F14" s="66" t="n">
        <f aca="false">3.5</f>
        <v>3.5</v>
      </c>
      <c r="G14" s="66" t="n">
        <f aca="false">4.5</f>
        <v>4.5</v>
      </c>
      <c r="I14" s="11" t="s">
        <v>777</v>
      </c>
    </row>
    <row r="15" customFormat="false" ht="15" hidden="false" customHeight="false" outlineLevel="1" collapsed="false">
      <c r="A15" s="3" t="s">
        <v>778</v>
      </c>
      <c r="B15" s="7"/>
      <c r="C15" s="44" t="n">
        <f aca="false">1/(1+輸入與假設!$C$101)^C14</f>
        <v>0.949157995752499</v>
      </c>
      <c r="D15" s="44" t="n">
        <f aca="false">1/(1+輸入與假設!$C$101)^D14</f>
        <v>0.85509729347072</v>
      </c>
      <c r="E15" s="44" t="n">
        <f aca="false">1/(1+輸入與假設!$C$101)^E14</f>
        <v>0.770357922045693</v>
      </c>
      <c r="F15" s="44" t="n">
        <f aca="false">1/(1+輸入與假設!$C$101)^F14</f>
        <v>0.694016145987111</v>
      </c>
      <c r="G15" s="44" t="n">
        <f aca="false">1/(1+輸入與假設!$C$101)^G14</f>
        <v>0.62523977115956</v>
      </c>
    </row>
    <row r="16" customFormat="false" ht="15" hidden="false" customHeight="false" outlineLevel="1" collapsed="false">
      <c r="A16" s="4" t="s">
        <v>779</v>
      </c>
      <c r="B16" s="7" t="s">
        <v>92</v>
      </c>
      <c r="C16" s="26" t="n">
        <f aca="false">C13*C15</f>
        <v>-13.5535254621798</v>
      </c>
      <c r="D16" s="26" t="n">
        <f aca="false">D13*D15</f>
        <v>-16.9129828567172</v>
      </c>
      <c r="E16" s="26" t="n">
        <f aca="false">E13*E15</f>
        <v>-3.5772250179238</v>
      </c>
      <c r="F16" s="26" t="n">
        <f aca="false">F13*F15</f>
        <v>-1.15550429099807</v>
      </c>
      <c r="G16" s="26" t="n">
        <f aca="false">G13*G15</f>
        <v>-0.449546504497047</v>
      </c>
    </row>
    <row r="17" customFormat="false" ht="15" hidden="false" customHeight="false" outlineLevel="1" collapsed="false"/>
    <row r="18" customFormat="false" ht="15" hidden="false" customHeight="false" outlineLevel="1" collapsed="false">
      <c r="A18" s="3" t="s">
        <v>780</v>
      </c>
      <c r="C18" s="48" t="n">
        <f aca="false">SUM(C16:G16)</f>
        <v>-35.6487841323159</v>
      </c>
      <c r="I18" s="11" t="s">
        <v>781</v>
      </c>
    </row>
    <row r="19" customFormat="false" ht="15" hidden="false" customHeight="false" outlineLevel="1" collapsed="false">
      <c r="A19" s="3" t="s">
        <v>782</v>
      </c>
      <c r="C19" s="48" t="n">
        <f aca="false">損益!G10*(1-輸入與假設!$C$104)+損益!G18-損益!G18*輸入與假設!$C$103</f>
        <v>5.96173638833334</v>
      </c>
      <c r="I19" s="11" t="s">
        <v>783</v>
      </c>
    </row>
    <row r="20" customFormat="false" ht="15" hidden="false" customHeight="false" outlineLevel="1" collapsed="false">
      <c r="A20" s="3" t="s">
        <v>784</v>
      </c>
      <c r="C20" s="46" t="n">
        <f aca="false">IF(C29=1,0,C19*(1+輸入與假設!$C$102)/(輸入與假設!$C$101-輸入與假設!$C$102))</f>
        <v>76.7573559997917</v>
      </c>
      <c r="I20" s="11" t="s">
        <v>785</v>
      </c>
    </row>
    <row r="21" customFormat="false" ht="15" hidden="false" customHeight="false" outlineLevel="1" collapsed="false">
      <c r="A21" s="3" t="s">
        <v>786</v>
      </c>
      <c r="C21" s="46" t="n">
        <f aca="false">C20*G15</f>
        <v>47.9917517001226</v>
      </c>
    </row>
    <row r="22" customFormat="false" ht="15" hidden="false" customHeight="false" outlineLevel="1" collapsed="false">
      <c r="A22" s="3" t="s">
        <v>787</v>
      </c>
      <c r="C22" s="46" t="n">
        <f aca="false">C18+C21</f>
        <v>12.3429675678067</v>
      </c>
    </row>
    <row r="23" customFormat="false" ht="15" hidden="false" customHeight="false" outlineLevel="1" collapsed="false">
      <c r="A23" s="3" t="s">
        <v>788</v>
      </c>
      <c r="C23" s="48" t="n">
        <f aca="false">-輸入與假設!$C$100</f>
        <v>-30</v>
      </c>
      <c r="I23" s="7" t="s">
        <v>789</v>
      </c>
    </row>
    <row r="24" customFormat="false" ht="15" hidden="false" customHeight="false" outlineLevel="1" collapsed="false">
      <c r="A24" s="3" t="s">
        <v>790</v>
      </c>
      <c r="C24" s="46" t="n">
        <f aca="false">C22+C23</f>
        <v>-17.6570324321933</v>
      </c>
    </row>
    <row r="25" customFormat="false" ht="15" hidden="false" customHeight="false" outlineLevel="1" collapsed="false">
      <c r="A25" s="5" t="s">
        <v>791</v>
      </c>
      <c r="C25" s="67" t="n">
        <f aca="false">IF(C29=1,0,IF(輸入與假設!$C$115=2,C31,C30))</f>
        <v>0</v>
      </c>
      <c r="I25" s="11" t="s">
        <v>792</v>
      </c>
    </row>
    <row r="26" customFormat="false" ht="15" hidden="false" customHeight="false" outlineLevel="1" collapsed="false">
      <c r="A26" s="3" t="s">
        <v>793</v>
      </c>
      <c r="C26" s="22" t="n">
        <f aca="false">C21/C22</f>
        <v>3.88818583833082</v>
      </c>
      <c r="I26" s="11" t="s">
        <v>794</v>
      </c>
    </row>
    <row r="27" customFormat="false" ht="15" hidden="false" customHeight="false" outlineLevel="1" collapsed="false">
      <c r="A27" s="3" t="s">
        <v>795</v>
      </c>
      <c r="C27" s="46" t="n">
        <f aca="false">各期收支!C61/(1+輸入與假設!$C$101)^0+各期收支!D61/(1+輸入與假設!$C$101)^0.5+各期收支!E61/(1+輸入與假設!$C$101)^1.5+各期收支!F61/(1+輸入與假設!$C$101)^2.5+各期收支!G61/(1+輸入與假設!$C$101)^3.5</f>
        <v>10.3101730853366</v>
      </c>
      <c r="I27" s="11" t="s">
        <v>796</v>
      </c>
    </row>
    <row r="28" customFormat="false" ht="15" hidden="false" customHeight="false" outlineLevel="1" collapsed="false">
      <c r="A28" s="3" t="s">
        <v>797</v>
      </c>
      <c r="C28" s="68" t="n">
        <f aca="false">輸入與假設!$C$99+各期收支!G66</f>
        <v>0.767864894483321</v>
      </c>
    </row>
    <row r="29" customFormat="false" ht="15" hidden="false" customHeight="false" outlineLevel="1" collapsed="false">
      <c r="A29" s="4" t="s">
        <v>798</v>
      </c>
      <c r="C29" s="39" t="n">
        <f aca="false">IF(OR(輸入與假設!$C$101&lt;=輸入與假設!$C$102,C19&lt;=0),1,0)</f>
        <v>0</v>
      </c>
      <c r="I29" s="7" t="s">
        <v>799</v>
      </c>
    </row>
    <row r="30" customFormat="false" ht="15" hidden="false" customHeight="false" outlineLevel="1" collapsed="false">
      <c r="A30" s="5" t="s">
        <v>800</v>
      </c>
      <c r="C30" s="38" t="n">
        <f aca="false">MAX(0,(C24+C27)/C28)</f>
        <v>0</v>
      </c>
    </row>
    <row r="31" customFormat="false" ht="15" hidden="false" customHeight="false" outlineLevel="1" collapsed="false">
      <c r="A31" s="5" t="s">
        <v>801</v>
      </c>
      <c r="C31" s="38" t="n">
        <f aca="false">IF((C22+C27)&lt;=0,0,((C22+C27)*NORMSDIST(C32)-輸入與假設!$C$100*EXP(-輸入與假設!$C$117*輸入與假設!$C$118)*NORMSDIST(C33))/C28)</f>
        <v>11.0404685146352</v>
      </c>
      <c r="I31" s="7" t="s">
        <v>802</v>
      </c>
    </row>
    <row r="32" customFormat="false" ht="15" hidden="false" customHeight="false" outlineLevel="1" collapsed="false">
      <c r="A32" s="3" t="s">
        <v>803</v>
      </c>
      <c r="C32" s="68" t="n">
        <f aca="false">IF((C22+C27)&lt;=0,0,(LN((C22+C27)/輸入與假設!$C$100)+(輸入與假設!$C$117+輸入與假設!$C$116^2/2)*輸入與假設!$C$118)/(輸入與假設!$C$116*SQRT(輸入與假設!$C$118)))</f>
        <v>0.435201710329897</v>
      </c>
    </row>
    <row r="33" customFormat="false" ht="15" hidden="false" customHeight="false" outlineLevel="1" collapsed="false">
      <c r="A33" s="3" t="s">
        <v>804</v>
      </c>
      <c r="C33" s="68" t="n">
        <f aca="false">C32-輸入與假設!$C$116*SQRT(輸入與假設!$C$118)</f>
        <v>-0.625458461449925</v>
      </c>
    </row>
    <row r="35" customFormat="false" ht="15" hidden="false" customHeight="false" outlineLevel="0" collapsed="false">
      <c r="A35" s="40" t="s">
        <v>805</v>
      </c>
      <c r="B35" s="9"/>
      <c r="C35" s="9"/>
      <c r="D35" s="9"/>
      <c r="E35" s="9"/>
      <c r="F35" s="9"/>
      <c r="G35" s="9"/>
      <c r="H35" s="9"/>
    </row>
    <row r="36" customFormat="false" ht="15" hidden="false" customHeight="false" outlineLevel="1" collapsed="false">
      <c r="A36" s="3" t="s">
        <v>806</v>
      </c>
      <c r="C36" s="69" t="str">
        <f aca="false">CHOOSE(輸入與假設!$C$107,"FY27","FY28","FY29","FY30")</f>
        <v>FY29</v>
      </c>
      <c r="I36" s="11" t="s">
        <v>807</v>
      </c>
    </row>
    <row r="37" customFormat="false" ht="15" hidden="false" customHeight="false" outlineLevel="1" collapsed="false">
      <c r="A37" s="3" t="s">
        <v>808</v>
      </c>
      <c r="C37" s="48" t="n">
        <f aca="false">INDEX(損益!$D$19:$G$19,1,輸入與假設!$C$107)</f>
        <v>26.9010437975</v>
      </c>
    </row>
    <row r="38" customFormat="false" ht="15" hidden="false" customHeight="false" outlineLevel="1" collapsed="false">
      <c r="A38" s="3" t="s">
        <v>809</v>
      </c>
      <c r="C38" s="46" t="n">
        <f aca="false">C37*輸入與假設!$C$106</f>
        <v>161.406262785</v>
      </c>
    </row>
    <row r="39" customFormat="false" ht="15" hidden="false" customHeight="false" outlineLevel="1" collapsed="false">
      <c r="A39" s="3" t="s">
        <v>810</v>
      </c>
      <c r="C39" s="48" t="n">
        <f aca="false">INDEX(各期收支!$D$70:$G$70,1,輸入與假設!$C$107)-INDEX(各期收支!$D$41:$G$41,1,輸入與假設!$C$107)</f>
        <v>85.0282285</v>
      </c>
      <c r="I39" s="11" t="s">
        <v>811</v>
      </c>
    </row>
    <row r="40" customFormat="false" ht="15" hidden="false" customHeight="false" outlineLevel="1" collapsed="false">
      <c r="A40" s="3" t="s">
        <v>812</v>
      </c>
      <c r="C40" s="70" t="n">
        <f aca="false">INDEX(損益!$D$21:$G$21,1,輸入與假設!$C$107)</f>
        <v>0.717070997887923</v>
      </c>
      <c r="I40" s="11" t="s">
        <v>813</v>
      </c>
    </row>
    <row r="41" customFormat="false" ht="15" hidden="false" customHeight="false" outlineLevel="1" collapsed="false">
      <c r="A41" s="3" t="s">
        <v>814</v>
      </c>
      <c r="C41" s="70" t="n">
        <f aca="false">1/(1+輸入與假設!$C$101)^(輸入與假設!$C$107-1)</f>
        <v>0.811622433244055</v>
      </c>
      <c r="I41" s="11" t="s">
        <v>815</v>
      </c>
    </row>
    <row r="42" customFormat="false" ht="15" hidden="false" customHeight="false" outlineLevel="1" collapsed="false">
      <c r="A42" s="4" t="s">
        <v>816</v>
      </c>
      <c r="C42" s="38" t="n">
        <f aca="false">MAX(0,(C38-C39)/C40)*C41</f>
        <v>86.4490771700105</v>
      </c>
      <c r="I42" s="11" t="s">
        <v>817</v>
      </c>
    </row>
    <row r="44" customFormat="false" ht="15" hidden="false" customHeight="false" outlineLevel="0" collapsed="false">
      <c r="A44" s="40" t="s">
        <v>818</v>
      </c>
      <c r="B44" s="9"/>
      <c r="C44" s="9"/>
      <c r="D44" s="9"/>
      <c r="E44" s="9"/>
      <c r="F44" s="9"/>
      <c r="G44" s="9"/>
      <c r="H44" s="9"/>
    </row>
    <row r="45" customFormat="false" ht="15" hidden="false" customHeight="false" outlineLevel="1" collapsed="false">
      <c r="A45" s="4" t="s">
        <v>819</v>
      </c>
      <c r="C45" s="36" t="n">
        <f aca="false">C25*IF(C29=1,0,輸入與假設!$C$108)</f>
        <v>0</v>
      </c>
    </row>
    <row r="46" customFormat="false" ht="15" hidden="false" customHeight="false" outlineLevel="1" collapsed="false">
      <c r="A46" s="4" t="s">
        <v>820</v>
      </c>
      <c r="C46" s="36" t="n">
        <f aca="false">C42*IF(C29=1,1,1-輸入與假設!$C$108)</f>
        <v>47.5469924435058</v>
      </c>
    </row>
    <row r="47" customFormat="false" ht="15" hidden="false" customHeight="false" outlineLevel="1" collapsed="false">
      <c r="A47" s="2" t="s">
        <v>818</v>
      </c>
      <c r="C47" s="71" t="n">
        <f aca="false">SUM(C45:C46)</f>
        <v>47.5469924435058</v>
      </c>
      <c r="I47" s="11" t="s">
        <v>821</v>
      </c>
    </row>
    <row r="48" customFormat="false" ht="15" hidden="false" customHeight="false" outlineLevel="1" collapsed="false">
      <c r="A48" s="3" t="s">
        <v>822</v>
      </c>
      <c r="C48" s="36" t="n">
        <f aca="false">輸入與假設!$C$98</f>
        <v>85.43</v>
      </c>
    </row>
    <row r="49" customFormat="false" ht="15" hidden="false" customHeight="false" outlineLevel="1" collapsed="false">
      <c r="A49" s="3" t="s">
        <v>823</v>
      </c>
      <c r="C49" s="22" t="n">
        <f aca="false">C47/C48-1</f>
        <v>-0.443439161377668</v>
      </c>
    </row>
    <row r="50" customFormat="false" ht="15" hidden="false" customHeight="false" outlineLevel="1" collapsed="false">
      <c r="A50" s="4" t="s">
        <v>824</v>
      </c>
      <c r="C50" s="3" t="str">
        <f aca="false">IF(C29=1,"DCF 失效，已以 EV/EBITDA 100% 計。",IF(AND(輸入與假設!$C$115&lt;&gt;2,C65&lt;0),"DCF 為 $0 仍計 "&amp;TEXT(輸入與假設!$C$108,"0%")&amp;" 權重的原因：DCF 沒有失效，而是算出的股權價值為負（每股約 −$"&amp;TEXT(ABS(C65),"0.0")&amp;"），代表自由現金流折現後的企業價值不足以償還淨負債。EV/EBITDA 沒有扣除 GPU 汰換與擴張支出，保留 DCF 權重，是為了讓目標價反映「EBITDA 付不起資本成本」。若不計 DCF，目標價為 $"&amp;TEXT(C42,"0.0")&amp;"（"&amp;CHOOSE(D64+2,"賣出","中立","買進")&amp;"）；"&amp;TEXT(輸入與假設!$C$108,"0%")&amp;"／"&amp;TEXT(1-輸入與假設!$C$108,"0%")&amp;" 為判斷值。",""))</f>
        <v>DCF 為 $0 仍計 45% 權重的原因：DCF 沒有失效，而是算出的股權價值為負（每股約 −$9.6），代表自由現金流折現後的企業價值不足以償還淨負債。EV/EBITDA 沒有扣除 GPU 汰換與擴張支出，保留 DCF 權重，是為了讓目標價反映「EBITDA 付不起資本成本」。若不計 DCF，目標價為 $86.4（中立）；45%／55% 為判斷值。</v>
      </c>
      <c r="I50" s="11" t="s">
        <v>825</v>
      </c>
    </row>
    <row r="52" customFormat="false" ht="15" hidden="false" customHeight="false" outlineLevel="0" collapsed="false">
      <c r="A52" s="40" t="s">
        <v>826</v>
      </c>
      <c r="B52" s="9"/>
      <c r="C52" s="9"/>
      <c r="D52" s="9"/>
      <c r="E52" s="9"/>
      <c r="F52" s="9"/>
      <c r="G52" s="9"/>
      <c r="H52" s="9"/>
    </row>
    <row r="53" customFormat="false" ht="15" hidden="false" customHeight="false" outlineLevel="1" collapsed="false">
      <c r="A53" s="3" t="s">
        <v>827</v>
      </c>
      <c r="C53" s="36" t="n">
        <f aca="false">C47</f>
        <v>47.5469924435058</v>
      </c>
      <c r="I53" s="11" t="s">
        <v>828</v>
      </c>
    </row>
    <row r="54" customFormat="false" ht="15" hidden="false" customHeight="false" outlineLevel="1" collapsed="false">
      <c r="A54" s="3" t="s">
        <v>829</v>
      </c>
      <c r="C54" s="72" t="n">
        <f aca="false">C21/MAX(ABS(C22),1)*IF(C22=0,1,SIGN(C22))</f>
        <v>3.88818583833082</v>
      </c>
    </row>
    <row r="55" customFormat="false" ht="15" hidden="false" customHeight="false" outlineLevel="1" collapsed="false">
      <c r="A55" s="3" t="s">
        <v>830</v>
      </c>
      <c r="C55" s="73" t="n">
        <f aca="false">SUM(各期收支!C61:G61)/(輸入與假設!$C$98*輸入與假設!$C$99)</f>
        <v>0.277305630383287</v>
      </c>
    </row>
    <row r="56" customFormat="false" ht="15" hidden="false" customHeight="false" outlineLevel="1" collapsed="false">
      <c r="A56" s="3" t="s">
        <v>831</v>
      </c>
      <c r="C56" s="37" t="n">
        <f aca="false">IF(AND((C47/MAX(輸入與假設!$C$98,0.01)-1)&gt;=0.25,$C$54&lt;0.9,$C$55&lt;=1.5),1,IF(OR((C47/MAX(輸入與假設!$C$98,0.01)-1)&lt;=-0.15,AND($C$55&gt;1.5,(C47/MAX(輸入與假設!$C$98,0.01)-1)&lt;=-0.08)),-1,0))</f>
        <v>-1</v>
      </c>
      <c r="D56" s="37" t="str">
        <f aca="false">CHOOSE(C56+2,"賣出","中立","買進")</f>
        <v>賣出</v>
      </c>
    </row>
    <row r="57" customFormat="false" ht="15" hidden="false" customHeight="false" outlineLevel="1" collapsed="false">
      <c r="A57" s="3" t="s">
        <v>832</v>
      </c>
      <c r="C57" s="36" t="n">
        <f aca="false">輸入與假設!$C$98*(1-0.15)</f>
        <v>72.6155</v>
      </c>
    </row>
    <row r="58" customFormat="false" ht="15" hidden="false" customHeight="false" outlineLevel="1" collapsed="false">
      <c r="A58" s="3" t="s">
        <v>833</v>
      </c>
      <c r="C58" s="36" t="n">
        <f aca="false">輸入與假設!D143</f>
        <v>71.6858468760584</v>
      </c>
      <c r="D58" s="37" t="n">
        <f aca="false">輸入與假設!E143</f>
        <v>-1</v>
      </c>
      <c r="E58" s="36" t="n">
        <f aca="false">C58-$C$57</f>
        <v>-0.929653123941591</v>
      </c>
      <c r="I58" s="11" t="s">
        <v>834</v>
      </c>
    </row>
    <row r="59" customFormat="false" ht="15" hidden="false" customHeight="false" outlineLevel="1" collapsed="false">
      <c r="A59" s="3" t="s">
        <v>835</v>
      </c>
      <c r="C59" s="36" t="n">
        <f aca="false">輸入與假設!D144</f>
        <v>47.5469924435058</v>
      </c>
      <c r="D59" s="37" t="n">
        <f aca="false">輸入與假設!E144</f>
        <v>-1</v>
      </c>
      <c r="E59" s="36" t="n">
        <f aca="false">C59-$C$57</f>
        <v>-25.0685075564942</v>
      </c>
    </row>
    <row r="60" customFormat="false" ht="15" hidden="false" customHeight="false" outlineLevel="1" collapsed="false">
      <c r="A60" s="3" t="s">
        <v>836</v>
      </c>
      <c r="C60" s="36" t="n">
        <f aca="false">輸入與假設!D145</f>
        <v>32.1178168723788</v>
      </c>
      <c r="D60" s="37" t="n">
        <f aca="false">輸入與假設!E145</f>
        <v>-1</v>
      </c>
      <c r="E60" s="36" t="n">
        <f aca="false">C60-$C$57</f>
        <v>-40.4976831276212</v>
      </c>
    </row>
    <row r="61" customFormat="false" ht="15" hidden="false" customHeight="false" outlineLevel="1" collapsed="false">
      <c r="A61" s="3" t="s">
        <v>837</v>
      </c>
      <c r="C61" s="36" t="n">
        <f aca="false">MIN(C58,C60)</f>
        <v>32.1178168723788</v>
      </c>
      <c r="D61" s="36" t="n">
        <f aca="false">MAX(C58,C60)</f>
        <v>71.6858468760584</v>
      </c>
    </row>
    <row r="62" customFormat="false" ht="15" hidden="false" customHeight="false" outlineLevel="1" collapsed="false">
      <c r="A62" s="3" t="s">
        <v>838</v>
      </c>
      <c r="C62" s="73" t="n">
        <f aca="false">MIN(輸入與假設!$C$110,輸入與假設!$C$111)</f>
        <v>5</v>
      </c>
      <c r="D62" s="73" t="n">
        <f aca="false">MAX(輸入與假設!$C$110,輸入與假設!$C$111)</f>
        <v>6</v>
      </c>
    </row>
    <row r="63" customFormat="false" ht="15" hidden="false" customHeight="false" outlineLevel="1" collapsed="false">
      <c r="A63" s="3" t="s">
        <v>839</v>
      </c>
      <c r="C63" s="36" t="n">
        <f aca="false">MIN(C25*IF(C29=1,0,輸入與假設!$C$108)+MAX(0,(C37*C62-C39)/C40)*C41*IF(C29=1,1,1-輸入與假設!$C$108),C25*IF(C29=1,0,輸入與假設!$C$108)+MAX(0,(C37*D62-C39)/C40)*C41*IF(C29=1,1,1-輸入與假設!$C$108))</f>
        <v>30.8005058634846</v>
      </c>
      <c r="D63" s="36" t="n">
        <f aca="false">MAX(C25*IF(C29=1,0,輸入與假設!$C$108)+MAX(0,(C37*C62-C39)/C40)*C41*IF(C29=1,1,1-輸入與假設!$C$108),C25*IF(C29=1,0,輸入與假設!$C$108)+MAX(0,(C37*D62-C39)/C40)*C41*IF(C29=1,1,1-輸入與假設!$C$108))</f>
        <v>47.5469924435058</v>
      </c>
      <c r="I63" s="11" t="s">
        <v>840</v>
      </c>
    </row>
    <row r="64" customFormat="false" ht="15" hidden="false" customHeight="false" outlineLevel="1" collapsed="false">
      <c r="A64" s="3" t="s">
        <v>841</v>
      </c>
      <c r="C64" s="36" t="n">
        <f aca="false">C42</f>
        <v>86.4490771700105</v>
      </c>
      <c r="D64" s="37" t="n">
        <f aca="false">IF(AND((C42/MAX(輸入與假設!$C$98,0.01)-1)&gt;=0.25,$C$54&lt;0.9,$C$55&lt;=1.5),1,IF(OR((C42/MAX(輸入與假設!$C$98,0.01)-1)&lt;=-0.15,AND($C$55&gt;1.5,(C42/MAX(輸入與假設!$C$98,0.01)-1)&lt;=-0.08)),-1,0))</f>
        <v>0</v>
      </c>
      <c r="E64" s="36" t="str">
        <f aca="false">CHOOSE(D64+2,"賣出","中立","買進")</f>
        <v>中立</v>
      </c>
    </row>
    <row r="65" customFormat="false" ht="15" hidden="false" customHeight="false" outlineLevel="1" collapsed="false">
      <c r="A65" s="3" t="s">
        <v>842</v>
      </c>
      <c r="C65" s="36" t="n">
        <f aca="false">(C24+C27)/C28</f>
        <v>-9.56790628096136</v>
      </c>
    </row>
    <row r="66" customFormat="false" ht="15" hidden="false" customHeight="false" outlineLevel="1" collapsed="false">
      <c r="A66" s="3" t="s">
        <v>843</v>
      </c>
      <c r="C66" s="3" t="str">
        <f aca="false">"目標價 $"&amp;TEXT(C47,"0.0")&amp;"（情境區間 $"&amp;TEXT(C61,"0.0")&amp;"–$"&amp;TEXT(D61,"0.0")&amp;"）"</f>
        <v>目標價 $47.5（情境區間 $32.1–$71.7）</v>
      </c>
    </row>
    <row r="67" customFormat="false" ht="15" hidden="false" customHeight="false" outlineLevel="1" collapsed="false">
      <c r="A67" s="3" t="s">
        <v>844</v>
      </c>
      <c r="C67" s="3" t="str">
        <f aca="false">"方法區間（目前情境，"&amp;IF(C62=INT(C62),TEXT(C62,"0"),TEXT(C62,"0.0"))&amp;"–"&amp;IF(D62=INT(D62),TEXT(D62,"0"),TEXT(D62,"0.0"))&amp;"x）"</f>
        <v>方法區間（目前情境，5–6x）</v>
      </c>
    </row>
    <row r="68" customFormat="false" ht="15" hidden="false" customHeight="false" outlineLevel="1" collapsed="false">
      <c r="A68" s="3" t="s">
        <v>845</v>
      </c>
      <c r="C68" s="3" t="str">
        <f aca="false">IF(ABS(輸入與假設!$C$106-D62)&lt;0.000000001,"目前點位位於方法區間上緣（"&amp;IF(D62=INT(D62),TEXT(D62,"0"),TEXT(D62,"0.0"))&amp;"x 為穩態倍數上緣）",IF(ABS(輸入與假設!$C$106-C62)&lt;0.000000001,"目前點位位於方法區間下緣（"&amp;IF(C62=INT(C62),TEXT(C62,"0"),TEXT(C62,"0.0"))&amp;"x）","目前點位"&amp;IF(AND(輸入與假設!$C$106&gt;C62,輸入與假設!$C$106&lt;D62),"位於方法區間內",IF(輸入與假設!$C$106&gt;D62,"高於方法區間上緣","低於方法區間下緣"))&amp;"（目前倍數 "&amp;IF(輸入與假設!$C$106=INT(輸入與假設!$C$106),TEXT(輸入與假設!$C$106,"0"),TEXT(輸入與假設!$C$106,"0.0"))&amp;"x）"))</f>
        <v>目前點位位於方法區間上緣（6x 為穩態倍數上緣）</v>
      </c>
    </row>
    <row r="69" customFormat="false" ht="15" hidden="false" customHeight="false" outlineLevel="1" collapsed="false">
      <c r="A69" s="2" t="s">
        <v>846</v>
      </c>
      <c r="C69" s="3" t="str">
        <f aca="false">IF(D61&lt;輸入與假設!$C$98,"情境區間上緣 $"&amp;TEXT(D61,"0.0")&amp;" 低於現價 $"&amp;TEXT(輸入與假設!$C$98,"0.00")&amp;IF((D58&lt;&gt;-1)+(D59&lt;&gt;-1)+(D60&lt;&gt;-1)&gt;0,"，但"&amp;SUBSTITUTE(TRIM(IF(D58&lt;&gt;-1,"保守","")&amp;" "&amp;IF(D59&lt;&gt;-1,"基準","")&amp;" "&amp;IF(D60&lt;&gt;-1,"積極",""))," ","、")&amp;"情境未達賣出門檻 $"&amp;TEXT($C$57,"0.0"),"：賣出在三個擴張情境下都成立"),"情境區間上緣 $"&amp;TEXT(D61,"0.0")&amp;" 不低於現價 $"&amp;TEXT(輸入與假設!$C$98,"0.00")&amp;"：賣出並非在三個擴張情境下都成立")&amp;"。"&amp;IF(ABS(E58)&lt;0.05*輸入與假設!$C$98,"保守情境 $"&amp;TEXT(C58,"0.0")&amp;"，"&amp;IF(E58&lt;0,"距賣出門檻","高於賣出門檻")&amp;" $"&amp;TEXT($C$57,"0.0")&amp;" 僅 $"&amp;TEXT(ABS(E58),"0.0")&amp;"。","")&amp;IF(ABS(E59)&lt;0.05*輸入與假設!$C$98,"基準情境 $"&amp;TEXT(C59,"0.0")&amp;"，"&amp;IF(E59&lt;0,"距賣出門檻","高於賣出門檻")&amp;" $"&amp;TEXT($C$57,"0.0")&amp;" 僅 $"&amp;TEXT(ABS(E59),"0.0")&amp;"。","")&amp;IF(ABS(E60)&lt;0.05*輸入與假設!$C$98,"積極情境 $"&amp;TEXT(C60,"0.0")&amp;"，"&amp;IF(E60&lt;0,"距賣出門檻","高於賣出門檻")&amp;" $"&amp;TEXT($C$57,"0.0")&amp;" 僅 $"&amp;TEXT(ABS(E60),"0.0")&amp;"。","")</f>
        <v>情境區間上緣 $71.7 低於現價 $85.43：賣出在三個擴張情境下都成立。保守情境 $71.7，距賣出門檻 $72.6 僅 $0.9。</v>
      </c>
    </row>
    <row r="71" customFormat="false" ht="15" hidden="false" customHeight="false" outlineLevel="0" collapsed="false">
      <c r="A71" s="40" t="s">
        <v>847</v>
      </c>
      <c r="B71" s="9"/>
      <c r="C71" s="9"/>
      <c r="D71" s="9"/>
      <c r="E71" s="9"/>
      <c r="F71" s="9"/>
      <c r="G71" s="9"/>
      <c r="H71" s="9"/>
    </row>
    <row r="72" customFormat="false" ht="15" hidden="false" customHeight="false" outlineLevel="1" collapsed="false">
      <c r="A72" s="15" t="s">
        <v>848</v>
      </c>
      <c r="B72" s="15" t="s">
        <v>849</v>
      </c>
      <c r="C72" s="14" t="s">
        <v>76</v>
      </c>
      <c r="D72" s="14" t="s">
        <v>77</v>
      </c>
      <c r="E72" s="14" t="s">
        <v>78</v>
      </c>
      <c r="F72" s="14" t="s">
        <v>79</v>
      </c>
      <c r="I72" s="7" t="s">
        <v>850</v>
      </c>
    </row>
    <row r="73" customFormat="false" ht="15" hidden="false" customHeight="false" outlineLevel="1" collapsed="false">
      <c r="A73" s="3" t="s">
        <v>851</v>
      </c>
      <c r="B73" s="74" t="n">
        <v>3.4</v>
      </c>
      <c r="C73" s="36" t="n">
        <f aca="false">MAX(0,(INDEX(損益!$D$19:$G$19,1,1)*$B73-(INDEX(各期收支!$D$70:$G$70,1,1)-INDEX(各期收支!$D$41:$G$41,1,1)))/INDEX(損益!$D$21:$G$21,1,1))/(1+輸入與假設!$C$101)^(1-1)</f>
        <v>0</v>
      </c>
      <c r="D73" s="36" t="n">
        <f aca="false">MAX(0,(INDEX(損益!$D$19:$G$19,1,2)*$B73-(INDEX(各期收支!$D$70:$G$70,1,2)-INDEX(各期收支!$D$41:$G$41,1,2)))/INDEX(損益!$D$21:$G$21,1,2))/(1+輸入與假設!$C$101)^(2-1)</f>
        <v>0</v>
      </c>
      <c r="E73" s="36" t="n">
        <f aca="false">MAX(0,(INDEX(損益!$D$19:$G$19,1,3)*$B73-(INDEX(各期收支!$D$70:$G$70,1,3)-INDEX(各期收支!$D$41:$G$41,1,3)))/INDEX(損益!$D$21:$G$21,1,3))/(1+輸入與假設!$C$101)^(3-1)</f>
        <v>7.28386788263762</v>
      </c>
      <c r="F73" s="36" t="n">
        <f aca="false">MAX(0,(INDEX(損益!$D$19:$G$19,1,4)*$B73-(INDEX(各期收支!$D$70:$G$70,1,4)-INDEX(各期收支!$D$41:$G$41,1,4)))/INDEX(損益!$D$21:$G$21,1,4))/(1+輸入與假設!$C$101)^(4-1)</f>
        <v>9.65190779054446</v>
      </c>
    </row>
    <row r="74" customFormat="false" ht="15" hidden="false" customHeight="false" outlineLevel="1" collapsed="false">
      <c r="A74" s="3" t="s">
        <v>852</v>
      </c>
      <c r="B74" s="74" t="n">
        <v>4.5</v>
      </c>
      <c r="C74" s="36" t="n">
        <f aca="false">MAX(0,(INDEX(損益!$D$19:$G$19,1,1)*$B74-(INDEX(各期收支!$D$70:$G$70,1,1)-INDEX(各期收支!$D$41:$G$41,1,1)))/INDEX(損益!$D$21:$G$21,1,1))/(1+輸入與假設!$C$101)^(1-1)</f>
        <v>0</v>
      </c>
      <c r="D74" s="36" t="n">
        <f aca="false">MAX(0,(INDEX(損益!$D$19:$G$19,1,2)*$B74-(INDEX(各期收支!$D$70:$G$70,1,2)-INDEX(各期收支!$D$41:$G$41,1,2)))/INDEX(損益!$D$21:$G$21,1,2))/(1+輸入與假設!$C$101)^(2-1)</f>
        <v>27.0778775441492</v>
      </c>
      <c r="E74" s="36" t="n">
        <f aca="false">MAX(0,(INDEX(損益!$D$19:$G$19,1,3)*$B74-(INDEX(各期收支!$D$70:$G$70,1,3)-INDEX(各期收支!$D$41:$G$41,1,3)))/INDEX(損益!$D$21:$G$21,1,3))/(1+輸入與假設!$C$101)^(3-1)</f>
        <v>40.77684104268</v>
      </c>
      <c r="F74" s="36" t="n">
        <f aca="false">MAX(0,(INDEX(損益!$D$19:$G$19,1,4)*$B74-(INDEX(各期收支!$D$70:$G$70,1,4)-INDEX(各期收支!$D$41:$G$41,1,4)))/INDEX(損益!$D$21:$G$21,1,4))/(1+輸入與假設!$C$101)^(4-1)</f>
        <v>39.3638260382199</v>
      </c>
    </row>
    <row r="75" customFormat="false" ht="15" hidden="false" customHeight="false" outlineLevel="1" collapsed="false">
      <c r="A75" s="3" t="s">
        <v>853</v>
      </c>
      <c r="B75" s="74" t="n">
        <v>5</v>
      </c>
      <c r="C75" s="36" t="n">
        <f aca="false">MAX(0,(INDEX(損益!$D$19:$G$19,1,1)*$B75-(INDEX(各期收支!$D$70:$G$70,1,1)-INDEX(各期收支!$D$41:$G$41,1,1)))/INDEX(損益!$D$21:$G$21,1,1))/(1+輸入與假設!$C$101)^(1-1)</f>
        <v>12.0605700739976</v>
      </c>
      <c r="D75" s="36" t="n">
        <f aca="false">MAX(0,(INDEX(損益!$D$19:$G$19,1,2)*$B75-(INDEX(各期收支!$D$70:$G$70,1,2)-INDEX(各期收支!$D$41:$G$41,1,2)))/INDEX(損益!$D$21:$G$21,1,2))/(1+輸入與假設!$C$101)^(2-1)</f>
        <v>44.1804663313867</v>
      </c>
      <c r="E75" s="36" t="n">
        <f aca="false">MAX(0,(INDEX(損益!$D$19:$G$19,1,3)*$B75-(INDEX(各期收支!$D$70:$G$70,1,3)-INDEX(各期收支!$D$41:$G$41,1,3)))/INDEX(損益!$D$21:$G$21,1,3))/(1+輸入與假設!$C$101)^(3-1)</f>
        <v>56.0009197517902</v>
      </c>
      <c r="F75" s="36" t="n">
        <f aca="false">MAX(0,(INDEX(損益!$D$19:$G$19,1,4)*$B75-(INDEX(各期收支!$D$70:$G$70,1,4)-INDEX(各期收支!$D$41:$G$41,1,4)))/INDEX(損益!$D$21:$G$21,1,4))/(1+輸入與假設!$C$101)^(4-1)</f>
        <v>52.869243423527</v>
      </c>
    </row>
    <row r="76" customFormat="false" ht="15" hidden="false" customHeight="false" outlineLevel="1" collapsed="false">
      <c r="A76" s="3" t="s">
        <v>854</v>
      </c>
      <c r="B76" s="74" t="n">
        <v>6</v>
      </c>
      <c r="C76" s="36" t="n">
        <f aca="false">MAX(0,(INDEX(損益!$D$19:$G$19,1,1)*$B76-(INDEX(各期收支!$D$70:$G$70,1,1)-INDEX(各期收支!$D$41:$G$41,1,1)))/INDEX(損益!$D$21:$G$21,1,1))/(1+輸入與假設!$C$101)^(1-1)</f>
        <v>38.7226334268405</v>
      </c>
      <c r="D76" s="36" t="n">
        <f aca="false">MAX(0,(INDEX(損益!$D$19:$G$19,1,2)*$B76-(INDEX(各期收支!$D$70:$G$70,1,2)-INDEX(各期收支!$D$41:$G$41,1,2)))/INDEX(損益!$D$21:$G$21,1,2))/(1+輸入與假設!$C$101)^(2-1)</f>
        <v>78.3856439058618</v>
      </c>
      <c r="E76" s="36" t="n">
        <f aca="false">MAX(0,(INDEX(損益!$D$19:$G$19,1,3)*$B76-(INDEX(各期收支!$D$70:$G$70,1,3)-INDEX(各期收支!$D$41:$G$41,1,3)))/INDEX(損益!$D$21:$G$21,1,3))/(1+輸入與假設!$C$101)^(3-1)</f>
        <v>86.4490771700105</v>
      </c>
      <c r="F76" s="36" t="n">
        <f aca="false">MAX(0,(INDEX(損益!$D$19:$G$19,1,4)*$B76-(INDEX(各期收支!$D$70:$G$70,1,4)-INDEX(各期收支!$D$41:$G$41,1,4)))/INDEX(損益!$D$21:$G$21,1,4))/(1+輸入與假設!$C$101)^(4-1)</f>
        <v>79.8800781941411</v>
      </c>
    </row>
    <row r="77" customFormat="false" ht="15" hidden="false" customHeight="false" outlineLevel="1" collapsed="false">
      <c r="A77" s="3" t="s">
        <v>855</v>
      </c>
      <c r="B77" s="74" t="n">
        <v>7</v>
      </c>
      <c r="C77" s="36" t="n">
        <f aca="false">MAX(0,(INDEX(損益!$D$19:$G$19,1,1)*$B77-(INDEX(各期收支!$D$70:$G$70,1,1)-INDEX(各期收支!$D$41:$G$41,1,1)))/INDEX(損益!$D$21:$G$21,1,1))/(1+輸入與假設!$C$101)^(1-1)</f>
        <v>65.3846967796835</v>
      </c>
      <c r="D77" s="36" t="n">
        <f aca="false">MAX(0,(INDEX(損益!$D$19:$G$19,1,2)*$B77-(INDEX(各期收支!$D$70:$G$70,1,2)-INDEX(各期收支!$D$41:$G$41,1,2)))/INDEX(損益!$D$21:$G$21,1,2))/(1+輸入與假設!$C$101)^(2-1)</f>
        <v>112.590821480337</v>
      </c>
      <c r="E77" s="36" t="n">
        <f aca="false">MAX(0,(INDEX(損益!$D$19:$G$19,1,3)*$B77-(INDEX(各期收支!$D$70:$G$70,1,3)-INDEX(各期收支!$D$41:$G$41,1,3)))/INDEX(損益!$D$21:$G$21,1,3))/(1+輸入與假設!$C$101)^(3-1)</f>
        <v>116.897234588231</v>
      </c>
      <c r="F77" s="36" t="n">
        <f aca="false">MAX(0,(INDEX(損益!$D$19:$G$19,1,4)*$B77-(INDEX(各期收支!$D$70:$G$70,1,4)-INDEX(各期收支!$D$41:$G$41,1,4)))/INDEX(損益!$D$21:$G$21,1,4))/(1+輸入與假設!$C$101)^(4-1)</f>
        <v>106.890912964755</v>
      </c>
    </row>
    <row r="78" customFormat="false" ht="15" hidden="false" customHeight="false" outlineLevel="1" collapsed="false"/>
    <row r="79" customFormat="false" ht="15" hidden="false" customHeight="false" outlineLevel="1" collapsed="false">
      <c r="A79" s="15" t="s">
        <v>856</v>
      </c>
      <c r="B79" s="15" t="s">
        <v>849</v>
      </c>
      <c r="C79" s="14" t="s">
        <v>76</v>
      </c>
      <c r="D79" s="14" t="s">
        <v>77</v>
      </c>
      <c r="E79" s="14" t="s">
        <v>78</v>
      </c>
      <c r="F79" s="14" t="s">
        <v>79</v>
      </c>
    </row>
    <row r="80" customFormat="false" ht="15" hidden="false" customHeight="false" outlineLevel="1" collapsed="false">
      <c r="A80" s="3" t="s">
        <v>857</v>
      </c>
      <c r="B80" s="74" t="n">
        <v>3.4</v>
      </c>
      <c r="C80" s="36" t="n">
        <f aca="false">C25*IF(C29=1,0,輸入與假設!$C$108)+C73*IF(C29=1,1,1-輸入與假設!$C$108)</f>
        <v>0</v>
      </c>
      <c r="D80" s="36" t="n">
        <f aca="false">C25*IF(C29=1,0,輸入與假設!$C$108)+D73*IF(C29=1,1,1-輸入與假設!$C$108)</f>
        <v>0</v>
      </c>
      <c r="E80" s="36" t="n">
        <f aca="false">C25*IF(C29=1,0,輸入與假設!$C$108)+E73*IF(C29=1,1,1-輸入與假設!$C$108)</f>
        <v>4.00612733545069</v>
      </c>
      <c r="F80" s="36" t="n">
        <f aca="false">C25*IF(C29=1,0,輸入與假設!$C$108)+F73*IF(C29=1,1,1-輸入與假設!$C$108)</f>
        <v>5.30854928479945</v>
      </c>
    </row>
    <row r="81" customFormat="false" ht="15" hidden="false" customHeight="false" outlineLevel="1" collapsed="false">
      <c r="A81" s="3" t="s">
        <v>858</v>
      </c>
      <c r="B81" s="74" t="n">
        <v>4.5</v>
      </c>
      <c r="C81" s="36" t="n">
        <f aca="false">C25*IF(C29=1,0,輸入與假設!$C$108)+C74*IF(C29=1,1,1-輸入與假設!$C$108)</f>
        <v>0</v>
      </c>
      <c r="D81" s="36" t="n">
        <f aca="false">C25*IF(C29=1,0,輸入與假設!$C$108)+D74*IF(C29=1,1,1-輸入與假設!$C$108)</f>
        <v>14.892832649282</v>
      </c>
      <c r="E81" s="36" t="n">
        <f aca="false">C25*IF(C29=1,0,輸入與假設!$C$108)+E74*IF(C29=1,1,1-輸入與假設!$C$108)</f>
        <v>22.427262573474</v>
      </c>
      <c r="F81" s="36" t="n">
        <f aca="false">C25*IF(C29=1,0,輸入與假設!$C$108)+F74*IF(C29=1,1,1-輸入與假設!$C$108)</f>
        <v>21.650104321021</v>
      </c>
    </row>
    <row r="82" customFormat="false" ht="15" hidden="false" customHeight="false" outlineLevel="1" collapsed="false">
      <c r="A82" s="3" t="s">
        <v>859</v>
      </c>
      <c r="B82" s="74" t="n">
        <v>5</v>
      </c>
      <c r="C82" s="36" t="n">
        <f aca="false">C25*IF(C29=1,0,輸入與假設!$C$108)+C75*IF(C29=1,1,1-輸入與假設!$C$108)</f>
        <v>6.63331354069866</v>
      </c>
      <c r="D82" s="36" t="n">
        <f aca="false">C25*IF(C29=1,0,輸入與假設!$C$108)+D75*IF(C29=1,1,1-輸入與假設!$C$108)</f>
        <v>24.2992564822627</v>
      </c>
      <c r="E82" s="36" t="n">
        <f aca="false">C25*IF(C29=1,0,輸入與假設!$C$108)+E75*IF(C29=1,1,1-輸入與假設!$C$108)</f>
        <v>30.8005058634846</v>
      </c>
      <c r="F82" s="36" t="n">
        <f aca="false">C25*IF(C29=1,0,輸入與假設!$C$108)+F75*IF(C29=1,1,1-輸入與假設!$C$108)</f>
        <v>29.0780838829398</v>
      </c>
    </row>
    <row r="83" customFormat="false" ht="15" hidden="false" customHeight="false" outlineLevel="1" collapsed="false">
      <c r="A83" s="3" t="s">
        <v>860</v>
      </c>
      <c r="B83" s="74" t="n">
        <v>6</v>
      </c>
      <c r="C83" s="36" t="n">
        <f aca="false">C25*IF(C29=1,0,輸入與假設!$C$108)+C76*IF(C29=1,1,1-輸入與假設!$C$108)</f>
        <v>21.2974483847623</v>
      </c>
      <c r="D83" s="36" t="n">
        <f aca="false">C25*IF(C29=1,0,輸入與假設!$C$108)+D76*IF(C29=1,1,1-輸入與假設!$C$108)</f>
        <v>43.112104148224</v>
      </c>
      <c r="E83" s="36" t="n">
        <f aca="false">C25*IF(C29=1,0,輸入與假設!$C$108)+E76*IF(C29=1,1,1-輸入與假設!$C$108)</f>
        <v>47.5469924435058</v>
      </c>
      <c r="F83" s="36" t="n">
        <f aca="false">C25*IF(C29=1,0,輸入與假設!$C$108)+F76*IF(C29=1,1,1-輸入與假設!$C$108)</f>
        <v>43.9340430067776</v>
      </c>
    </row>
    <row r="84" customFormat="false" ht="15" hidden="false" customHeight="false" outlineLevel="1" collapsed="false">
      <c r="A84" s="3" t="s">
        <v>861</v>
      </c>
      <c r="B84" s="74" t="n">
        <v>7</v>
      </c>
      <c r="C84" s="36" t="n">
        <f aca="false">C25*IF(C29=1,0,輸入與假設!$C$108)+C77*IF(C29=1,1,1-輸入與假設!$C$108)</f>
        <v>35.9615832288259</v>
      </c>
      <c r="D84" s="36" t="n">
        <f aca="false">C25*IF(C29=1,0,輸入與假設!$C$108)+D77*IF(C29=1,1,1-輸入與假設!$C$108)</f>
        <v>61.9249518141853</v>
      </c>
      <c r="E84" s="36" t="n">
        <f aca="false">C25*IF(C29=1,0,輸入與假設!$C$108)+E77*IF(C29=1,1,1-輸入與假設!$C$108)</f>
        <v>64.293479023527</v>
      </c>
      <c r="F84" s="36" t="n">
        <f aca="false">C25*IF(C29=1,0,輸入與假設!$C$108)+F77*IF(C29=1,1,1-輸入與假設!$C$108)</f>
        <v>58.7900021306153</v>
      </c>
    </row>
  </sheetData>
  <conditionalFormatting sqref="C73:F77">
    <cfRule type="cellIs" priority="2" operator="greaterThanOrEqual" aboveAverage="0" equalAverage="0" bottom="0" percent="0" rank="0" text="" dxfId="0">
      <formula>輸入與假設!$C$98</formula>
    </cfRule>
  </conditionalFormatting>
  <conditionalFormatting sqref="C80:F84">
    <cfRule type="cellIs" priority="3" operator="greaterThanOrEqual" aboveAverage="0" equalAverage="0" bottom="0" percent="0" rank="0" text="" dxfId="0">
      <formula>輸入與假設!$C$98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46"/>
    <col collapsed="false" customWidth="true" hidden="false" outlineLevel="0" max="6" min="2" style="0" width="16"/>
    <col collapsed="false" customWidth="true" hidden="false" outlineLevel="0" max="7" min="7" style="0" width="70"/>
  </cols>
  <sheetData>
    <row r="1" customFormat="false" ht="19.4" hidden="false" customHeight="false" outlineLevel="0" collapsed="false">
      <c r="A1" s="6" t="s">
        <v>862</v>
      </c>
    </row>
    <row r="2" customFormat="false" ht="15" hidden="false" customHeight="false" outlineLevel="0" collapsed="false">
      <c r="A2" s="11" t="s">
        <v>863</v>
      </c>
    </row>
    <row r="4" customFormat="false" ht="15" hidden="false" customHeight="false" outlineLevel="0" collapsed="false">
      <c r="A4" s="40" t="s">
        <v>864</v>
      </c>
      <c r="B4" s="9"/>
      <c r="C4" s="9"/>
      <c r="D4" s="9"/>
      <c r="E4" s="9"/>
      <c r="F4" s="9"/>
      <c r="G4" s="9"/>
    </row>
    <row r="5" customFormat="false" ht="15" hidden="false" customHeight="false" outlineLevel="1" collapsed="false">
      <c r="A5" s="3" t="s">
        <v>822</v>
      </c>
      <c r="B5" s="75" t="n">
        <f aca="false">輸入與假設!$C$98</f>
        <v>85.43</v>
      </c>
    </row>
    <row r="6" customFormat="false" ht="15" hidden="false" customHeight="false" outlineLevel="1" collapsed="false">
      <c r="A6" s="3" t="s">
        <v>865</v>
      </c>
      <c r="B6" s="75" t="n">
        <f aca="false">評價_DCF與目標價!C25</f>
        <v>0</v>
      </c>
    </row>
    <row r="7" customFormat="false" ht="15" hidden="false" customHeight="false" outlineLevel="1" collapsed="false">
      <c r="A7" s="2" t="s">
        <v>866</v>
      </c>
      <c r="B7" s="71" t="n">
        <f aca="false">B6-B5</f>
        <v>-85.43</v>
      </c>
    </row>
    <row r="8" customFormat="false" ht="15" hidden="false" customHeight="false" outlineLevel="1" collapsed="false">
      <c r="A8" s="3" t="s">
        <v>867</v>
      </c>
      <c r="B8" s="76" t="n">
        <f aca="false">輸入與假設!$C$22</f>
        <v>1</v>
      </c>
      <c r="C8" s="76" t="n">
        <f aca="false">輸入與假設!$C$55</f>
        <v>1</v>
      </c>
    </row>
    <row r="10" customFormat="false" ht="15" hidden="false" customHeight="false" outlineLevel="0" collapsed="false">
      <c r="A10" s="40" t="s">
        <v>868</v>
      </c>
      <c r="B10" s="9"/>
      <c r="C10" s="9"/>
      <c r="D10" s="9"/>
      <c r="E10" s="9"/>
      <c r="F10" s="9"/>
      <c r="G10" s="9"/>
    </row>
    <row r="11" customFormat="false" ht="15" hidden="false" customHeight="false" outlineLevel="1" collapsed="false">
      <c r="A11" s="11" t="s">
        <v>869</v>
      </c>
    </row>
    <row r="12" customFormat="false" ht="15" hidden="false" customHeight="false" outlineLevel="1" collapsed="false">
      <c r="A12" s="11" t="s">
        <v>870</v>
      </c>
    </row>
    <row r="13" customFormat="false" ht="15" hidden="false" customHeight="false" outlineLevel="1" collapsed="false">
      <c r="A13" s="11" t="s">
        <v>871</v>
      </c>
    </row>
    <row r="14" customFormat="false" ht="15" hidden="false" customHeight="false" outlineLevel="1" collapsed="false">
      <c r="A14" s="11" t="s">
        <v>872</v>
      </c>
    </row>
    <row r="16" customFormat="false" ht="15" hidden="false" customHeight="false" outlineLevel="0" collapsed="false">
      <c r="A16" s="40" t="s">
        <v>873</v>
      </c>
      <c r="B16" s="9"/>
      <c r="C16" s="9"/>
      <c r="D16" s="9"/>
      <c r="E16" s="9"/>
      <c r="F16" s="9"/>
      <c r="G16" s="9"/>
    </row>
    <row r="17" customFormat="false" ht="15" hidden="false" customHeight="false" outlineLevel="1" collapsed="false">
      <c r="A17" s="15" t="s">
        <v>874</v>
      </c>
      <c r="B17" s="15" t="s">
        <v>875</v>
      </c>
      <c r="C17" s="15" t="s">
        <v>876</v>
      </c>
      <c r="D17" s="15" t="s">
        <v>877</v>
      </c>
      <c r="G17" s="15" t="s">
        <v>878</v>
      </c>
    </row>
    <row r="18" customFormat="false" ht="15" hidden="false" customHeight="false" outlineLevel="1" collapsed="false">
      <c r="A18" s="4" t="s">
        <v>879</v>
      </c>
      <c r="B18" s="77" t="n">
        <v>10.5</v>
      </c>
      <c r="C18" s="77" t="n">
        <v>13.9581</v>
      </c>
      <c r="D18" s="78" t="n">
        <v>0.3293</v>
      </c>
      <c r="G18" s="11" t="s">
        <v>880</v>
      </c>
    </row>
    <row r="19" customFormat="false" ht="15" hidden="false" customHeight="false" outlineLevel="1" collapsed="false">
      <c r="A19" s="3" t="s">
        <v>881</v>
      </c>
      <c r="B19" s="77" t="n">
        <v>34</v>
      </c>
      <c r="C19" s="77" t="n">
        <v>20.8596</v>
      </c>
      <c r="D19" s="78" t="n">
        <v>-0.3865</v>
      </c>
      <c r="G19" s="7" t="s">
        <v>882</v>
      </c>
    </row>
    <row r="20" customFormat="false" ht="15" hidden="false" customHeight="false" outlineLevel="1" collapsed="false">
      <c r="A20" s="3" t="s">
        <v>137</v>
      </c>
      <c r="B20" s="78" t="n">
        <v>0.65</v>
      </c>
      <c r="C20" s="78" t="n">
        <v>0.8485</v>
      </c>
      <c r="D20" s="78" t="n">
        <v>0.1985</v>
      </c>
      <c r="G20" s="7" t="s">
        <v>883</v>
      </c>
    </row>
    <row r="21" customFormat="false" ht="15" hidden="false" customHeight="false" outlineLevel="1" collapsed="false">
      <c r="A21" s="3" t="s">
        <v>884</v>
      </c>
      <c r="B21" s="77" t="n">
        <v>10.5</v>
      </c>
      <c r="C21" s="77" t="n">
        <v>12.1568</v>
      </c>
      <c r="D21" s="78" t="n">
        <v>0.1578</v>
      </c>
      <c r="G21" s="11" t="s">
        <v>885</v>
      </c>
    </row>
    <row r="23" customFormat="false" ht="15" hidden="false" customHeight="false" outlineLevel="0" collapsed="false">
      <c r="A23" s="40" t="s">
        <v>886</v>
      </c>
      <c r="B23" s="9"/>
      <c r="C23" s="9"/>
      <c r="D23" s="9"/>
      <c r="E23" s="9"/>
      <c r="F23" s="9"/>
      <c r="G23" s="9"/>
    </row>
    <row r="24" customFormat="false" ht="15" hidden="false" customHeight="false" outlineLevel="1" collapsed="false">
      <c r="A24" s="15" t="s">
        <v>887</v>
      </c>
      <c r="B24" s="79" t="n">
        <v>0.59</v>
      </c>
      <c r="C24" s="79" t="n">
        <v>0.65</v>
      </c>
      <c r="D24" s="79" t="n">
        <v>0.7</v>
      </c>
      <c r="E24" s="79" t="n">
        <v>0.75</v>
      </c>
    </row>
    <row r="25" customFormat="false" ht="15" hidden="false" customHeight="false" outlineLevel="1" collapsed="false">
      <c r="A25" s="4" t="s">
        <v>888</v>
      </c>
      <c r="B25" s="77" t="n">
        <v>12.45</v>
      </c>
      <c r="C25" s="77" t="n">
        <v>11.24</v>
      </c>
      <c r="D25" s="77" t="n">
        <v>10.38</v>
      </c>
      <c r="E25" s="77" t="n">
        <v>9.62</v>
      </c>
    </row>
    <row r="26" customFormat="false" ht="15" hidden="false" customHeight="false" outlineLevel="1" collapsed="false">
      <c r="A26" s="4" t="s">
        <v>889</v>
      </c>
      <c r="B26" s="77" t="n">
        <v>13.38</v>
      </c>
      <c r="C26" s="77" t="n">
        <v>12.09</v>
      </c>
      <c r="D26" s="77" t="n">
        <v>11.17</v>
      </c>
      <c r="E26" s="77" t="n">
        <v>10.37</v>
      </c>
    </row>
    <row r="27" customFormat="false" ht="15" hidden="false" customHeight="false" outlineLevel="1" collapsed="false">
      <c r="A27" s="4" t="s">
        <v>890</v>
      </c>
      <c r="B27" s="77" t="n">
        <v>14.31</v>
      </c>
      <c r="C27" s="77" t="n">
        <v>12.95</v>
      </c>
      <c r="D27" s="77" t="n">
        <v>11.97</v>
      </c>
      <c r="E27" s="77" t="n">
        <v>11.12</v>
      </c>
    </row>
    <row r="28" customFormat="false" ht="15" hidden="false" customHeight="false" outlineLevel="1" collapsed="false">
      <c r="A28" s="4" t="s">
        <v>891</v>
      </c>
      <c r="B28" s="77" t="n">
        <v>15.41</v>
      </c>
      <c r="C28" s="80" t="n">
        <v>13.96</v>
      </c>
      <c r="D28" s="77" t="n">
        <v>12.92</v>
      </c>
      <c r="E28" s="77" t="n">
        <v>12.01</v>
      </c>
    </row>
    <row r="29" customFormat="false" ht="15" hidden="false" customHeight="false" outlineLevel="1" collapsed="false">
      <c r="A29" s="4" t="s">
        <v>892</v>
      </c>
      <c r="B29" s="77" t="n">
        <v>16.67</v>
      </c>
      <c r="C29" s="77" t="n">
        <v>15.11</v>
      </c>
      <c r="D29" s="77" t="n">
        <v>13.99</v>
      </c>
      <c r="E29" s="77" t="n">
        <v>13.01</v>
      </c>
    </row>
    <row r="30" customFormat="false" ht="15" hidden="false" customHeight="false" outlineLevel="1" collapsed="false">
      <c r="A30" s="11" t="s">
        <v>893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pageSetUpPr fitToPage="false"/>
  </sheetPr>
  <dimension ref="A1:K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0"/>
    <col collapsed="false" customWidth="true" hidden="false" outlineLevel="0" max="7" min="6" style="0" width="13"/>
    <col collapsed="false" customWidth="true" hidden="false" outlineLevel="0" max="9" min="8" style="0" width="11"/>
    <col collapsed="false" customWidth="true" hidden="false" outlineLevel="0" max="10" min="10" style="0" width="18"/>
    <col collapsed="false" customWidth="true" hidden="false" outlineLevel="0" max="11" min="11" style="0" width="70"/>
    <col collapsed="false" customWidth="true" hidden="false" outlineLevel="0" max="12" min="12" style="0" width="4"/>
  </cols>
  <sheetData>
    <row r="1" customFormat="false" ht="19.4" hidden="false" customHeight="false" outlineLevel="0" collapsed="false">
      <c r="A1" s="6" t="s">
        <v>894</v>
      </c>
    </row>
    <row r="2" customFormat="false" ht="15" hidden="false" customHeight="false" outlineLevel="0" collapsed="false">
      <c r="A2" s="7" t="s">
        <v>895</v>
      </c>
    </row>
    <row r="4" customFormat="false" ht="15" hidden="false" customHeight="false" outlineLevel="0" collapsed="false">
      <c r="A4" s="15" t="s">
        <v>896</v>
      </c>
      <c r="B4" s="15" t="s">
        <v>897</v>
      </c>
      <c r="C4" s="15" t="s">
        <v>898</v>
      </c>
      <c r="D4" s="14" t="s">
        <v>899</v>
      </c>
      <c r="E4" s="14" t="s">
        <v>900</v>
      </c>
      <c r="F4" s="81" t="s">
        <v>901</v>
      </c>
      <c r="G4" s="15" t="s">
        <v>902</v>
      </c>
      <c r="H4" s="14" t="s">
        <v>903</v>
      </c>
      <c r="I4" s="14" t="s">
        <v>904</v>
      </c>
      <c r="J4" s="15" t="s">
        <v>905</v>
      </c>
      <c r="K4" s="15" t="s">
        <v>566</v>
      </c>
    </row>
    <row r="5" customFormat="false" ht="15" hidden="false" customHeight="false" outlineLevel="0" collapsed="false">
      <c r="A5" s="4" t="s">
        <v>906</v>
      </c>
      <c r="B5" s="18" t="n">
        <v>63.81</v>
      </c>
      <c r="C5" s="18" t="n">
        <v>2.16</v>
      </c>
      <c r="D5" s="52" t="n">
        <f aca="false">B5+C5</f>
        <v>65.97</v>
      </c>
      <c r="E5" s="18" t="n">
        <v>1.36</v>
      </c>
      <c r="F5" s="82" t="n">
        <f aca="false">D5/E5</f>
        <v>48.5073529411765</v>
      </c>
      <c r="G5" s="83" t="n">
        <f aca="false">(D5+0)/E5</f>
        <v>48.5073529411765</v>
      </c>
      <c r="H5" s="18" t="n">
        <f aca="false">-0.612+0.418</f>
        <v>-0.194</v>
      </c>
      <c r="I5" s="83" t="str">
        <f aca="false">IF(H5&gt;0,D5/H5,"n/m")</f>
        <v>n/m</v>
      </c>
      <c r="J5" s="7" t="s">
        <v>907</v>
      </c>
      <c r="K5" s="11" t="s">
        <v>908</v>
      </c>
    </row>
    <row r="6" customFormat="false" ht="15" hidden="false" customHeight="false" outlineLevel="0" collapsed="false">
      <c r="A6" s="4" t="s">
        <v>909</v>
      </c>
      <c r="B6" s="18" t="n">
        <v>18.61</v>
      </c>
      <c r="C6" s="18" t="n">
        <v>1.7</v>
      </c>
      <c r="D6" s="52" t="n">
        <f aca="false">B6+C6</f>
        <v>20.31</v>
      </c>
      <c r="E6" s="18" t="n">
        <v>0.707</v>
      </c>
      <c r="F6" s="82" t="n">
        <f aca="false">D6/E6</f>
        <v>28.7270155586987</v>
      </c>
      <c r="G6" s="83" t="n">
        <f aca="false">(D6+0.003)/E6</f>
        <v>28.7312588401697</v>
      </c>
      <c r="H6" s="18" t="n">
        <f aca="false">-1.047+0.418</f>
        <v>-0.629</v>
      </c>
      <c r="I6" s="83" t="str">
        <f aca="false">IF(H6&gt;0,D6/H6,"n/m")</f>
        <v>n/m</v>
      </c>
      <c r="J6" s="7" t="s">
        <v>910</v>
      </c>
      <c r="K6" s="11" t="s">
        <v>911</v>
      </c>
    </row>
    <row r="7" customFormat="false" ht="15" hidden="false" customHeight="false" outlineLevel="0" collapsed="false">
      <c r="A7" s="4" t="s">
        <v>912</v>
      </c>
      <c r="B7" s="18" t="n">
        <v>8.22</v>
      </c>
      <c r="C7" s="18" t="n">
        <v>3.37</v>
      </c>
      <c r="D7" s="52" t="n">
        <f aca="false">B7+C7</f>
        <v>11.59</v>
      </c>
      <c r="E7" s="18" t="n">
        <v>0.6113</v>
      </c>
      <c r="F7" s="82" t="n">
        <f aca="false">D7/E7</f>
        <v>18.9595943072141</v>
      </c>
      <c r="G7" s="83" t="n">
        <f aca="false">(D7+0.066)/E7</f>
        <v>19.0675609357108</v>
      </c>
      <c r="H7" s="18" t="n">
        <f aca="false">-0.236+0.067</f>
        <v>-0.169</v>
      </c>
      <c r="I7" s="83" t="str">
        <f aca="false">IF(H7&gt;0,D7/H7,"n/m")</f>
        <v>n/m</v>
      </c>
      <c r="J7" s="7" t="s">
        <v>913</v>
      </c>
      <c r="K7" s="11" t="s">
        <v>914</v>
      </c>
    </row>
    <row r="8" customFormat="false" ht="15" hidden="false" customHeight="false" outlineLevel="0" collapsed="false">
      <c r="A8" s="4" t="s">
        <v>915</v>
      </c>
      <c r="B8" s="18" t="n">
        <v>5.9</v>
      </c>
      <c r="C8" s="18" t="n">
        <v>2.53</v>
      </c>
      <c r="D8" s="52" t="n">
        <f aca="false">B8+C8</f>
        <v>8.43</v>
      </c>
      <c r="E8" s="18" t="n">
        <v>0.4403</v>
      </c>
      <c r="F8" s="82" t="n">
        <f aca="false">D8/E8</f>
        <v>19.1460367930956</v>
      </c>
      <c r="G8" s="83" t="n">
        <f aca="false">(D8+0.109)/E8</f>
        <v>19.3935952759482</v>
      </c>
      <c r="H8" s="18" t="n">
        <f aca="false">-0.561+0.063</f>
        <v>-0.498</v>
      </c>
      <c r="I8" s="83" t="str">
        <f aca="false">IF(H8&gt;0,D8/H8,"n/m")</f>
        <v>n/m</v>
      </c>
      <c r="J8" s="7" t="s">
        <v>916</v>
      </c>
      <c r="K8" s="11" t="s">
        <v>917</v>
      </c>
    </row>
    <row r="9" customFormat="false" ht="15" hidden="false" customHeight="false" outlineLevel="0" collapsed="false">
      <c r="A9" s="2" t="s">
        <v>918</v>
      </c>
      <c r="F9" s="63" t="n">
        <f aca="false">MEDIAN(F5:F8)</f>
        <v>23.9365261758972</v>
      </c>
      <c r="G9" s="84" t="n">
        <f aca="false">MEDIAN(G5:G8)</f>
        <v>24.062427058059</v>
      </c>
    </row>
    <row r="10" customFormat="false" ht="15" hidden="false" customHeight="false" outlineLevel="0" collapsed="false">
      <c r="A10" s="5" t="s">
        <v>919</v>
      </c>
      <c r="B10" s="60" t="n">
        <v>47.12</v>
      </c>
      <c r="C10" s="62" t="n">
        <f aca="false">輸入與假設!$C$100</f>
        <v>30</v>
      </c>
      <c r="D10" s="46" t="n">
        <f aca="false">B10+C10</f>
        <v>77.12</v>
      </c>
      <c r="E10" s="60" t="n">
        <v>7.59</v>
      </c>
      <c r="F10" s="63" t="n">
        <f aca="false">D10/E10</f>
        <v>10.1607378129117</v>
      </c>
      <c r="G10" s="84" t="n">
        <f aca="false">(D10+16.319)/E10</f>
        <v>12.3108036890646</v>
      </c>
      <c r="H10" s="60" t="n">
        <f aca="false">-0.231+3.991</f>
        <v>3.76</v>
      </c>
      <c r="I10" s="84" t="n">
        <f aca="false">IF(H10&gt;0,D10/H10,"n/m")</f>
        <v>20.5106382978723</v>
      </c>
      <c r="J10" s="7" t="s">
        <v>920</v>
      </c>
      <c r="K10" s="7" t="s">
        <v>921</v>
      </c>
    </row>
    <row r="11" customFormat="false" ht="15" hidden="false" customHeight="false" outlineLevel="0" collapsed="false">
      <c r="A11" s="4" t="s">
        <v>922</v>
      </c>
      <c r="B11" s="46" t="n">
        <f aca="false">輸入與假設!$C$98*輸入與假設!$C$99</f>
        <v>50.14741</v>
      </c>
      <c r="C11" s="46" t="n">
        <f aca="false">輸入與假設!$C$100</f>
        <v>30</v>
      </c>
      <c r="D11" s="46" t="n">
        <f aca="false">B11+C11</f>
        <v>80.14741</v>
      </c>
      <c r="E11" s="62" t="n">
        <f aca="false">損益!D8</f>
        <v>26.1275</v>
      </c>
      <c r="F11" s="84" t="n">
        <f aca="false">D11/E11</f>
        <v>3.06754989953115</v>
      </c>
      <c r="G11" s="84" t="n">
        <f aca="false">(D11+16.319)/E11</f>
        <v>3.69214084776577</v>
      </c>
      <c r="H11" s="62" t="n">
        <f aca="false">損益!D19</f>
        <v>15.8071375</v>
      </c>
      <c r="I11" s="84" t="n">
        <f aca="false">D11/H11</f>
        <v>5.07033041244818</v>
      </c>
      <c r="K11" s="11" t="s">
        <v>923</v>
      </c>
    </row>
    <row r="13" customFormat="false" ht="15" hidden="false" customHeight="false" outlineLevel="0" collapsed="false">
      <c r="A13" s="11" t="s">
        <v>924</v>
      </c>
    </row>
    <row r="14" customFormat="false" ht="15" hidden="false" customHeight="false" outlineLevel="0" collapsed="false">
      <c r="A14" s="7" t="s">
        <v>925</v>
      </c>
    </row>
    <row r="15" customFormat="false" ht="15" hidden="false" customHeight="false" outlineLevel="0" collapsed="false">
      <c r="A15" s="11" t="s">
        <v>926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0"/>
  </cols>
  <sheetData>
    <row r="1" customFormat="false" ht="17.35" hidden="false" customHeight="false" outlineLevel="0" collapsed="false">
      <c r="A1" s="6" t="s">
        <v>927</v>
      </c>
    </row>
    <row r="3" customFormat="false" ht="15" hidden="false" customHeight="false" outlineLevel="0" collapsed="false">
      <c r="A3" s="15" t="s">
        <v>928</v>
      </c>
      <c r="B3" s="15" t="s">
        <v>929</v>
      </c>
      <c r="C3" s="15" t="s">
        <v>930</v>
      </c>
      <c r="D3" s="15" t="s">
        <v>931</v>
      </c>
      <c r="E3" s="15" t="s">
        <v>932</v>
      </c>
    </row>
    <row r="4" customFormat="false" ht="15" hidden="false" customHeight="false" outlineLevel="0" collapsed="false">
      <c r="A4" s="4" t="s">
        <v>101</v>
      </c>
      <c r="B4" s="72" t="n">
        <f aca="false">SUM(輸入與假設!C25:G25)</f>
        <v>0.84</v>
      </c>
      <c r="C4" s="85" t="n">
        <f aca="false">輸入與假設!$C$18</f>
        <v>0.84</v>
      </c>
      <c r="D4" s="2" t="str">
        <f aca="false">IF(ABS(B4-C4)&lt;0.0001,"通過","不一致")</f>
        <v>通過</v>
      </c>
      <c r="E4" s="7" t="s">
        <v>933</v>
      </c>
    </row>
    <row r="5" customFormat="false" ht="15" hidden="false" customHeight="false" outlineLevel="0" collapsed="false">
      <c r="A5" s="3" t="s">
        <v>934</v>
      </c>
      <c r="B5" s="48" t="n">
        <f aca="false">各期收支!C84</f>
        <v>-2.57571741713036E-014</v>
      </c>
      <c r="C5" s="7" t="n">
        <f aca="false">0</f>
        <v>0</v>
      </c>
      <c r="D5" s="2" t="str">
        <f aca="false">IF(ABS(B5)&lt;0.01,"通過","不一致")</f>
        <v>通過</v>
      </c>
      <c r="E5" s="11" t="s">
        <v>935</v>
      </c>
    </row>
    <row r="6" customFormat="false" ht="15" hidden="false" customHeight="false" outlineLevel="0" collapsed="false">
      <c r="A6" s="4" t="s">
        <v>936</v>
      </c>
      <c r="B6" s="37" t="n">
        <f aca="false">運營_產能與收入!G9-運營_產能與收入!G10</f>
        <v>350</v>
      </c>
      <c r="C6" s="7" t="s">
        <v>937</v>
      </c>
      <c r="D6" s="2" t="str">
        <f aca="false">IF(B6&gt;=0,"通過","不一致")</f>
        <v>通過</v>
      </c>
      <c r="E6" s="11" t="s">
        <v>938</v>
      </c>
    </row>
    <row r="7" customFormat="false" ht="15" hidden="false" customHeight="false" outlineLevel="0" collapsed="false">
      <c r="A7" s="4" t="s">
        <v>939</v>
      </c>
      <c r="B7" s="48" t="n">
        <f aca="false">各期收支!C88</f>
        <v>36.975</v>
      </c>
      <c r="C7" s="7" t="s">
        <v>940</v>
      </c>
      <c r="D7" s="2" t="str">
        <f aca="false">IF(AND(B7&gt;=35,B7&lt;=39),"通過","觀察")</f>
        <v>通過</v>
      </c>
      <c r="E7" s="7" t="s">
        <v>941</v>
      </c>
    </row>
    <row r="8" customFormat="false" ht="15" hidden="false" customHeight="false" outlineLevel="0" collapsed="false">
      <c r="A8" s="4" t="s">
        <v>942</v>
      </c>
      <c r="B8" s="48" t="n">
        <f aca="false">各期收支!C87</f>
        <v>13.066</v>
      </c>
      <c r="C8" s="7" t="s">
        <v>943</v>
      </c>
      <c r="D8" s="2" t="str">
        <f aca="false">IF(AND(B8&gt;=12.4,B8&lt;=13.2),"通過","觀察")</f>
        <v>通過</v>
      </c>
      <c r="E8" s="7" t="s">
        <v>944</v>
      </c>
    </row>
    <row r="9" customFormat="false" ht="15" hidden="false" customHeight="false" outlineLevel="0" collapsed="false">
      <c r="A9" s="4" t="s">
        <v>945</v>
      </c>
      <c r="B9" s="39" t="n">
        <f aca="false">SUM(各期收支!C6:G6)/((運營_產能與收入!G9-輸入與假設!$C$20)/1000)/1000*1000</f>
        <v>39.48</v>
      </c>
      <c r="C9" s="7" t="s">
        <v>946</v>
      </c>
      <c r="D9" s="2" t="str">
        <f aca="false">IF(AND(B9&gt;=20,B9&lt;=45),"通過","觀察")</f>
        <v>通過</v>
      </c>
      <c r="E9" s="11" t="s">
        <v>947</v>
      </c>
    </row>
    <row r="10" customFormat="false" ht="15" hidden="false" customHeight="false" outlineLevel="0" collapsed="false">
      <c r="A10" s="3" t="s">
        <v>948</v>
      </c>
      <c r="B10" s="73" t="n">
        <f aca="false">資產負債_租賃承諾!C27</f>
        <v>0.892218223878679</v>
      </c>
      <c r="C10" s="7" t="s">
        <v>949</v>
      </c>
      <c r="D10" s="2" t="str">
        <f aca="false">IF(B10&gt;=0.8,"通過","不一致")</f>
        <v>通過</v>
      </c>
      <c r="E10" s="7" t="s">
        <v>950</v>
      </c>
    </row>
    <row r="11" customFormat="false" ht="15" hidden="false" customHeight="false" outlineLevel="0" collapsed="false">
      <c r="A11" s="4" t="s">
        <v>951</v>
      </c>
      <c r="B11" s="48" t="n">
        <f aca="false">各期收支!C89</f>
        <v>3.54684859865945</v>
      </c>
      <c r="C11" s="7" t="s">
        <v>952</v>
      </c>
      <c r="D11" s="2" t="str">
        <f aca="false">IF(B11&gt;=2.9,"通過","觀察")</f>
        <v>通過</v>
      </c>
      <c r="E11" s="7" t="s">
        <v>953</v>
      </c>
    </row>
    <row r="12" customFormat="false" ht="15" hidden="false" customHeight="false" outlineLevel="0" collapsed="false">
      <c r="A12" s="4" t="s">
        <v>954</v>
      </c>
      <c r="B12" s="22" t="n">
        <f aca="false">SUM(運營_產能與收入!E23:G23)/SUM(運營_產能與收入!E25:G25)</f>
        <v>0.40729557097096</v>
      </c>
      <c r="C12" s="7" t="s">
        <v>955</v>
      </c>
      <c r="D12" s="2" t="str">
        <f aca="false">IF(B12&lt;0.5,"通過","觀察")</f>
        <v>通過</v>
      </c>
      <c r="E12" s="7" t="s">
        <v>956</v>
      </c>
    </row>
    <row r="13" customFormat="false" ht="15" hidden="false" customHeight="false" outlineLevel="0" collapsed="false">
      <c r="A13" s="3" t="s">
        <v>957</v>
      </c>
      <c r="B13" s="46" t="n">
        <f aca="false">損益!D6-運營_產能與收入!D25</f>
        <v>0</v>
      </c>
      <c r="C13" s="7" t="n">
        <f aca="false">0</f>
        <v>0</v>
      </c>
      <c r="D13" s="2" t="str">
        <f aca="false">IF(ABS(B13)&lt;0.001,"通過","不一致")</f>
        <v>通過</v>
      </c>
      <c r="E13" s="7" t="s">
        <v>958</v>
      </c>
    </row>
    <row r="14" customFormat="false" ht="15" hidden="false" customHeight="false" outlineLevel="0" collapsed="false">
      <c r="A14" s="3" t="s">
        <v>793</v>
      </c>
      <c r="B14" s="72" t="n">
        <f aca="false">評價_DCF與目標價!C26</f>
        <v>3.88818583833082</v>
      </c>
      <c r="C14" s="7" t="s">
        <v>959</v>
      </c>
      <c r="D14" s="2" t="str">
        <f aca="false">IF(B14&lt;0.85,"通過","觀察")</f>
        <v>觀察</v>
      </c>
      <c r="E14" s="11" t="s">
        <v>960</v>
      </c>
    </row>
    <row r="15" customFormat="false" ht="15" hidden="false" customHeight="false" outlineLevel="0" collapsed="false">
      <c r="A15" s="4" t="s">
        <v>961</v>
      </c>
      <c r="B15" s="86" t="n">
        <f aca="false">損益!D19/損益!D8-輸入與假設!D39</f>
        <v>0</v>
      </c>
      <c r="C15" s="7" t="n">
        <f aca="false">0</f>
        <v>0</v>
      </c>
      <c r="D15" s="2" t="str">
        <f aca="false">IF(ABS(B15)&lt;0.0001,"通過","不一致")</f>
        <v>通過</v>
      </c>
      <c r="E15" s="11" t="s">
        <v>962</v>
      </c>
    </row>
    <row r="16" customFormat="false" ht="15" hidden="false" customHeight="false" outlineLevel="0" collapsed="false">
      <c r="A16" s="3" t="s">
        <v>963</v>
      </c>
      <c r="B16" s="46" t="n">
        <f aca="false">(運營_產能與收入!D36+運營_產能與收入!D37+輸入與假設!D40-各期收支!D12)+(運營_產能與收入!D31+運營_產能與收入!D23*輸入與假設!D31*(1-輸入與假設!D32))*運營_產能與收入!D35-損益!D19</f>
        <v>0</v>
      </c>
      <c r="C16" s="7" t="n">
        <f aca="false">0</f>
        <v>0</v>
      </c>
      <c r="D16" s="2" t="str">
        <f aca="false">IF(ABS(B16)&lt;0.001,"通過","不一致")</f>
        <v>通過</v>
      </c>
      <c r="E16" s="11" t="s">
        <v>964</v>
      </c>
    </row>
    <row r="17" customFormat="false" ht="15" hidden="false" customHeight="false" outlineLevel="0" collapsed="false">
      <c r="A17" s="4" t="s">
        <v>965</v>
      </c>
      <c r="B17" s="39" t="n">
        <f aca="false">評價_DCF與目標價!C29</f>
        <v>0</v>
      </c>
      <c r="C17" s="7" t="s">
        <v>966</v>
      </c>
      <c r="D17" s="2" t="str">
        <f aca="false">IF(B17=0,"通過","觀察")</f>
        <v>通過</v>
      </c>
      <c r="E17" s="11" t="s">
        <v>967</v>
      </c>
    </row>
    <row r="18" customFormat="false" ht="15" hidden="false" customHeight="false" outlineLevel="0" collapsed="false">
      <c r="A18" s="3" t="s">
        <v>968</v>
      </c>
      <c r="B18" s="46" t="n">
        <f aca="false">MIN(各期收支!C41:G41)</f>
        <v>2</v>
      </c>
      <c r="C18" s="7" t="s">
        <v>969</v>
      </c>
      <c r="D18" s="2" t="str">
        <f aca="false">IF(B18&gt;=1.999,"通過","不一致")</f>
        <v>通過</v>
      </c>
      <c r="E18" s="11" t="s">
        <v>970</v>
      </c>
    </row>
    <row r="19" customFormat="false" ht="15" hidden="false" customHeight="false" outlineLevel="0" collapsed="false">
      <c r="A19" s="3" t="s">
        <v>971</v>
      </c>
      <c r="B19" s="84" t="n">
        <f aca="false">SUM(各期收支!C61:G61)/(輸入與假設!$C$98*輸入與假設!$C$99)</f>
        <v>0.277305630383287</v>
      </c>
      <c r="C19" s="7" t="s">
        <v>972</v>
      </c>
      <c r="D19" s="2" t="str">
        <f aca="false">IF(B19&lt;=1.5,"通過","觀察")</f>
        <v>通過</v>
      </c>
      <c r="E19" s="11" t="s">
        <v>973</v>
      </c>
    </row>
    <row r="20" customFormat="false" ht="15" hidden="false" customHeight="false" outlineLevel="0" collapsed="false">
      <c r="A20" s="3" t="s">
        <v>974</v>
      </c>
      <c r="B20" s="46" t="n">
        <f aca="false">資產負債_既有債務!E21</f>
        <v>35.551</v>
      </c>
      <c r="C20" s="7" t="s">
        <v>975</v>
      </c>
      <c r="D20" s="2" t="str">
        <f aca="false">IF(ABS(B20-35.551)&lt;0.01,"通過","不一致")</f>
        <v>通過</v>
      </c>
      <c r="E20" s="7" t="s">
        <v>976</v>
      </c>
    </row>
    <row r="21" customFormat="false" ht="15" hidden="false" customHeight="false" outlineLevel="0" collapsed="false">
      <c r="A21" s="4" t="s">
        <v>977</v>
      </c>
      <c r="B21" s="46" t="n">
        <f aca="false">輸入與假設!C68</f>
        <v>36.975</v>
      </c>
      <c r="C21" s="7" t="s">
        <v>940</v>
      </c>
      <c r="D21" s="2" t="str">
        <f aca="false">IF(AND(B21&gt;=35,B21&lt;=39),"通過","觀察")</f>
        <v>通過</v>
      </c>
      <c r="E21" s="11" t="s">
        <v>978</v>
      </c>
    </row>
    <row r="22" customFormat="false" ht="15" hidden="false" customHeight="false" outlineLevel="0" collapsed="false">
      <c r="A22" s="4" t="s">
        <v>979</v>
      </c>
      <c r="B22" s="46" t="n">
        <f aca="false">SUM(輸入與假設!C61:G61)</f>
        <v>1.15</v>
      </c>
      <c r="C22" s="7" t="n">
        <f aca="false">1.15</f>
        <v>1.15</v>
      </c>
      <c r="D22" s="2" t="str">
        <f aca="false">IF(ABS(B22-1.15)&lt;0.01,"通過","不一致")</f>
        <v>通過</v>
      </c>
      <c r="E22" s="7" t="s">
        <v>980</v>
      </c>
    </row>
    <row r="23" customFormat="false" ht="15" hidden="false" customHeight="false" outlineLevel="0" collapsed="false">
      <c r="A23" s="3" t="s">
        <v>981</v>
      </c>
      <c r="B23" s="46" t="n">
        <f aca="false">運營_站點!G25</f>
        <v>0.998180473372781</v>
      </c>
      <c r="C23" s="11" t="s">
        <v>982</v>
      </c>
      <c r="D23" s="2" t="str">
        <f aca="false">IF(B23&gt;=運營_站點!$H$9*運營_站點!$C$26*0.8,"通過","觀察")</f>
        <v>觀察</v>
      </c>
      <c r="E23" s="11" t="s">
        <v>983</v>
      </c>
    </row>
    <row r="24" customFormat="false" ht="15" hidden="false" customHeight="false" outlineLevel="0" collapsed="false">
      <c r="A24" s="3" t="s">
        <v>984</v>
      </c>
      <c r="B24" s="46" t="n">
        <f aca="false">運營_站點!$C$29</f>
        <v>3.29166034970789</v>
      </c>
      <c r="C24" s="7" t="s">
        <v>985</v>
      </c>
      <c r="D24" s="2" t="str">
        <f aca="false">IF(B24&lt;10,"通過","觀察")</f>
        <v>通過</v>
      </c>
      <c r="E24" s="11" t="s">
        <v>986</v>
      </c>
    </row>
    <row r="26" customFormat="false" ht="15" hidden="false" customHeight="false" outlineLevel="0" collapsed="false">
      <c r="A26" s="2" t="s">
        <v>987</v>
      </c>
    </row>
    <row r="27" customFormat="false" ht="15" hidden="false" customHeight="false" outlineLevel="0" collapsed="false">
      <c r="A27" s="3" t="s">
        <v>988</v>
      </c>
      <c r="B27" s="48" t="n">
        <f aca="false">SUM(運營_產能與收入!C17:G17)</f>
        <v>108.108</v>
      </c>
    </row>
    <row r="28" customFormat="false" ht="15" hidden="false" customHeight="false" outlineLevel="0" collapsed="false">
      <c r="A28" s="3" t="s">
        <v>989</v>
      </c>
      <c r="B28" s="48" t="n">
        <f aca="false">SUM(運營_產能與收入!C19:G19)</f>
        <v>6.33474999999999</v>
      </c>
    </row>
    <row r="29" customFormat="false" ht="15" hidden="false" customHeight="false" outlineLevel="0" collapsed="false">
      <c r="A29" s="3" t="s">
        <v>990</v>
      </c>
      <c r="B29" s="48" t="n">
        <f aca="false">SUM(運營_產能與收入!C23:G23)</f>
        <v>47.094444</v>
      </c>
    </row>
    <row r="30" customFormat="false" ht="15" hidden="false" customHeight="false" outlineLevel="0" collapsed="false">
      <c r="A30" s="3" t="s">
        <v>991</v>
      </c>
      <c r="B30" s="48" t="n">
        <f aca="false">SUM(輸入與假設!C73:G73)</f>
        <v>151.651</v>
      </c>
    </row>
    <row r="31" customFormat="false" ht="15" hidden="false" customHeight="false" outlineLevel="0" collapsed="false">
      <c r="A31" s="3" t="s">
        <v>992</v>
      </c>
      <c r="B31" s="48" t="n">
        <f aca="false">SUM(各期收支!C12:G12)</f>
        <v>20.3178933002481</v>
      </c>
    </row>
    <row r="32" customFormat="false" ht="15" hidden="false" customHeight="false" outlineLevel="0" collapsed="false">
      <c r="A32" s="3" t="s">
        <v>993</v>
      </c>
      <c r="B32" s="48" t="n">
        <f aca="false">SUM(各期收支!C17:G17)</f>
        <v>32.1259689556061</v>
      </c>
    </row>
    <row r="33" customFormat="false" ht="15" hidden="false" customHeight="false" outlineLevel="0" collapsed="false">
      <c r="A33" s="3" t="s">
        <v>994</v>
      </c>
      <c r="B33" s="48" t="n">
        <f aca="false">SUM(輸入與假設!C93:G93)*輸入與假設!$C$82</f>
        <v>20.655</v>
      </c>
    </row>
    <row r="34" customFormat="false" ht="15" hidden="false" customHeight="false" outlineLevel="0" collapsed="false">
      <c r="A34" s="3" t="s">
        <v>995</v>
      </c>
      <c r="B34" s="48" t="n">
        <f aca="false">SUM(各期收支!C39:G39)-(輸入與假設!$C$122-輸入與假設!$C$123-輸入與假設!$C$125)</f>
        <v>-75.3411151421392</v>
      </c>
    </row>
    <row r="35" customFormat="false" ht="15" hidden="false" customHeight="false" outlineLevel="0" collapsed="false">
      <c r="A35" s="4" t="s">
        <v>996</v>
      </c>
      <c r="B35" s="48" t="n">
        <f aca="false">SUM(各期收支!C39:G39)</f>
        <v>-86.4831151421392</v>
      </c>
    </row>
    <row r="36" customFormat="false" ht="15" hidden="false" customHeight="false" outlineLevel="0" collapsed="false">
      <c r="A36" s="3" t="s">
        <v>639</v>
      </c>
      <c r="B36" s="48" t="n">
        <f aca="false">各期收支!G41</f>
        <v>2</v>
      </c>
    </row>
    <row r="37" customFormat="false" ht="15" hidden="false" customHeight="false" outlineLevel="0" collapsed="false">
      <c r="A37" s="4" t="s">
        <v>997</v>
      </c>
      <c r="B37" s="36" t="n">
        <f aca="false">評價_DCF與目標價!C25</f>
        <v>0</v>
      </c>
    </row>
    <row r="38" customFormat="false" ht="15" hidden="false" customHeight="false" outlineLevel="0" collapsed="false">
      <c r="A38" s="3" t="s">
        <v>818</v>
      </c>
      <c r="B38" s="36" t="n">
        <f aca="false">評價_DCF與目標價!C47</f>
        <v>47.5469924435058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90"/>
    <col collapsed="false" customWidth="true" hidden="false" outlineLevel="0" max="4" min="4" style="0" width="14"/>
    <col collapsed="false" customWidth="true" hidden="false" outlineLevel="0" max="5" min="5" style="0" width="48"/>
  </cols>
  <sheetData>
    <row r="1" customFormat="false" ht="17.35" hidden="false" customHeight="false" outlineLevel="0" collapsed="false">
      <c r="A1" s="6" t="s">
        <v>998</v>
      </c>
    </row>
    <row r="2" customFormat="false" ht="15" hidden="false" customHeight="false" outlineLevel="0" collapsed="false">
      <c r="A2" s="7" t="s">
        <v>999</v>
      </c>
    </row>
    <row r="4" customFormat="false" ht="15" hidden="false" customHeight="false" outlineLevel="0" collapsed="false">
      <c r="A4" s="15" t="s">
        <v>1000</v>
      </c>
      <c r="B4" s="15" t="s">
        <v>1001</v>
      </c>
      <c r="C4" s="15" t="s">
        <v>1002</v>
      </c>
      <c r="D4" s="15" t="s">
        <v>1003</v>
      </c>
      <c r="E4" s="15" t="s">
        <v>1004</v>
      </c>
    </row>
    <row r="5" customFormat="false" ht="26.85" hidden="false" customHeight="false" outlineLevel="0" collapsed="false">
      <c r="A5" s="87" t="s">
        <v>1005</v>
      </c>
      <c r="B5" s="87" t="s">
        <v>1006</v>
      </c>
      <c r="C5" s="88" t="s">
        <v>1007</v>
      </c>
      <c r="D5" s="89" t="s">
        <v>1008</v>
      </c>
      <c r="E5" s="88" t="s">
        <v>1009</v>
      </c>
    </row>
    <row r="6" customFormat="false" ht="26.85" hidden="false" customHeight="false" outlineLevel="0" collapsed="false">
      <c r="A6" s="87" t="s">
        <v>1010</v>
      </c>
      <c r="B6" s="87" t="s">
        <v>1011</v>
      </c>
      <c r="C6" s="88" t="s">
        <v>1012</v>
      </c>
      <c r="D6" s="89" t="s">
        <v>1008</v>
      </c>
      <c r="E6" s="88" t="s">
        <v>1013</v>
      </c>
    </row>
    <row r="7" customFormat="false" ht="26.85" hidden="false" customHeight="false" outlineLevel="0" collapsed="false">
      <c r="A7" s="87" t="s">
        <v>1014</v>
      </c>
      <c r="B7" s="87" t="s">
        <v>1011</v>
      </c>
      <c r="C7" s="90" t="s">
        <v>1015</v>
      </c>
      <c r="D7" s="89" t="s">
        <v>1008</v>
      </c>
      <c r="E7" s="88" t="s">
        <v>1016</v>
      </c>
    </row>
    <row r="8" customFormat="false" ht="26.85" hidden="false" customHeight="false" outlineLevel="0" collapsed="false">
      <c r="A8" s="87" t="s">
        <v>1017</v>
      </c>
      <c r="B8" s="87" t="s">
        <v>1011</v>
      </c>
      <c r="C8" s="90" t="s">
        <v>1018</v>
      </c>
      <c r="D8" s="89" t="s">
        <v>1019</v>
      </c>
      <c r="E8" s="88" t="s">
        <v>1020</v>
      </c>
    </row>
    <row r="9" customFormat="false" ht="26.85" hidden="false" customHeight="false" outlineLevel="0" collapsed="false">
      <c r="A9" s="87" t="s">
        <v>1021</v>
      </c>
      <c r="B9" s="87" t="s">
        <v>1011</v>
      </c>
      <c r="C9" s="88" t="s">
        <v>1022</v>
      </c>
      <c r="D9" s="89" t="s">
        <v>1019</v>
      </c>
      <c r="E9" s="88" t="s">
        <v>1023</v>
      </c>
    </row>
    <row r="10" customFormat="false" ht="15" hidden="false" customHeight="false" outlineLevel="0" collapsed="false">
      <c r="A10" s="87" t="s">
        <v>1024</v>
      </c>
      <c r="B10" s="87" t="s">
        <v>1025</v>
      </c>
      <c r="C10" s="88" t="s">
        <v>1026</v>
      </c>
      <c r="D10" s="89" t="s">
        <v>1019</v>
      </c>
      <c r="E10" s="88" t="s">
        <v>1027</v>
      </c>
    </row>
    <row r="11" customFormat="false" ht="15" hidden="false" customHeight="false" outlineLevel="0" collapsed="false">
      <c r="A11" s="87" t="s">
        <v>1028</v>
      </c>
      <c r="B11" s="87" t="s">
        <v>1025</v>
      </c>
      <c r="C11" s="88" t="s">
        <v>1029</v>
      </c>
      <c r="D11" s="89" t="s">
        <v>1019</v>
      </c>
      <c r="E11" s="88" t="s">
        <v>1023</v>
      </c>
    </row>
    <row r="12" customFormat="false" ht="15" hidden="false" customHeight="false" outlineLevel="0" collapsed="false">
      <c r="A12" s="87" t="s">
        <v>1030</v>
      </c>
      <c r="B12" s="87" t="s">
        <v>1025</v>
      </c>
      <c r="C12" s="88" t="s">
        <v>1031</v>
      </c>
      <c r="D12" s="89" t="s">
        <v>1019</v>
      </c>
      <c r="E12" s="88" t="s">
        <v>1023</v>
      </c>
    </row>
    <row r="13" customFormat="false" ht="15" hidden="false" customHeight="false" outlineLevel="0" collapsed="false">
      <c r="A13" s="87" t="s">
        <v>1032</v>
      </c>
      <c r="B13" s="87" t="s">
        <v>1025</v>
      </c>
      <c r="C13" s="90" t="s">
        <v>1033</v>
      </c>
      <c r="D13" s="89" t="s">
        <v>1019</v>
      </c>
      <c r="E13" s="88" t="s">
        <v>1034</v>
      </c>
    </row>
    <row r="14" customFormat="false" ht="15" hidden="false" customHeight="false" outlineLevel="0" collapsed="false">
      <c r="A14" s="87" t="s">
        <v>1035</v>
      </c>
      <c r="B14" s="87" t="s">
        <v>1025</v>
      </c>
      <c r="C14" s="90" t="s">
        <v>1036</v>
      </c>
      <c r="D14" s="89" t="s">
        <v>1019</v>
      </c>
      <c r="E14" s="88" t="s">
        <v>1023</v>
      </c>
    </row>
    <row r="15" customFormat="false" ht="15" hidden="false" customHeight="false" outlineLevel="0" collapsed="false">
      <c r="A15" s="87" t="s">
        <v>1037</v>
      </c>
      <c r="B15" s="87" t="s">
        <v>1025</v>
      </c>
      <c r="C15" s="88" t="s">
        <v>1038</v>
      </c>
      <c r="D15" s="89" t="s">
        <v>1019</v>
      </c>
      <c r="E15" s="88" t="s">
        <v>1039</v>
      </c>
    </row>
    <row r="16" customFormat="false" ht="15" hidden="false" customHeight="false" outlineLevel="0" collapsed="false">
      <c r="A16" s="87" t="s">
        <v>1040</v>
      </c>
      <c r="B16" s="87" t="s">
        <v>1041</v>
      </c>
      <c r="C16" s="88" t="s">
        <v>1042</v>
      </c>
      <c r="D16" s="89" t="s">
        <v>1019</v>
      </c>
      <c r="E16" s="88" t="s">
        <v>1023</v>
      </c>
    </row>
    <row r="17" customFormat="false" ht="15" hidden="false" customHeight="false" outlineLevel="0" collapsed="false">
      <c r="A17" s="87" t="s">
        <v>1043</v>
      </c>
      <c r="B17" s="87" t="s">
        <v>1041</v>
      </c>
      <c r="C17" s="88" t="s">
        <v>1044</v>
      </c>
      <c r="D17" s="89" t="s">
        <v>1019</v>
      </c>
      <c r="E17" s="88" t="s">
        <v>1023</v>
      </c>
    </row>
    <row r="18" customFormat="false" ht="15" hidden="false" customHeight="false" outlineLevel="0" collapsed="false">
      <c r="A18" s="87" t="s">
        <v>1045</v>
      </c>
      <c r="B18" s="87" t="s">
        <v>1041</v>
      </c>
      <c r="C18" s="90" t="s">
        <v>1046</v>
      </c>
      <c r="D18" s="89" t="s">
        <v>1019</v>
      </c>
      <c r="E18" s="88" t="s">
        <v>1047</v>
      </c>
    </row>
    <row r="19" customFormat="false" ht="15" hidden="false" customHeight="false" outlineLevel="0" collapsed="false">
      <c r="A19" s="87" t="s">
        <v>1048</v>
      </c>
      <c r="B19" s="87" t="s">
        <v>1041</v>
      </c>
      <c r="C19" s="90" t="s">
        <v>1049</v>
      </c>
      <c r="D19" s="89" t="s">
        <v>1050</v>
      </c>
      <c r="E19" s="88" t="s">
        <v>1023</v>
      </c>
    </row>
    <row r="20" customFormat="false" ht="15" hidden="false" customHeight="false" outlineLevel="0" collapsed="false">
      <c r="A20" s="87" t="s">
        <v>1051</v>
      </c>
      <c r="B20" s="87" t="s">
        <v>1041</v>
      </c>
      <c r="C20" s="88" t="s">
        <v>1052</v>
      </c>
      <c r="D20" s="89" t="s">
        <v>1050</v>
      </c>
      <c r="E20" s="88" t="s">
        <v>1023</v>
      </c>
    </row>
    <row r="21" customFormat="false" ht="15" hidden="false" customHeight="false" outlineLevel="0" collapsed="false">
      <c r="A21" s="87" t="s">
        <v>1053</v>
      </c>
      <c r="B21" s="87" t="s">
        <v>1041</v>
      </c>
      <c r="C21" s="88" t="s">
        <v>1054</v>
      </c>
      <c r="D21" s="89" t="s">
        <v>1050</v>
      </c>
      <c r="E21" s="88" t="s">
        <v>1055</v>
      </c>
    </row>
    <row r="22" customFormat="false" ht="15" hidden="false" customHeight="false" outlineLevel="0" collapsed="false">
      <c r="A22" s="87" t="s">
        <v>1056</v>
      </c>
      <c r="B22" s="87" t="s">
        <v>1057</v>
      </c>
      <c r="C22" s="88" t="s">
        <v>1058</v>
      </c>
      <c r="D22" s="89" t="s">
        <v>1059</v>
      </c>
      <c r="E22" s="88" t="s">
        <v>1060</v>
      </c>
    </row>
    <row r="23" customFormat="false" ht="15" hidden="false" customHeight="false" outlineLevel="0" collapsed="false">
      <c r="A23" s="87" t="s">
        <v>1061</v>
      </c>
      <c r="B23" s="87" t="s">
        <v>1062</v>
      </c>
      <c r="C23" s="88" t="s">
        <v>1063</v>
      </c>
      <c r="D23" s="89" t="s">
        <v>1064</v>
      </c>
      <c r="E23" s="88" t="s">
        <v>1065</v>
      </c>
    </row>
    <row r="24" customFormat="false" ht="15" hidden="false" customHeight="false" outlineLevel="0" collapsed="false">
      <c r="A24" s="87" t="s">
        <v>1066</v>
      </c>
      <c r="B24" s="87" t="s">
        <v>1062</v>
      </c>
      <c r="C24" s="88" t="s">
        <v>1067</v>
      </c>
      <c r="D24" s="89" t="s">
        <v>1019</v>
      </c>
      <c r="E24" s="88" t="s">
        <v>1068</v>
      </c>
    </row>
    <row r="25" customFormat="false" ht="15" hidden="false" customHeight="false" outlineLevel="0" collapsed="false">
      <c r="A25" s="87" t="s">
        <v>1069</v>
      </c>
      <c r="B25" s="87" t="s">
        <v>1062</v>
      </c>
      <c r="C25" s="90" t="s">
        <v>1070</v>
      </c>
      <c r="D25" s="89" t="s">
        <v>1071</v>
      </c>
      <c r="E25" s="88" t="s">
        <v>1023</v>
      </c>
    </row>
    <row r="26" customFormat="false" ht="15" hidden="false" customHeight="false" outlineLevel="0" collapsed="false">
      <c r="A26" s="87" t="s">
        <v>1072</v>
      </c>
      <c r="B26" s="87" t="s">
        <v>1062</v>
      </c>
      <c r="C26" s="88" t="s">
        <v>1073</v>
      </c>
      <c r="D26" s="89" t="s">
        <v>1071</v>
      </c>
      <c r="E26" s="90" t="s">
        <v>1074</v>
      </c>
    </row>
    <row r="27" customFormat="false" ht="15" hidden="false" customHeight="false" outlineLevel="0" collapsed="false">
      <c r="A27" s="87" t="s">
        <v>1075</v>
      </c>
      <c r="B27" s="87" t="s">
        <v>1062</v>
      </c>
      <c r="C27" s="90" t="s">
        <v>1076</v>
      </c>
      <c r="D27" s="89" t="s">
        <v>1077</v>
      </c>
      <c r="E27" s="88" t="s">
        <v>1023</v>
      </c>
    </row>
    <row r="28" customFormat="false" ht="15" hidden="false" customHeight="false" outlineLevel="0" collapsed="false">
      <c r="A28" s="87" t="s">
        <v>1078</v>
      </c>
      <c r="B28" s="87" t="s">
        <v>1062</v>
      </c>
      <c r="C28" s="88" t="s">
        <v>1079</v>
      </c>
      <c r="D28" s="89" t="s">
        <v>1077</v>
      </c>
      <c r="E28" s="90" t="s">
        <v>1080</v>
      </c>
    </row>
    <row r="29" customFormat="false" ht="15" hidden="false" customHeight="false" outlineLevel="0" collapsed="false">
      <c r="A29" s="87" t="s">
        <v>1081</v>
      </c>
      <c r="B29" s="87" t="s">
        <v>1062</v>
      </c>
      <c r="C29" s="88" t="s">
        <v>1082</v>
      </c>
      <c r="D29" s="89" t="s">
        <v>1083</v>
      </c>
      <c r="E29" s="88" t="s">
        <v>1023</v>
      </c>
    </row>
    <row r="30" customFormat="false" ht="15" hidden="false" customHeight="false" outlineLevel="0" collapsed="false">
      <c r="A30" s="87" t="s">
        <v>1084</v>
      </c>
      <c r="B30" s="87" t="s">
        <v>1062</v>
      </c>
      <c r="C30" s="90" t="s">
        <v>1085</v>
      </c>
      <c r="D30" s="89" t="s">
        <v>1083</v>
      </c>
      <c r="E30" s="88" t="s">
        <v>1023</v>
      </c>
    </row>
    <row r="31" customFormat="false" ht="15" hidden="false" customHeight="false" outlineLevel="0" collapsed="false">
      <c r="A31" s="87" t="s">
        <v>1086</v>
      </c>
      <c r="B31" s="87" t="s">
        <v>1062</v>
      </c>
      <c r="C31" s="90" t="s">
        <v>1087</v>
      </c>
      <c r="D31" s="89" t="s">
        <v>1083</v>
      </c>
      <c r="E31" s="88" t="s">
        <v>1088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6" t="s">
        <v>1089</v>
      </c>
    </row>
    <row r="3" customFormat="false" ht="15" hidden="false" customHeight="false" outlineLevel="0" collapsed="false">
      <c r="A3" s="15" t="s">
        <v>1090</v>
      </c>
      <c r="B3" s="15" t="s">
        <v>1091</v>
      </c>
    </row>
    <row r="4" customFormat="false" ht="45.75" hidden="false" customHeight="true" outlineLevel="0" collapsed="false">
      <c r="A4" s="5" t="s">
        <v>1092</v>
      </c>
      <c r="B4" s="90" t="s">
        <v>1093</v>
      </c>
    </row>
    <row r="5" customFormat="false" ht="45.75" hidden="false" customHeight="true" outlineLevel="0" collapsed="false">
      <c r="A5" s="5" t="s">
        <v>1092</v>
      </c>
      <c r="B5" s="88" t="s">
        <v>1094</v>
      </c>
    </row>
    <row r="6" customFormat="false" ht="45.75" hidden="false" customHeight="true" outlineLevel="0" collapsed="false">
      <c r="A6" s="5" t="s">
        <v>1092</v>
      </c>
      <c r="B6" s="90" t="s">
        <v>1095</v>
      </c>
    </row>
    <row r="7" customFormat="false" ht="45.75" hidden="false" customHeight="true" outlineLevel="0" collapsed="false">
      <c r="A7" s="5" t="s">
        <v>1092</v>
      </c>
      <c r="B7" s="88" t="s">
        <v>1096</v>
      </c>
    </row>
    <row r="8" customFormat="false" ht="45.75" hidden="false" customHeight="true" outlineLevel="0" collapsed="false">
      <c r="A8" s="5" t="s">
        <v>1092</v>
      </c>
      <c r="B8" s="88" t="s">
        <v>1097</v>
      </c>
    </row>
    <row r="9" customFormat="false" ht="45.75" hidden="false" customHeight="true" outlineLevel="0" collapsed="false">
      <c r="A9" s="5" t="s">
        <v>1092</v>
      </c>
      <c r="B9" s="90" t="s">
        <v>1098</v>
      </c>
    </row>
    <row r="10" customFormat="false" ht="45.75" hidden="false" customHeight="true" outlineLevel="0" collapsed="false">
      <c r="A10" s="5" t="s">
        <v>1092</v>
      </c>
      <c r="B10" s="88" t="s">
        <v>1099</v>
      </c>
    </row>
    <row r="11" customFormat="false" ht="45.75" hidden="false" customHeight="true" outlineLevel="0" collapsed="false">
      <c r="A11" s="5" t="s">
        <v>1100</v>
      </c>
      <c r="B11" s="88" t="s">
        <v>1101</v>
      </c>
    </row>
    <row r="12" customFormat="false" ht="45.75" hidden="false" customHeight="true" outlineLevel="0" collapsed="false">
      <c r="A12" s="5" t="s">
        <v>1100</v>
      </c>
      <c r="B12" s="90" t="s">
        <v>1102</v>
      </c>
    </row>
    <row r="13" customFormat="false" ht="45.75" hidden="false" customHeight="true" outlineLevel="0" collapsed="false">
      <c r="A13" s="5" t="s">
        <v>1103</v>
      </c>
      <c r="B13" s="90" t="s">
        <v>1104</v>
      </c>
    </row>
    <row r="14" customFormat="false" ht="45.75" hidden="false" customHeight="true" outlineLevel="0" collapsed="false">
      <c r="A14" s="5" t="s">
        <v>1105</v>
      </c>
      <c r="B14" s="90" t="s">
        <v>1106</v>
      </c>
    </row>
    <row r="15" customFormat="false" ht="45.75" hidden="false" customHeight="true" outlineLevel="0" collapsed="false">
      <c r="A15" s="5" t="s">
        <v>1107</v>
      </c>
      <c r="B15" s="90" t="s">
        <v>1108</v>
      </c>
    </row>
    <row r="16" customFormat="false" ht="45.75" hidden="false" customHeight="true" outlineLevel="0" collapsed="false">
      <c r="A16" s="5" t="s">
        <v>1100</v>
      </c>
      <c r="B16" s="88" t="s">
        <v>1109</v>
      </c>
    </row>
    <row r="17" customFormat="false" ht="45.75" hidden="false" customHeight="true" outlineLevel="0" collapsed="false">
      <c r="A17" s="5" t="s">
        <v>1092</v>
      </c>
      <c r="B17" s="90" t="s">
        <v>1110</v>
      </c>
    </row>
    <row r="18" customFormat="false" ht="45.75" hidden="false" customHeight="true" outlineLevel="0" collapsed="false">
      <c r="A18" s="2" t="s">
        <v>1111</v>
      </c>
      <c r="B18" s="90" t="s">
        <v>1112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2026-09-25T13:05:06Z</dcterms:created>
  <dc:creator>openpyxl</dc:creator>
  <dc:description/>
  <dc:language>en-US</dc:language>
  <cp:lastModifiedBy/>
  <dcterms:modified xsi:type="dcterms:W3CDTF">2026-09-25T13:05:06Z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