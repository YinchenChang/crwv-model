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輸入與假設" sheetId="2" state="visible" r:id="rId4"/>
    <sheet name="收支與融資" sheetId="3" state="visible" r:id="rId5"/>
    <sheet name="季度追蹤" sheetId="4" state="visible" r:id="rId6"/>
    <sheet name="產能與收入" sheetId="5" state="visible" r:id="rId7"/>
    <sheet name="損益與評價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<sst xmlns="http://schemas.openxmlformats.org/spreadsheetml/2006/main" count="1258" uniqueCount="723">
  <si>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</si>
  <si>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  <charset val="1"/>
      </rPr>
      <t xml:space="preserve">｜結論</t>
    </r>
  </si>
  <si>
    <r>
      <rPr>
        <sz val="10"/>
        <rFont val="WenQuanYi Zen Hei"/>
        <family val="2"/>
        <charset val="1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  <charset val="1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</si>
  <si>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</si>
  <si>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</si>
  <si>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</si>
  <si>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</si>
  <si>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</si>
  <si>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</si>
  <si>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</si>
  <si>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</si>
  <si>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</si>
  <si>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</si>
  <si>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</si>
  <si>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</si>
  <si>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  <charset val="1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  <charset val="1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WenQuanYi Zen Hei"/>
        <family val="2"/>
        <charset val="1"/>
      </rPr>
      <t xml:space="preserve">）</t>
    </r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</si>
  <si>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</si>
  <si>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</si>
  <si>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</si>
  <si>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</si>
  <si>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  <charset val="1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｜模型</t>
    </r>
  </si>
  <si>
    <r>
      <rPr>
        <sz val="10"/>
        <rFont val="WenQuanYi Zen Hei"/>
        <family val="2"/>
        <charset val="1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｜共識</t>
    </r>
  </si>
  <si>
    <r>
      <rPr>
        <sz val="10"/>
        <rFont val="WenQuanYi Zen Hei"/>
        <family val="2"/>
        <charset val="1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｜差距</t>
    </r>
  </si>
  <si>
    <r>
      <rPr>
        <sz val="10"/>
        <rFont val="WenQuanYi Zen Hei"/>
        <family val="2"/>
        <charset val="1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｜差距（金額）</t>
    </r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</si>
  <si>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率｜模型</t>
    </r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</si>
  <si>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率｜共識</t>
    </r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</si>
  <si>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率｜差距（百分點）</t>
    </r>
  </si>
  <si>
    <t xml:space="preserve">pt</t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</si>
  <si>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（毛額）｜模型</t>
    </r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</si>
  <si>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（毛額）｜共識</t>
    </r>
  </si>
  <si>
    <r>
      <rPr>
        <sz val="10"/>
        <rFont val="WenQuanYi Zen Hei"/>
        <family val="2"/>
        <charset val="1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（毛額）｜差距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</si>
  <si>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</si>
  <si>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</si>
  <si>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</si>
  <si>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差異｜淨負債｜差距（金額）</t>
  </si>
  <si>
    <t xml:space="preserve">差異｜分歧項目（超過門檻者）</t>
  </si>
  <si>
    <r>
      <rPr>
        <sz val="10"/>
        <rFont val="WenQuanYi Zen Hei"/>
        <family val="2"/>
        <charset val="1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  <charset val="1"/>
      </rPr>
      <t xml:space="preserve">＝無）</t>
    </r>
  </si>
  <si>
    <t xml:space="preserve">差異｜判斷句</t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</si>
  <si>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  <charset val="1"/>
      </rPr>
      <t xml:space="preserve">｜淨負債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</si>
  <si>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</si>
  <si>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</si>
  <si>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  <charset val="1"/>
      </rPr>
      <t xml:space="preserve">｜淨負債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</si>
  <si>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｜營收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</si>
  <si>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</si>
  <si>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</si>
  <si>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  <charset val="1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｜淨負債</t>
    </r>
  </si>
  <si>
    <t xml:space="preserve">差異｜需附原因項數</t>
  </si>
  <si>
    <t xml:space="preserve">差異｜差異原因摘要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</si>
  <si>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  <charset val="1"/>
      </rPr>
      <t xml:space="preserve">｜現價隱含什麼</t>
    </r>
  </si>
  <si>
    <r>
      <rPr>
        <sz val="10"/>
        <rFont val="WenQuanYi Zen Hei"/>
        <family val="2"/>
        <charset val="1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</si>
  <si>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</si>
  <si>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10"/>
        <rFont val="WenQuanYi Zen Hei"/>
        <family val="2"/>
        <charset val="1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</si>
  <si>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t xml:space="preserve">隱含｜模型方法區間上緣</t>
  </si>
  <si>
    <t xml:space="preserve">隱含｜隱含倍數句</t>
  </si>
  <si>
    <r>
      <rPr>
        <sz val="10"/>
        <rFont val="WenQuanYi Zen Hei"/>
        <family val="2"/>
        <charset val="1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年收入（目前／隱含／變動）</t>
    </r>
  </si>
  <si>
    <r>
      <rPr>
        <sz val="10"/>
        <rFont val="WenQuanYi Zen Hei"/>
        <family val="2"/>
        <charset val="1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  <charset val="1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建置成本（目前／隱含／變動）</t>
    </r>
  </si>
  <si>
    <r>
      <rPr>
        <sz val="10"/>
        <rFont val="WenQuanYi Zen Hei"/>
        <family val="2"/>
        <charset val="1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  <charset val="1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</si>
  <si>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  <charset val="1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</si>
  <si>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  <charset val="1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  <charset val="1"/>
      </rPr>
      <t xml:space="preserve">）</t>
    </r>
  </si>
  <si>
    <t xml:space="preserve">驗證｜焦點季</t>
  </si>
  <si>
    <t xml:space="preserve">驗證｜營收（模型／共識／指引低／指引高／實際）</t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</si>
  <si>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</si>
  <si>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</si>
  <si>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</si>
  <si>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WenQuanYi Zen Hei"/>
        <family val="2"/>
        <charset val="1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</si>
  <si>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  <charset val="1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  <charset val="1"/>
      </rPr>
      <t xml:space="preserve">（毛額）｜句</t>
    </r>
  </si>
  <si>
    <t xml:space="preserve">驗證｜目標價（平均／中位數／最低／最高）</t>
  </si>
  <si>
    <t xml:space="preserve">連動檢查 — 恆等式與口徑</t>
  </si>
  <si>
    <r>
      <rPr>
        <b val="true"/>
        <sz val="10"/>
        <rFont val="WenQuanYi Zen Hei"/>
        <family val="2"/>
        <charset val="1"/>
      </rPr>
      <t xml:space="preserve">客戶集中：</t>
    </r>
    <r>
      <rPr>
        <b val="true"/>
        <sz val="10"/>
        <rFont val="Arial"/>
        <family val="0"/>
        <charset val="1"/>
      </rPr>
      <t xml:space="preserve">A 36%</t>
    </r>
    <r>
      <rPr>
        <b val="true"/>
        <sz val="10"/>
        <rFont val="WenQuanYi Zen Hei"/>
        <family val="2"/>
        <charset val="1"/>
      </rPr>
      <t xml:space="preserve">、</t>
    </r>
    <r>
      <rPr>
        <b val="true"/>
        <sz val="10"/>
        <rFont val="Arial"/>
        <family val="0"/>
        <charset val="1"/>
      </rPr>
      <t xml:space="preserve">B 26%</t>
    </r>
    <r>
      <rPr>
        <b val="true"/>
        <sz val="10"/>
        <rFont val="WenQuanYi Zen Hei"/>
        <family val="2"/>
        <charset val="1"/>
      </rPr>
      <t xml:space="preserve">、</t>
    </r>
    <r>
      <rPr>
        <b val="true"/>
        <sz val="10"/>
        <rFont val="Arial"/>
        <family val="0"/>
        <charset val="1"/>
      </rPr>
      <t xml:space="preserve">C 10%</t>
    </r>
    <r>
      <rPr>
        <b val="true"/>
        <sz val="10"/>
        <rFont val="WenQuanYi Zen Hei"/>
        <family val="2"/>
        <charset val="1"/>
      </rPr>
      <t xml:space="preserve">（</t>
    </r>
    <r>
      <rPr>
        <b val="true"/>
        <sz val="10"/>
        <rFont val="Arial"/>
        <family val="0"/>
        <charset val="1"/>
      </rPr>
      <t xml:space="preserve">Q2 2026 10-Q</t>
    </r>
    <r>
      <rPr>
        <b val="true"/>
        <sz val="10"/>
        <rFont val="WenQuanYi Zen Hei"/>
        <family val="2"/>
        <charset val="1"/>
      </rPr>
      <t xml:space="preserve">）</t>
    </r>
    <r>
      <rPr>
        <b val="true"/>
        <sz val="10"/>
        <rFont val="Arial"/>
        <family val="0"/>
        <charset val="1"/>
      </rPr>
      <t xml:space="preserve">[Verified]</t>
    </r>
  </si>
  <si>
    <t xml:space="preserve">檢查項目</t>
  </si>
  <si>
    <t xml:space="preserve">實際值</t>
  </si>
  <si>
    <t xml:space="preserve">標準</t>
  </si>
  <si>
    <t xml:space="preserve">結果</t>
  </si>
  <si>
    <t xml:space="preserve">說明</t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</si>
  <si>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桶權重合計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</si>
  <si>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  <charset val="1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  <charset val="1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  <charset val="1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  <charset val="1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</si>
  <si>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</si>
  <si>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</si>
  <si>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  <charset val="1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</si>
  <si>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  <charset val="1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</si>
  <si>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WenQuanYi Zen Hei"/>
        <family val="2"/>
        <charset val="1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  <charset val="1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  <charset val="1"/>
      </rPr>
      <t xml:space="preserve">敘事的風險集中點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</si>
  <si>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</si>
  <si>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  <charset val="1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  <charset val="1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  <charset val="1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  <charset val="1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  <charset val="1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  <charset val="1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  <charset val="1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  <charset val="1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  <charset val="1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  <charset val="1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  <charset val="1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  <charset val="1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  <charset val="1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</si>
  <si>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  <charset val="1"/>
      </rPr>
      <t xml:space="preserve">｜情境與規模（管理層擴張力道）</t>
    </r>
  </si>
  <si>
    <r>
      <rPr>
        <b val="true"/>
        <sz val="10"/>
        <rFont val="WenQuanYi Zen Hei"/>
        <family val="2"/>
        <charset val="1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  <charset val="1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WenQuanYi Zen Hei"/>
        <family val="2"/>
        <charset val="1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  <charset val="1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WenQuanYi Zen Hei"/>
        <family val="2"/>
        <charset val="1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  <charset val="1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</si>
  <si>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</si>
  <si>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</si>
  <si>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10"/>
        <rFont val="WenQuanYi Zen Hei"/>
        <family val="2"/>
        <charset val="1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</si>
  <si>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WenQuanYi Zen Hei"/>
        <family val="2"/>
        <charset val="1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</si>
  <si>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WenQuanYi Zen Hei"/>
        <family val="2"/>
        <charset val="1"/>
      </rPr>
      <t xml:space="preserve">爬坡比例</t>
    </r>
  </si>
  <si>
    <t xml:space="preserve">表外現金租金（積極路徑）</t>
  </si>
  <si>
    <r>
      <rPr>
        <sz val="10"/>
        <rFont val="WenQuanYi Zen Hei"/>
        <family val="2"/>
        <charset val="1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</si>
  <si>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  <charset val="1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WenQuanYi Zen Hei"/>
        <family val="2"/>
        <charset val="1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  <charset val="1"/>
      </rPr>
      <t xml:space="preserve">、利用率、單價、簽約、信用）</t>
    </r>
  </si>
  <si>
    <t xml:space="preserve">6/30 RPO</t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</si>
  <si>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  <charset val="1"/>
      </rPr>
      <t xml:space="preserve">初新增承諾</t>
    </r>
  </si>
  <si>
    <r>
      <rPr>
        <sz val="10"/>
        <rFont val="WenQuanYi Zen Hei"/>
        <family val="2"/>
        <charset val="1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  <charset val="1"/>
      </rPr>
      <t xml:space="preserve">末）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</si>
  <si>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  <charset val="1"/>
      </rPr>
      <t xml:space="preserve">主動電力</t>
    </r>
  </si>
  <si>
    <t xml:space="preserve">6/30 Billable MW</t>
  </si>
  <si>
    <r>
      <rPr>
        <sz val="10"/>
        <rFont val="WenQuanYi Zen Hei"/>
        <family val="2"/>
        <charset val="1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是）</t>
    </r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</si>
  <si>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年收入倍數（整體）</t>
    </r>
  </si>
  <si>
    <t xml:space="preserve">模型期長度（年）</t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</si>
  <si>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桶權重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</si>
  <si>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（期末主動電力）</t>
    </r>
  </si>
  <si>
    <t xml:space="preserve">Billable MW</t>
  </si>
  <si>
    <t xml:space="preserve">利用率</t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</si>
  <si>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</t>
    </r>
  </si>
  <si>
    <t xml:space="preserve">US$bn/MW</t>
  </si>
  <si>
    <t xml:space="preserve">新產能簽約率</t>
  </si>
  <si>
    <t xml:space="preserve">客戶違約率</t>
  </si>
  <si>
    <t xml:space="preserve">回收率</t>
  </si>
  <si>
    <t xml:space="preserve">非算力服務營收</t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</si>
  <si>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  <charset val="1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  <charset val="1"/>
      </rPr>
      <t xml:space="preserve">率單一來源；損益與資金共用）</t>
    </r>
  </si>
  <si>
    <r>
      <rPr>
        <sz val="10"/>
        <rFont val="WenQuanYi Zen Hei"/>
        <family val="2"/>
        <charset val="1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</si>
  <si>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</si>
  <si>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</si>
  <si>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t xml:space="preserve">非算力服務現金</t>
  </si>
  <si>
    <r>
      <rPr>
        <sz val="10"/>
        <rFont val="WenQuanYi Zen Hei"/>
        <family val="2"/>
        <charset val="1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開）</t>
    </r>
  </si>
  <si>
    <t xml:space="preserve">電價</t>
  </si>
  <si>
    <t xml:space="preserve">$/MWh</t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</si>
  <si>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</si>
  <si>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</si>
  <si>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</si>
  <si>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  <charset val="1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  <charset val="1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</si>
  <si>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</si>
  <si>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  <charset val="1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  <charset val="1"/>
      </rPr>
      <t xml:space="preserve">預建用）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</si>
  <si>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  <charset val="1"/>
      </rPr>
      <t xml:space="preserve">下限（已承諾）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</si>
  <si>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  <charset val="1"/>
      </rPr>
      <t xml:space="preserve">經濟壽命（年）</t>
    </r>
  </si>
  <si>
    <t xml:space="preserve">年</t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</si>
  <si>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  <charset val="1"/>
      </rPr>
      <t xml:space="preserve">年底主動電力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</si>
  <si>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  <charset val="1"/>
      </rPr>
      <t xml:space="preserve">年底主動電力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</si>
  <si>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  <charset val="1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</si>
  <si>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建置成本倍數（整體）</t>
    </r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</si>
  <si>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建置成本</t>
    </r>
  </si>
  <si>
    <r>
      <rPr>
        <sz val="10"/>
        <rFont val="WenQuanYi Zen Hei"/>
        <family val="2"/>
        <charset val="1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</si>
  <si>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  <charset val="1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  <charset val="1"/>
      </rPr>
      <t xml:space="preserve">到期表）</t>
    </r>
  </si>
  <si>
    <t xml:space="preserve">表外現金租金（未起租）</t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</si>
  <si>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  <charset val="1"/>
      </rPr>
      <t xml:space="preserve">已承諾餘額出資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</si>
  <si>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  <charset val="1"/>
      </rPr>
      <t xml:space="preserve">後續增資＋策略投資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</si>
  <si>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  <charset val="1"/>
      </rPr>
      <t xml:space="preserve">／策略投資出資</t>
    </r>
  </si>
  <si>
    <t xml:space="preserve">期初主動電力</t>
  </si>
  <si>
    <r>
      <rPr>
        <sz val="10"/>
        <rFont val="WenQuanYi Zen Hei"/>
        <family val="2"/>
        <charset val="1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</si>
  <si>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  <charset val="1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</si>
  <si>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  <charset val="1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（公式）</t>
    </r>
  </si>
  <si>
    <r>
      <rPr>
        <sz val="10"/>
        <rFont val="WenQuanYi Zen Hei"/>
        <family val="2"/>
        <charset val="1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（模型期）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</si>
  <si>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  <charset val="1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</si>
  <si>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  <charset val="1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</si>
  <si>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10"/>
        <rFont val="WenQuanYi Zen Hei"/>
        <family val="2"/>
        <charset val="1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（模型期，下游引用此列）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</si>
  <si>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  <charset val="1"/>
      </rPr>
      <t xml:space="preserve">（車隊折舊）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</si>
  <si>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  <charset val="1"/>
      </rPr>
      <t xml:space="preserve">｜融資（期初現金、既有債務、瀑布參數）</t>
    </r>
  </si>
  <si>
    <r>
      <rPr>
        <sz val="10"/>
        <rFont val="WenQuanYi Zen Hei"/>
        <family val="2"/>
        <charset val="1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  <charset val="1"/>
      </rPr>
      <t xml:space="preserve">）</t>
    </r>
  </si>
  <si>
    <t xml:space="preserve">股權／可轉債金額</t>
  </si>
  <si>
    <r>
      <rPr>
        <sz val="10"/>
        <rFont val="WenQuanYi Zen Hei"/>
        <family val="2"/>
        <charset val="1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是）</t>
    </r>
  </si>
  <si>
    <t xml:space="preserve">未動用信用額度</t>
  </si>
  <si>
    <r>
      <rPr>
        <sz val="10"/>
        <rFont val="WenQuanYi Zen Hei"/>
        <family val="2"/>
        <charset val="1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是）</t>
    </r>
  </si>
  <si>
    <r>
      <rPr>
        <sz val="10"/>
        <rFont val="WenQuanYi Zen Hei"/>
        <family val="2"/>
        <charset val="1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開）</t>
    </r>
  </si>
  <si>
    <r>
      <rPr>
        <sz val="10"/>
        <rFont val="WenQuanYi Zen Hei"/>
        <family val="2"/>
        <charset val="1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  <charset val="1"/>
      </rPr>
      <t xml:space="preserve">上限</t>
    </r>
  </si>
  <si>
    <t xml:space="preserve">新簽合約年期</t>
  </si>
  <si>
    <t xml:space="preserve">最低現金</t>
  </si>
  <si>
    <t xml:space="preserve">股權發行價</t>
  </si>
  <si>
    <t xml:space="preserve">股權發行折價</t>
  </si>
  <si>
    <t xml:space="preserve">每年股權吸收上限（占現市值）</t>
  </si>
  <si>
    <t xml:space="preserve">股權上限的股數基礎</t>
  </si>
  <si>
    <t xml:space="preserve">bn</t>
  </si>
  <si>
    <t xml:space="preserve">高息債利率（股權上限溢出）</t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</si>
  <si>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  <charset val="1"/>
      </rPr>
      <t xml:space="preserve">中價</t>
    </r>
  </si>
  <si>
    <t xml:space="preserve">bps</t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</si>
  <si>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  <charset val="1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  <charset val="1"/>
      </rPr>
      <t xml:space="preserve">開）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</si>
  <si>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  <charset val="1"/>
      </rPr>
      <t xml:space="preserve">傳入門檻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</si>
  <si>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  <charset val="1"/>
      </rPr>
      <t xml:space="preserve">傳入比例</t>
    </r>
  </si>
  <si>
    <r>
      <rPr>
        <sz val="10"/>
        <rFont val="WenQuanYi Zen Hei"/>
        <family val="2"/>
        <charset val="1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  <charset val="1"/>
      </rPr>
      <t xml:space="preserve">本金表）</t>
    </r>
  </si>
  <si>
    <t xml:space="preserve">新債利率</t>
  </si>
  <si>
    <t xml:space="preserve">存量債務利息（下游引用此列）</t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</si>
  <si>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  <charset val="1"/>
      </rPr>
      <t xml:space="preserve">｜評價（價格、股數、折現、倍數、權重）</t>
    </r>
  </si>
  <si>
    <r>
      <rPr>
        <sz val="10"/>
        <rFont val="WenQuanYi Zen Hei"/>
        <family val="2"/>
        <charset val="1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WenQuanYi Zen Hei"/>
        <family val="2"/>
        <charset val="1"/>
      </rPr>
      <t xml:space="preserve">收盤）</t>
    </r>
  </si>
  <si>
    <r>
      <rPr>
        <sz val="10"/>
        <rFont val="WenQuanYi Zen Hei"/>
        <family val="2"/>
        <charset val="1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  <charset val="1"/>
      </rPr>
      <t xml:space="preserve">上限）</t>
    </r>
  </si>
  <si>
    <r>
      <rPr>
        <sz val="10"/>
        <rFont val="WenQuanYi Zen Hei"/>
        <family val="2"/>
        <charset val="1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  <charset val="1"/>
      </rPr>
      <t xml:space="preserve">）</t>
    </r>
  </si>
  <si>
    <t xml:space="preserve">WACC</t>
  </si>
  <si>
    <r>
      <rPr>
        <sz val="10"/>
        <rFont val="WenQuanYi Zen Hei"/>
        <family val="2"/>
        <charset val="1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</si>
  <si>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  <charset val="1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  <charset val="1"/>
      </rPr>
      <t xml:space="preserve">占 </t>
    </r>
    <r>
      <rPr>
        <sz val="10"/>
        <rFont val="Arial"/>
        <family val="0"/>
        <charset val="1"/>
      </rPr>
      <t xml:space="preserve">D&amp;A</t>
    </r>
  </si>
  <si>
    <t xml:space="preserve">稅率</t>
  </si>
  <si>
    <r>
      <rPr>
        <sz val="10"/>
        <rFont val="WenQuanYi Zen Hei"/>
        <family val="2"/>
        <charset val="1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  <charset val="1"/>
      </rPr>
      <t xml:space="preserve">（虧損扣抵）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</si>
  <si>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  <charset val="1"/>
      </rPr>
      <t xml:space="preserve">每年可抵用比例</t>
    </r>
  </si>
  <si>
    <t xml:space="preserve">營運資金占營收增量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</si>
  <si>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  <charset val="1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</si>
  <si>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  <charset val="1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</si>
  <si>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權重：</t>
    </r>
    <r>
      <rPr>
        <sz val="10"/>
        <rFont val="Arial"/>
        <family val="0"/>
        <charset val="1"/>
      </rPr>
      <t xml:space="preserve">DCF</t>
    </r>
  </si>
  <si>
    <t xml:space="preserve">方法區間倍數：下端</t>
  </si>
  <si>
    <t xml:space="preserve">方法區間倍數：上端</t>
  </si>
  <si>
    <r>
      <rPr>
        <sz val="10"/>
        <rFont val="WenQuanYi Zen Hei"/>
        <family val="2"/>
        <charset val="1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  <charset val="1"/>
      </rPr>
      <t xml:space="preserve">稀釋）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</si>
  <si>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  <charset val="1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  <charset val="1"/>
      </rPr>
      <t xml:space="preserve">＝選擇權）</t>
    </r>
  </si>
  <si>
    <r>
      <rPr>
        <sz val="10"/>
        <rFont val="WenQuanYi Zen Hei"/>
        <family val="2"/>
        <charset val="1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</si>
  <si>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t xml:space="preserve">無風險利率</t>
  </si>
  <si>
    <t xml:space="preserve">選擇權期間（年）</t>
  </si>
  <si>
    <t xml:space="preserve">目標價時點距評價日</t>
  </si>
  <si>
    <t xml:space="preserve">錨定期折回年數調整（目標價時點 − 首期長度）</t>
  </si>
  <si>
    <t xml:space="preserve">折現年數：評價日 → 期末</t>
  </si>
  <si>
    <t xml:space="preserve">折現年數：評價日 → 期初</t>
  </si>
  <si>
    <t xml:space="preserve">買進：空間下限</t>
  </si>
  <si>
    <r>
      <rPr>
        <sz val="10"/>
        <rFont val="WenQuanYi Zen Hei"/>
        <family val="2"/>
        <charset val="1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  <charset val="1"/>
      </rPr>
      <t xml:space="preserve">上限</t>
    </r>
  </si>
  <si>
    <t xml:space="preserve">賣出：空間上限</t>
  </si>
  <si>
    <r>
      <rPr>
        <sz val="10"/>
        <rFont val="WenQuanYi Zen Hei"/>
        <family val="2"/>
        <charset val="1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  <charset val="1"/>
      </rPr>
      <t xml:space="preserve">現市值）</t>
    </r>
  </si>
  <si>
    <t xml:space="preserve">股權募資超標時的賣出：空間上限</t>
  </si>
  <si>
    <t xml:space="preserve">判斷句：距賣出門檻揭露（占現價）</t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</si>
  <si>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  <charset val="1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  <charset val="1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WenQuanYi Zen Hei"/>
        <family val="2"/>
        <charset val="1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  <charset val="1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  <charset val="1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</si>
  <si>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  <charset val="1"/>
      </rPr>
      <t xml:space="preserve">現金</t>
    </r>
  </si>
  <si>
    <r>
      <rPr>
        <sz val="10"/>
        <rFont val="WenQuanYi Zen Hei"/>
        <family val="2"/>
        <charset val="1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</si>
  <si>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10"/>
        <rFont val="WenQuanYi Zen Hei"/>
        <family val="2"/>
        <charset val="1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</si>
  <si>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  <charset val="1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  <charset val="1"/>
      </rPr>
      <t xml:space="preserve">融資）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</si>
  <si>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  <charset val="1"/>
      </rPr>
      <t xml:space="preserve">＋策略投資出資</t>
    </r>
  </si>
  <si>
    <t xml:space="preserve">借款</t>
  </si>
  <si>
    <t xml:space="preserve">還款</t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</si>
  <si>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  <charset val="1"/>
      </rPr>
      <t xml:space="preserve">支出</t>
    </r>
  </si>
  <si>
    <t xml:space="preserve">私募股權</t>
  </si>
  <si>
    <t xml:space="preserve">營收</t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</si>
  <si>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  <charset val="1"/>
      </rPr>
      <t xml:space="preserve">營業損益</t>
    </r>
  </si>
  <si>
    <t xml:space="preserve">D&amp;A</t>
  </si>
  <si>
    <r>
      <rPr>
        <sz val="10"/>
        <rFont val="WenQuanYi Zen Hei"/>
        <family val="2"/>
        <charset val="1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  <charset val="1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  <charset val="1"/>
      </rPr>
      <t xml:space="preserve">）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</si>
  <si>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  <charset val="1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  <charset val="1"/>
      </rPr>
      <t xml:space="preserve">自動計算，勿手動輸入）</t>
    </r>
  </si>
  <si>
    <t xml:space="preserve">情境區間運算表｜公式列（加權目標價／評等代碼）</t>
  </si>
  <si>
    <r>
      <rPr>
        <sz val="10"/>
        <rFont val="WenQuanYi Zen Hei"/>
        <family val="2"/>
        <charset val="1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</si>
  <si>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WenQuanYi Zen Hei"/>
        <family val="2"/>
        <charset val="1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</si>
  <si>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WenQuanYi Zen Hei"/>
        <family val="2"/>
        <charset val="1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</si>
  <si>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  <charset val="1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WenQuanYi Zen Hei"/>
        <family val="2"/>
        <charset val="1"/>
      </rPr>
      <t xml:space="preserve">；只讀，不增補數字；下游只引用本區）</t>
    </r>
  </si>
  <si>
    <t xml:space="preserve">共識｜目標價｜平均</t>
  </si>
  <si>
    <t xml:space="preserve">2026-09-25</t>
  </si>
  <si>
    <t xml:space="preserve">Interested-party</t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</si>
  <si>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</si>
  <si>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</si>
  <si>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</si>
  <si>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共識｜年度｜營收</t>
  </si>
  <si>
    <r>
      <rPr>
        <sz val="10"/>
        <rFont val="WenQuanYi Zen Hei"/>
        <family val="2"/>
        <charset val="1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</si>
  <si>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</si>
  <si>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r>
      <rPr>
        <sz val="10"/>
        <rFont val="WenQuanYi Zen Hei"/>
        <family val="2"/>
        <charset val="1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</si>
  <si>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共識｜年度｜淨負債</t>
  </si>
  <si>
    <t xml:space="preserve">共識｜季度｜營收</t>
  </si>
  <si>
    <r>
      <rPr>
        <sz val="10"/>
        <rFont val="WenQuanYi Zen Hei"/>
        <family val="2"/>
        <charset val="1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</si>
  <si>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</si>
  <si>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WenQuanYi Zen Hei"/>
        <family val="2"/>
        <charset val="1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）</t>
    </r>
  </si>
  <si>
    <t xml:space="preserve">差異原因門檻：利潤類利潤率差（百分點）</t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</si>
  <si>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  <charset val="1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  <charset val="1"/>
      </rPr>
      <t xml:space="preserve">；實際數預設空白，財報公布後填入藍字格）</t>
    </r>
  </si>
  <si>
    <r>
      <rPr>
        <sz val="10"/>
        <rFont val="WenQuanYi Zen Hei"/>
        <family val="2"/>
        <charset val="1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WenQuanYi Zen Hei"/>
        <family val="2"/>
        <charset val="1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  <charset val="1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</si>
  <si>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</si>
  <si>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WenQuanYi Zen Hei"/>
        <family val="2"/>
        <charset val="1"/>
      </rPr>
      <t xml:space="preserve">實際營收）</t>
    </r>
  </si>
  <si>
    <r>
      <rPr>
        <sz val="10"/>
        <rFont val="WenQuanYi Zen Hei"/>
        <family val="2"/>
        <charset val="1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  <charset val="1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  <charset val="1"/>
      </rPr>
      <t xml:space="preserve">）</t>
    </r>
  </si>
  <si>
    <t xml:space="preserve">季度實際｜營收</t>
  </si>
  <si>
    <r>
      <rPr>
        <sz val="10"/>
        <rFont val="WenQuanYi Zen Hei"/>
        <family val="2"/>
        <charset val="1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</si>
  <si>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</si>
  <si>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  <charset val="1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</si>
  <si>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r>
      <rPr>
        <sz val="10"/>
        <rFont val="WenQuanYi Zen Hei"/>
        <family val="2"/>
        <charset val="1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</si>
  <si>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季度指引｜營收（低）</t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</si>
  <si>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</si>
  <si>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</si>
  <si>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</si>
  <si>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WenQuanYi Zen Hei"/>
        <family val="2"/>
        <charset val="1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（毛額）（低）</t>
    </r>
  </si>
  <si>
    <r>
      <rPr>
        <sz val="10"/>
        <rFont val="WenQuanYi Zen Hei"/>
        <family val="2"/>
        <charset val="1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</si>
  <si>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</si>
  <si>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WenQuanYi Zen Hei"/>
        <family val="2"/>
        <charset val="1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</si>
  <si>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10"/>
        <rFont val="WenQuanYi Zen Hei"/>
        <family val="2"/>
        <charset val="1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  <charset val="1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實際）</t>
    </r>
  </si>
  <si>
    <r>
      <rPr>
        <sz val="10"/>
        <rFont val="WenQuanYi Zen Hei"/>
        <family val="2"/>
        <charset val="1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WenQuanYi Zen Hei"/>
        <family val="2"/>
        <charset val="1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</si>
  <si>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</si>
  <si>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  <charset val="1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  <charset val="1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  <charset val="1"/>
      </rPr>
      <t xml:space="preserve">以後為純模型。瀑布以「融資前現金」決定需求並直接由各支出列加總，因此沒有循環參照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</si>
  <si>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</si>
  <si>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</si>
  <si>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</si>
  <si>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</si>
  <si>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</si>
  <si>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</si>
  <si>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</si>
  <si>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支出（五層）</t>
  </si>
  <si>
    <t xml:space="preserve">　客戶預付率</t>
  </si>
  <si>
    <r>
      <rPr>
        <sz val="10"/>
        <rFont val="WenQuanYi Zen Hei"/>
        <family val="2"/>
        <charset val="1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  <charset val="1"/>
      </rPr>
      <t xml:space="preserve">起）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</si>
  <si>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  <charset val="1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  <charset val="1"/>
      </rPr>
      <t xml:space="preserve">毛額）</t>
    </r>
  </si>
  <si>
    <r>
      <rPr>
        <sz val="10"/>
        <rFont val="WenQuanYi Zen Hei"/>
        <family val="2"/>
        <charset val="1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  <charset val="1"/>
      </rPr>
      <t xml:space="preserve">）</t>
    </r>
  </si>
  <si>
    <t xml:space="preserve">② 表外現金租金（未起租）</t>
  </si>
  <si>
    <t xml:space="preserve">　租金合計</t>
  </si>
  <si>
    <r>
      <rPr>
        <sz val="10"/>
        <rFont val="WenQuanYi Zen Hei"/>
        <family val="2"/>
        <charset val="1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  <charset val="1"/>
      </rPr>
      <t xml:space="preserve">）</t>
    </r>
  </si>
  <si>
    <t xml:space="preserve">　期初累積現金</t>
  </si>
  <si>
    <t xml:space="preserve">　新債利率</t>
  </si>
  <si>
    <t xml:space="preserve">③ 新債利息（瀑布）</t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</si>
  <si>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</si>
  <si>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  <charset val="1"/>
      </rPr>
      <t xml:space="preserve">／策略投資出資</t>
    </r>
  </si>
  <si>
    <r>
      <rPr>
        <sz val="10"/>
        <rFont val="WenQuanYi Zen Hei"/>
        <family val="2"/>
        <charset val="1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</si>
  <si>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</si>
  <si>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  <charset val="1"/>
      </rPr>
      <t xml:space="preserve">本金表）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</si>
  <si>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  <charset val="1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實際）</t>
    </r>
  </si>
  <si>
    <t xml:space="preserve">用途合計（現金口徑）</t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</si>
  <si>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</si>
  <si>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  <charset val="1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</si>
  <si>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  <charset val="1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  <charset val="1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</si>
  <si>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</si>
  <si>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</si>
  <si>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WenQuanYi Zen Hei"/>
        <family val="2"/>
        <charset val="1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  <charset val="1"/>
      </rPr>
      <t xml:space="preserve">起）</t>
    </r>
  </si>
  <si>
    <t xml:space="preserve">營運來源合計</t>
  </si>
  <si>
    <t xml:space="preserve">Ⓔ 股權／可轉債（融資）</t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</si>
  <si>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  <charset val="1"/>
      </rPr>
      <t xml:space="preserve">實際借款（融資）</t>
    </r>
  </si>
  <si>
    <t xml:space="preserve">Ⓖ 瀑布：新債（額度＋資產層）</t>
  </si>
  <si>
    <t xml:space="preserve">Ⓗ 瀑布：股權募資</t>
  </si>
  <si>
    <t xml:space="preserve">Ⓘ 瀑布：高息債（股權上限溢出）</t>
  </si>
  <si>
    <t xml:space="preserve">總來源（含融資）</t>
  </si>
  <si>
    <t xml:space="preserve">缺口與現金橋</t>
  </si>
  <si>
    <r>
      <rPr>
        <sz val="10"/>
        <rFont val="WenQuanYi Zen Hei"/>
        <family val="2"/>
        <charset val="1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其他／受限現金調節</t>
    </r>
  </si>
  <si>
    <t xml:space="preserve">營運缺口（不含融資、不含還本）</t>
  </si>
  <si>
    <t xml:space="preserve">期間缺口（含融資）</t>
  </si>
  <si>
    <t xml:space="preserve">期末累積現金</t>
  </si>
  <si>
    <t xml:space="preserve">期前融資瀑布（缺口在需要前一期先融好：額度 → 資產層新債 → 股權）</t>
  </si>
  <si>
    <t xml:space="preserve">用途（不含新債利息）</t>
  </si>
  <si>
    <t xml:space="preserve">新債期初餘額</t>
  </si>
  <si>
    <r>
      <rPr>
        <sz val="10"/>
        <rFont val="WenQuanYi Zen Hei"/>
        <family val="2"/>
        <charset val="1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  <charset val="1"/>
      </rPr>
      <t xml:space="preserve">期間長度</t>
    </r>
  </si>
  <si>
    <t xml:space="preserve">高息債期初餘額</t>
  </si>
  <si>
    <r>
      <rPr>
        <sz val="10"/>
        <rFont val="WenQuanYi Zen Hei"/>
        <family val="2"/>
        <charset val="1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  <charset val="1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</si>
  <si>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</si>
  <si>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</si>
  <si>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  <charset val="1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</si>
  <si>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10"/>
        <rFont val="WenQuanYi Zen Hei"/>
        <family val="2"/>
        <charset val="1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年期）</t>
    </r>
  </si>
  <si>
    <r>
      <rPr>
        <sz val="10"/>
        <rFont val="WenQuanYi Zen Hei"/>
        <family val="2"/>
        <charset val="1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</si>
  <si>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10"/>
        <rFont val="WenQuanYi Zen Hei"/>
        <family val="2"/>
        <charset val="1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  <charset val="1"/>
      </rPr>
      <t xml:space="preserve">可轉債（期末）</t>
    </r>
  </si>
  <si>
    <r>
      <rPr>
        <sz val="10"/>
        <rFont val="WenQuanYi Zen Hei"/>
        <family val="2"/>
        <charset val="1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  <charset val="1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  <charset val="1"/>
      </rPr>
      <t xml:space="preserve">）</t>
    </r>
  </si>
  <si>
    <t xml:space="preserve">未動用額度（期初）</t>
  </si>
  <si>
    <t xml:space="preserve">新債可借上限</t>
  </si>
  <si>
    <t xml:space="preserve">新債舉借</t>
  </si>
  <si>
    <t xml:space="preserve">債務後剩餘需求</t>
  </si>
  <si>
    <t xml:space="preserve">每年股權吸收上限</t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</si>
  <si>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</si>
  <si>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</si>
  <si>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</si>
  <si>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WenQuanYi Zen Hei"/>
        <family val="2"/>
        <charset val="1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  <charset val="1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  <charset val="1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</si>
  <si>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</si>
  <si>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</si>
  <si>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</si>
  <si>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</si>
  <si>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</si>
  <si>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</si>
  <si>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</si>
  <si>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四層橋（驗算）</t>
  </si>
  <si>
    <r>
      <rPr>
        <sz val="10"/>
        <rFont val="WenQuanYi Zen Hei"/>
        <family val="2"/>
        <charset val="1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  <charset val="1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</si>
  <si>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</si>
  <si>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</si>
  <si>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  <charset val="1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</si>
  <si>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</si>
  <si>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  <charset val="1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</si>
  <si>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</si>
  <si>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</si>
  <si>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</si>
  <si>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</si>
  <si>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  <charset val="1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  <charset val="1"/>
      </rPr>
      <t xml:space="preserve">）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</si>
  <si>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  <charset val="1"/>
      </rPr>
      <t xml:space="preserve">全年備忘（對照公司指引）</t>
    </r>
  </si>
  <si>
    <r>
      <rPr>
        <b val="true"/>
        <sz val="14"/>
        <rFont val="WenQuanYi Zen Hei"/>
        <family val="2"/>
        <charset val="1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WenQuanYi Zen Hei"/>
        <family val="2"/>
        <charset val="1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  <charset val="1"/>
      </rPr>
      <t xml:space="preserve">）逐筆＋存量利息推導</t>
    </r>
  </si>
  <si>
    <r>
      <rPr>
        <sz val="9"/>
        <color rgb="FF595959"/>
        <rFont val="WenQuanYi Zen Hei"/>
        <family val="2"/>
        <charset val="1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  <charset val="1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WenQuanYi Zen Hei"/>
        <family val="2"/>
        <charset val="1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</si>
  <si>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</si>
  <si>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</si>
  <si>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</si>
  <si>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</si>
  <si>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  <charset val="1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</si>
  <si>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</si>
  <si>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</si>
  <si>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</si>
  <si>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</si>
  <si>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</si>
  <si>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</si>
  <si>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</si>
  <si>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</si>
  <si>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</si>
  <si>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</si>
  <si>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</si>
  <si>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t xml:space="preserve">2030 Senior Notes</t>
  </si>
  <si>
    <t xml:space="preserve">2030-06</t>
  </si>
  <si>
    <t xml:space="preserve">2031 9.00% Senior Notes</t>
  </si>
  <si>
    <t xml:space="preserve">2031-02</t>
  </si>
  <si>
    <t xml:space="preserve">2031 9.75% Senior Notes</t>
  </si>
  <si>
    <t xml:space="preserve">2031-10</t>
  </si>
  <si>
    <t xml:space="preserve">2032 9.625% Senior Notes</t>
  </si>
  <si>
    <t xml:space="preserve">2032-07</t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</si>
  <si>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WenQuanYi Zen Hei"/>
        <family val="2"/>
        <charset val="1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</si>
  <si>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  <charset val="1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</si>
  <si>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</si>
  <si>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WenQuanYi Zen Hei"/>
        <family val="2"/>
        <charset val="1"/>
      </rPr>
      <t xml:space="preserve">可轉債</t>
    </r>
  </si>
  <si>
    <t xml:space="preserve">2032-10</t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</si>
  <si>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  <charset val="1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</si>
  <si>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WenQuanYi Zen Hei"/>
        <family val="2"/>
        <charset val="1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</si>
  <si>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</si>
  <si>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</si>
  <si>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</si>
  <si>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</si>
  <si>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</si>
  <si>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  <charset val="1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</si>
  <si>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WenQuanYi Zen Hei"/>
        <family val="2"/>
        <charset val="1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</si>
  <si>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WenQuanYi Zen Hei"/>
        <family val="2"/>
        <charset val="1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  <charset val="1"/>
      </rPr>
      <t xml:space="preserve">）</t>
    </r>
  </si>
  <si>
    <t xml:space="preserve">加權有效利率</t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</si>
  <si>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  <charset val="1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  <charset val="1"/>
      </rPr>
      <t xml:space="preserve">可轉債</t>
    </r>
  </si>
  <si>
    <r>
      <rPr>
        <b val="true"/>
        <sz val="10"/>
        <rFont val="WenQuanYi Zen Hei"/>
        <family val="2"/>
        <charset val="1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  <charset val="1"/>
      </rPr>
      <t xml:space="preserve">到期表遞減）</t>
    </r>
  </si>
  <si>
    <t xml:space="preserve">期初本金</t>
  </si>
  <si>
    <t xml:space="preserve">排程還本</t>
  </si>
  <si>
    <t xml:space="preserve">期末本金</t>
  </si>
  <si>
    <t xml:space="preserve">平均本金</t>
  </si>
  <si>
    <t xml:space="preserve">存量債務利息</t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</si>
  <si>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  <charset val="1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</si>
  <si>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  <charset val="1"/>
      </rPr>
      <t xml:space="preserve">新增借款利息校準</t>
    </r>
  </si>
  <si>
    <t xml:space="preserve">存量利息合計（連回輸入頁）</t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</si>
  <si>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</si>
  <si>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  <charset val="1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  <charset val="1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  <charset val="1"/>
      </rPr>
      <t xml:space="preserve">『資產與負債 → 新債與新股』同口徑</t>
    </r>
  </si>
  <si>
    <t xml:space="preserve">現金</t>
  </si>
  <si>
    <t xml:space="preserve">期初現金</t>
  </si>
  <si>
    <r>
      <rPr>
        <sz val="10"/>
        <rFont val="WenQuanYi Zen Hei"/>
        <family val="2"/>
        <charset val="1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  <charset val="1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WenQuanYi Zen Hei"/>
        <family val="2"/>
        <charset val="1"/>
      </rPr>
      <t xml:space="preserve">，不含瀑布）</t>
    </r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</si>
  <si>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</si>
  <si>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</si>
  <si>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</si>
  <si>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</si>
  <si>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</si>
  <si>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債務</t>
  </si>
  <si>
    <t xml:space="preserve">既有債務期末</t>
  </si>
  <si>
    <r>
      <rPr>
        <sz val="10"/>
        <rFont val="WenQuanYi Zen Hei"/>
        <family val="2"/>
        <charset val="1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  <charset val="1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  <charset val="1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</si>
  <si>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</si>
  <si>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</si>
  <si>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</si>
  <si>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淨負債（總債務 − 期末現金）</t>
  </si>
  <si>
    <t xml:space="preserve">股本</t>
  </si>
  <si>
    <t xml:space="preserve">槓桿</t>
  </si>
  <si>
    <r>
      <rPr>
        <sz val="10"/>
        <rFont val="WenQuanYi Zen Hei"/>
        <family val="2"/>
        <charset val="1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  <charset val="1"/>
      </rPr>
      <t xml:space="preserve">（年化）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</si>
  <si>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</si>
  <si>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  <charset val="1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  <charset val="1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  <charset val="1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  <charset val="1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  <charset val="1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</si>
  <si>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  <charset val="1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  <charset val="1"/>
      </rPr>
      <t xml:space="preserve">區選擇）：模型／共識／指引／實際與差距</t>
    </r>
  </si>
  <si>
    <t xml:space="preserve">焦點｜營收</t>
  </si>
  <si>
    <r>
      <rPr>
        <sz val="10"/>
        <rFont val="WenQuanYi Zen Hei"/>
        <family val="2"/>
        <charset val="1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</si>
  <si>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</si>
  <si>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WenQuanYi Zen Hei"/>
        <family val="2"/>
        <charset val="1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</si>
  <si>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t xml:space="preserve">焦點｜調整後營業利益</t>
  </si>
  <si>
    <r>
      <rPr>
        <sz val="10"/>
        <rFont val="WenQuanYi Zen Hei"/>
        <family val="2"/>
        <charset val="1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</si>
  <si>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r>
      <rPr>
        <sz val="10"/>
        <rFont val="WenQuanYi Zen Hei"/>
        <family val="2"/>
        <charset val="1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</si>
  <si>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</si>
  <si>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</si>
  <si>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  <charset val="1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  <charset val="1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  <charset val="1"/>
      </rPr>
      <t xml:space="preserve">區以焦點季引用本區）</t>
    </r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</si>
  <si>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</si>
  <si>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</si>
  <si>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</si>
  <si>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</si>
  <si>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</si>
  <si>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</si>
  <si>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所屬期間</t>
  </si>
  <si>
    <t xml:space="preserve">季序</t>
  </si>
  <si>
    <r>
      <rPr>
        <sz val="10"/>
        <rFont val="WenQuanYi Zen Hei"/>
        <family val="2"/>
        <charset val="1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（模型）</t>
    </r>
  </si>
  <si>
    <r>
      <rPr>
        <sz val="10"/>
        <rFont val="WenQuanYi Zen Hei"/>
        <family val="2"/>
        <charset val="1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  <charset val="1"/>
      </rPr>
      <t xml:space="preserve">，拆分依據）</t>
    </r>
  </si>
  <si>
    <r>
      <rPr>
        <sz val="10"/>
        <rFont val="WenQuanYi Zen Hei"/>
        <family val="2"/>
        <charset val="1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</si>
  <si>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t xml:space="preserve">營收（模型）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</si>
  <si>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</si>
  <si>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  <charset val="1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</si>
  <si>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</si>
  <si>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  <charset val="1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</si>
  <si>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率（模型）</t>
    </r>
  </si>
  <si>
    <r>
      <rPr>
        <sz val="10"/>
        <rFont val="WenQuanYi Zen Hei"/>
        <family val="2"/>
        <charset val="1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（模型）</t>
    </r>
  </si>
  <si>
    <t xml:space="preserve">車隊折舊（模型）</t>
  </si>
  <si>
    <t xml:space="preserve">調整後營業利益（模型）</t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</si>
  <si>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</si>
  <si>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</si>
  <si>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</si>
  <si>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</si>
  <si>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</si>
  <si>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r>
      <rPr>
        <sz val="10"/>
        <rFont val="WenQuanYi Zen Hei"/>
        <family val="2"/>
        <charset val="1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（毛額）（低）</t>
    </r>
  </si>
  <si>
    <r>
      <rPr>
        <sz val="10"/>
        <rFont val="WenQuanYi Zen Hei"/>
        <family val="2"/>
        <charset val="1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</si>
  <si>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  <charset val="1"/>
      </rPr>
      <t xml:space="preserve">指引錨定值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</si>
  <si>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  <charset val="1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</si>
  <si>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（毛額）（模型）</t>
    </r>
  </si>
  <si>
    <t xml:space="preserve">共識｜營收</t>
  </si>
  <si>
    <r>
      <rPr>
        <sz val="10"/>
        <rFont val="WenQuanYi Zen Hei"/>
        <family val="2"/>
        <charset val="1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</si>
  <si>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</si>
  <si>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  <charset val="1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  <charset val="1"/>
      </rPr>
      <t xml:space="preserve">（口徑未揭露）</t>
    </r>
  </si>
  <si>
    <t xml:space="preserve">實際｜營收</t>
  </si>
  <si>
    <r>
      <rPr>
        <sz val="10"/>
        <rFont val="WenQuanYi Zen Hei"/>
        <family val="2"/>
        <charset val="1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</si>
  <si>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</si>
  <si>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t xml:space="preserve">實際｜調整後營業利益</t>
  </si>
  <si>
    <r>
      <rPr>
        <sz val="10"/>
        <rFont val="WenQuanYi Zen Hei"/>
        <family val="2"/>
        <charset val="1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</si>
  <si>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r>
      <rPr>
        <sz val="10"/>
        <rFont val="WenQuanYi Zen Hei"/>
        <family val="2"/>
        <charset val="1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</si>
  <si>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WenQuanYi Zen Hei"/>
        <family val="2"/>
        <charset val="1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</si>
  <si>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</si>
  <si>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</si>
  <si>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</si>
  <si>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</si>
  <si>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</si>
  <si>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</si>
  <si>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</si>
  <si>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</si>
  <si>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</si>
  <si>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</si>
  <si>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</si>
  <si>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</si>
  <si>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</si>
  <si>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</si>
  <si>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</si>
  <si>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</si>
  <si>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</si>
  <si>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</si>
  <si>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</si>
  <si>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</si>
  <si>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</si>
  <si>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</si>
  <si>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</si>
  <si>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</si>
  <si>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</si>
  <si>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</si>
  <si>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</si>
  <si>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</si>
  <si>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</si>
  <si>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</si>
  <si>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</si>
  <si>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</si>
  <si>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</si>
  <si>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</si>
  <si>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</si>
  <si>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</si>
  <si>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</si>
  <si>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</si>
  <si>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</si>
  <si>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</si>
  <si>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共識｜水準</t>
    </r>
  </si>
  <si>
    <r>
      <rPr>
        <sz val="10"/>
        <rFont val="WenQuanYi Zen Hei"/>
        <family val="2"/>
        <charset val="1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共識｜分配</t>
    </r>
  </si>
  <si>
    <r>
      <rPr>
        <sz val="10"/>
        <rFont val="WenQuanYi Zen Hei"/>
        <family val="2"/>
        <charset val="1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</t>
    </r>
  </si>
  <si>
    <r>
      <rPr>
        <sz val="10"/>
        <rFont val="WenQuanYi Zen Hei"/>
        <family val="2"/>
        <charset val="1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指引｜水準</t>
    </r>
  </si>
  <si>
    <r>
      <rPr>
        <sz val="10"/>
        <rFont val="WenQuanYi Zen Hei"/>
        <family val="2"/>
        <charset val="1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指引｜分配</t>
    </r>
  </si>
  <si>
    <r>
      <rPr>
        <sz val="10"/>
        <rFont val="WenQuanYi Zen Hei"/>
        <family val="2"/>
        <charset val="1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</si>
  <si>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</si>
  <si>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</si>
  <si>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</si>
  <si>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</si>
  <si>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</si>
  <si>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</si>
  <si>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共識｜水準</t>
    </r>
  </si>
  <si>
    <r>
      <rPr>
        <sz val="10"/>
        <rFont val="WenQuanYi Zen Hei"/>
        <family val="2"/>
        <charset val="1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共識｜分配</t>
    </r>
  </si>
  <si>
    <r>
      <rPr>
        <sz val="10"/>
        <rFont val="WenQuanYi Zen Hei"/>
        <family val="2"/>
        <charset val="1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</si>
  <si>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</si>
  <si>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</si>
  <si>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</si>
  <si>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</si>
  <si>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</si>
  <si>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</si>
  <si>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</si>
  <si>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</si>
  <si>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</si>
  <si>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</si>
  <si>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</si>
  <si>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</t>
    </r>
  </si>
  <si>
    <r>
      <rPr>
        <sz val="10"/>
        <rFont val="WenQuanYi Zen Hei"/>
        <family val="2"/>
        <charset val="1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指引｜水準</t>
    </r>
  </si>
  <si>
    <r>
      <rPr>
        <sz val="10"/>
        <rFont val="WenQuanYi Zen Hei"/>
        <family val="2"/>
        <charset val="1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指引｜分配</t>
    </r>
  </si>
  <si>
    <r>
      <rPr>
        <sz val="10"/>
        <rFont val="WenQuanYi Zen Hei"/>
        <family val="2"/>
        <charset val="1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</si>
  <si>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</si>
  <si>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</si>
  <si>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</si>
  <si>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</si>
  <si>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</si>
  <si>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</si>
  <si>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共識</t>
    </r>
  </si>
  <si>
    <r>
      <rPr>
        <sz val="10"/>
        <rFont val="WenQuanYi Zen Hei"/>
        <family val="2"/>
        <charset val="1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</si>
  <si>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指引中點</t>
    </r>
  </si>
  <si>
    <r>
      <rPr>
        <sz val="10"/>
        <rFont val="WenQuanYi Zen Hei"/>
        <family val="2"/>
        <charset val="1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</si>
  <si>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r>
      <rPr>
        <sz val="10"/>
        <rFont val="WenQuanYi Zen Hei"/>
        <family val="2"/>
        <charset val="1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  <charset val="1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</si>
  <si>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</si>
  <si>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</si>
  <si>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  <charset val="1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</si>
  <si>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</si>
  <si>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  <charset val="1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</si>
  <si>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r>
      <rPr>
        <sz val="10"/>
        <rFont val="WenQuanYi Zen Hei"/>
        <family val="2"/>
        <charset val="1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</si>
  <si>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</si>
  <si>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WenQuanYi Zen Hei"/>
        <family val="2"/>
        <charset val="1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</si>
  <si>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</si>
  <si>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t xml:space="preserve">句｜調整後營業利益</t>
  </si>
  <si>
    <r>
      <rPr>
        <sz val="10"/>
        <rFont val="WenQuanYi Zen Hei"/>
        <family val="2"/>
        <charset val="1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</si>
  <si>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r>
      <rPr>
        <sz val="10"/>
        <rFont val="WenQuanYi Zen Hei"/>
        <family val="2"/>
        <charset val="1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</si>
  <si>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t xml:space="preserve">核對｜營收</t>
  </si>
  <si>
    <r>
      <rPr>
        <sz val="10"/>
        <rFont val="WenQuanYi Zen Hei"/>
        <family val="2"/>
        <charset val="1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</si>
  <si>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</si>
  <si>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  <charset val="1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</si>
  <si>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</si>
  <si>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  <charset val="1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  <charset val="1"/>
      </rPr>
      <t xml:space="preserve">機房產能</t>
    </r>
  </si>
  <si>
    <r>
      <rPr>
        <sz val="9"/>
        <color rgb="FF595959"/>
        <rFont val="WenQuanYi Zen Hei"/>
        <family val="2"/>
        <charset val="1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  <charset val="1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  <charset val="1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</si>
  <si>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  <charset val="1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  <charset val="1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  <charset val="1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  <charset val="1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  <charset val="1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  <charset val="1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全年」列）。</t>
    </r>
  </si>
  <si>
    <r>
      <rPr>
        <b val="true"/>
        <sz val="10"/>
        <rFont val="WenQuanYi Zen Hei"/>
        <family val="2"/>
        <charset val="1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  <charset val="1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</si>
  <si>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  <charset val="1"/>
      </rPr>
      <t xml:space="preserve">（已驗收，單調不減）</t>
    </r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</si>
  <si>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  <charset val="1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</si>
  <si>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</si>
  <si>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  <charset val="1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  <charset val="1"/>
      </rPr>
      <t xml:space="preserve">欄為下半年平均）</t>
    </r>
  </si>
  <si>
    <t xml:space="preserve">容量上限（模型期最多能交付的收入）</t>
  </si>
  <si>
    <r>
      <rPr>
        <b val="true"/>
        <sz val="10"/>
        <rFont val="WenQuanYi Zen Hei"/>
        <family val="2"/>
        <charset val="1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  <charset val="1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</si>
  <si>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  <charset val="1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  <charset val="1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  <charset val="1"/>
      </rPr>
      <t xml:space="preserve">桶分攤）</t>
    </r>
  </si>
  <si>
    <r>
      <rPr>
        <b val="true"/>
        <sz val="10"/>
        <rFont val="WenQuanYi Zen Hei"/>
        <family val="2"/>
        <charset val="1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  <charset val="1"/>
      </rPr>
      <t xml:space="preserve">）兩條線相減</t>
    </r>
  </si>
  <si>
    <t xml:space="preserve">產能瓶頸（模型期：排程 − 容量）</t>
  </si>
  <si>
    <r>
      <rPr>
        <sz val="10"/>
        <rFont val="WenQuanYi Zen Hei"/>
        <family val="2"/>
        <charset val="1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轉換收入（模型期）</t>
    </r>
  </si>
  <si>
    <r>
      <rPr>
        <sz val="10"/>
        <rFont val="WenQuanYi Zen Hei"/>
        <family val="2"/>
        <charset val="1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占用的產能</t>
    </r>
  </si>
  <si>
    <t xml:space="preserve">新簽約收入</t>
  </si>
  <si>
    <r>
      <rPr>
        <sz val="10"/>
        <rFont val="WenQuanYi Zen Hei"/>
        <family val="2"/>
        <charset val="1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轉換＋新簽約）</t>
    </r>
  </si>
  <si>
    <r>
      <rPr>
        <b val="true"/>
        <sz val="10"/>
        <rFont val="WenQuanYi Zen Hei"/>
        <family val="2"/>
        <charset val="1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  <charset val="1"/>
      </rPr>
      <t xml:space="preserve">）收入 → 現金：三道折扣</t>
    </r>
  </si>
  <si>
    <r>
      <rPr>
        <sz val="10"/>
        <rFont val="WenQuanYi Zen Hei"/>
        <family val="2"/>
        <charset val="1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部分）</t>
    </r>
  </si>
  <si>
    <r>
      <rPr>
        <sz val="10"/>
        <rFont val="WenQuanYi Zen Hei"/>
        <family val="2"/>
        <charset val="1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部分）</t>
    </r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</si>
  <si>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</si>
  <si>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  <charset val="1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  <charset val="1"/>
      </rPr>
      <t xml:space="preserve">營收）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</si>
  <si>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  <charset val="1"/>
      </rPr>
      <t xml:space="preserve">現金（可支應資本用途）</t>
    </r>
  </si>
  <si>
    <t xml:space="preserve">新簽約現金</t>
  </si>
  <si>
    <t xml:space="preserve">損益（類損益表）— 與資金模型同一組收入</t>
  </si>
  <si>
    <r>
      <rPr>
        <sz val="9"/>
        <color rgb="FF595959"/>
        <rFont val="WenQuanYi Zen Hei"/>
        <family val="2"/>
        <charset val="1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  <charset val="1"/>
      </rPr>
      <t xml:space="preserve">、利息皆由前面分頁連結而來；改資金假設，此頁會跟著動</t>
    </r>
  </si>
  <si>
    <t xml:space="preserve">損益表</t>
  </si>
  <si>
    <t xml:space="preserve">算力收入</t>
  </si>
  <si>
    <t xml:space="preserve">非算力服務</t>
  </si>
  <si>
    <t xml:space="preserve">總營收</t>
  </si>
  <si>
    <r>
      <rPr>
        <sz val="10"/>
        <rFont val="WenQuanYi Zen Hei"/>
        <family val="2"/>
        <charset val="1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  <charset val="1"/>
      </rPr>
      <t xml:space="preserve">）</t>
    </r>
  </si>
  <si>
    <t xml:space="preserve">EBITDA</t>
  </si>
  <si>
    <r>
      <rPr>
        <sz val="10"/>
        <rFont val="WenQuanYi Zen Hei"/>
        <family val="2"/>
        <charset val="1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  <charset val="1"/>
      </rPr>
      <t xml:space="preserve">稀釋）</t>
    </r>
  </si>
  <si>
    <t xml:space="preserve">股數（含瀑布新股）</t>
  </si>
  <si>
    <r>
      <rPr>
        <b val="true"/>
        <sz val="10"/>
        <rFont val="WenQuanYi Zen Hei"/>
        <family val="2"/>
        <charset val="1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  <charset val="1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  <charset val="1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  <charset val="1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</si>
  <si>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  <charset val="1"/>
      </rPr>
      <t xml:space="preserve">實際營收（已實現）</t>
    </r>
  </si>
  <si>
    <t xml:space="preserve">全年總營收</t>
  </si>
  <si>
    <r>
      <rPr>
        <sz val="10"/>
        <rFont val="WenQuanYi Zen Hei"/>
        <family val="2"/>
        <charset val="1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  <charset val="1"/>
      </rPr>
      <t xml:space="preserve">營業利益</t>
    </r>
  </si>
  <si>
    <r>
      <rPr>
        <sz val="10"/>
        <rFont val="WenQuanYi Zen Hei"/>
        <family val="2"/>
        <charset val="1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</si>
  <si>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b val="true"/>
        <sz val="10"/>
        <rFont val="WenQuanYi Zen Hei"/>
        <family val="2"/>
        <charset val="1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</si>
  <si>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r>
      <rPr>
        <b val="true"/>
        <sz val="14"/>
        <rFont val="WenQuanYi Zen Hei"/>
        <family val="2"/>
        <charset val="1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  <charset val="1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  <charset val="1"/>
      </rPr>
      <t xml:space="preserve">、加權目標價</t>
    </r>
  </si>
  <si>
    <t xml:space="preserve">營收、營業利益、D&amp;A、EBITDA、股數引用『損益與評價』頁；Cash CapEx 與融資引用『收支與融資』頁</t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</si>
  <si>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  <charset val="1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</si>
  <si>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  <charset val="1"/>
      </rPr>
      <t xml:space="preserve">之後）</t>
    </r>
  </si>
  <si>
    <t xml:space="preserve">比較基期營收</t>
  </si>
  <si>
    <t xml:space="preserve">營運資金變動</t>
  </si>
  <si>
    <r>
      <rPr>
        <sz val="10"/>
        <rFont val="WenQuanYi Zen Hei"/>
        <family val="2"/>
        <charset val="1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  <charset val="1"/>
      </rPr>
      <t xml:space="preserve">期初</t>
    </r>
  </si>
  <si>
    <t xml:space="preserve">　本期動用（無槓桿）</t>
  </si>
  <si>
    <r>
      <rPr>
        <sz val="10"/>
        <rFont val="WenQuanYi Zen Hei"/>
        <family val="2"/>
        <charset val="1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  <charset val="1"/>
      </rPr>
      <t xml:space="preserve">期末</t>
    </r>
  </si>
  <si>
    <r>
      <rPr>
        <sz val="10"/>
        <rFont val="WenQuanYi Zen Hei"/>
        <family val="2"/>
        <charset val="1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用）</t>
    </r>
  </si>
  <si>
    <t xml:space="preserve">UFCF</t>
  </si>
  <si>
    <t xml:space="preserve">折現期數</t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</si>
  <si>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</si>
  <si>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  <charset val="1"/>
      </rPr>
      <t xml:space="preserve">現值</t>
    </r>
  </si>
  <si>
    <r>
      <rPr>
        <sz val="10"/>
        <rFont val="WenQuanYi Zen Hei"/>
        <family val="2"/>
        <charset val="1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  <charset val="1"/>
      </rPr>
      <t xml:space="preserve">現值合計</t>
    </r>
  </si>
  <si>
    <r>
      <rPr>
        <sz val="10"/>
        <rFont val="WenQuanYi Zen Hei"/>
        <family val="2"/>
        <charset val="1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  <charset val="1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</si>
  <si>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  <charset val="1"/>
      </rPr>
      <t xml:space="preserve">）</t>
    </r>
  </si>
  <si>
    <t xml:space="preserve">終值現值</t>
  </si>
  <si>
    <r>
      <rPr>
        <sz val="10"/>
        <rFont val="WenQuanYi Zen Hei"/>
        <family val="2"/>
        <charset val="1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</si>
  <si>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</si>
  <si>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</si>
  <si>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  <charset val="1"/>
      </rPr>
      <t xml:space="preserve">每股</t>
    </r>
  </si>
  <si>
    <t xml:space="preserve">新股募得現金（現值）</t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</si>
  <si>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</si>
  <si>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  <charset val="1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  <charset val="1"/>
      </rPr>
      <t xml:space="preserve">）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</si>
  <si>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  <charset val="1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  <charset val="1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</si>
  <si>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  <charset val="1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</si>
  <si>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</si>
  <si>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  <charset val="1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</si>
  <si>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  <charset val="1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  <charset val="1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</si>
  <si>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</si>
  <si>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  <charset val="1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  <charset val="1"/>
      </rPr>
      <t xml:space="preserve">）</t>
    </r>
  </si>
  <si>
    <t xml:space="preserve">錨定年度末淨負債（總債務 − 現金）</t>
  </si>
  <si>
    <t xml:space="preserve">錨定年度末股數（含瀑布新股）</t>
  </si>
  <si>
    <r>
      <rPr>
        <sz val="10"/>
        <rFont val="WenQuanYi Zen Hei"/>
        <family val="2"/>
        <charset val="1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WenQuanYi Zen Hei"/>
        <family val="2"/>
        <charset val="1"/>
      </rPr>
      <t xml:space="preserve">的折現因子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</si>
  <si>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  <charset val="1"/>
      </rPr>
      <t xml:space="preserve">每股（融資後）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</si>
  <si>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</si>
  <si>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每股（推到目標價時點）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</si>
  <si>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  <charset val="1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</si>
  <si>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  <charset val="1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  <charset val="1"/>
      </rPr>
      <t xml:space="preserve">有效權重</t>
    </r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</si>
  <si>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</si>
  <si>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</si>
  <si>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權重說明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</si>
  <si>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</si>
  <si>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</si>
  <si>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  <charset val="1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  <charset val="1"/>
      </rPr>
      <t xml:space="preserve">（評等用）</t>
    </r>
  </si>
  <si>
    <r>
      <rPr>
        <sz val="10"/>
        <rFont val="WenQuanYi Zen Hei"/>
        <family val="2"/>
        <charset val="1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  <charset val="1"/>
      </rPr>
      <t xml:space="preserve">現市值（評等用）</t>
    </r>
  </si>
  <si>
    <r>
      <rPr>
        <sz val="10"/>
        <rFont val="WenQuanYi Zen Hei"/>
        <family val="2"/>
        <charset val="1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  <charset val="1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  <charset val="1"/>
      </rPr>
      <t xml:space="preserve">＝賣出）</t>
    </r>
  </si>
  <si>
    <r>
      <rPr>
        <sz val="10"/>
        <rFont val="WenQuanYi Zen Hei"/>
        <family val="2"/>
        <charset val="1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</si>
  <si>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  <charset val="1"/>
      </rPr>
      <t xml:space="preserve">（加權目標價／評等代碼／距賣出門檻）</t>
    </r>
  </si>
  <si>
    <r>
      <rPr>
        <sz val="10"/>
        <rFont val="WenQuanYi Zen Hei"/>
        <family val="2"/>
        <charset val="1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WenQuanYi Zen Hei"/>
        <family val="2"/>
        <charset val="1"/>
      </rPr>
      <t xml:space="preserve">（加權目標價／評等代碼／距賣出門檻）</t>
    </r>
  </si>
  <si>
    <r>
      <rPr>
        <sz val="10"/>
        <rFont val="WenQuanYi Zen Hei"/>
        <family val="2"/>
        <charset val="1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  <charset val="1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</si>
  <si>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</si>
  <si>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</si>
  <si>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</si>
  <si>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10"/>
        <rFont val="WenQuanYi Zen Hei"/>
        <family val="2"/>
        <charset val="1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  <charset val="1"/>
      </rPr>
      <t xml:space="preserve">目標價（價位／評等代碼）</t>
    </r>
  </si>
  <si>
    <r>
      <rPr>
        <sz val="10"/>
        <rFont val="WenQuanYi Zen Hei"/>
        <family val="2"/>
        <charset val="1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  <charset val="1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</si>
  <si>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</si>
  <si>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</si>
  <si>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</si>
  <si>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</si>
  <si>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  <charset val="1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  <charset val="1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  <charset val="1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  <charset val="1"/>
      </rPr>
      <t xml:space="preserve">）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</si>
  <si>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倍數｜倍數法｜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</si>
  <si>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倍數｜倍數法｜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</si>
  <si>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倍數｜倍數法｜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</si>
  <si>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倍數｜倍數法｜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</si>
  <si>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倍數｜倍數法｜</t>
    </r>
    <r>
      <rPr>
        <sz val="10"/>
        <rFont val="Arial"/>
        <family val="0"/>
        <charset val="1"/>
      </rPr>
      <t xml:space="preserve">7.0x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</si>
  <si>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</si>
  <si>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</si>
  <si>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</si>
  <si>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</si>
  <si>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  <charset val="1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  <charset val="1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</si>
  <si>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0"/>
        <rFont val="WenQuanYi Zen Hei"/>
        <family val="2"/>
        <charset val="1"/>
      </rPr>
      <t xml:space="preserve">穩健性與關鍵假設（建置時由 </t>
    </r>
    <r>
      <rPr>
        <b val="true"/>
        <sz val="10"/>
        <rFont val="Arial"/>
        <family val="0"/>
        <charset val="1"/>
      </rPr>
      <t xml:space="preserve">Python </t>
    </r>
    <r>
      <rPr>
        <b val="true"/>
        <sz val="10"/>
        <rFont val="WenQuanYi Zen Hei"/>
        <family val="2"/>
        <charset val="1"/>
      </rPr>
      <t xml:space="preserve">重跑本活頁簿求得的快照；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  <charset val="1"/>
      </rPr>
      <t xml:space="preserve">截斷口徑；</t>
    </r>
    <r>
      <rPr>
        <b val="true"/>
        <sz val="10"/>
        <rFont val="Arial"/>
        <family val="0"/>
        <charset val="1"/>
      </rPr>
      <t xml:space="preserve">±10% </t>
    </r>
    <r>
      <rPr>
        <b val="true"/>
        <sz val="10"/>
        <rFont val="WenQuanYi Zen Hei"/>
        <family val="2"/>
        <charset val="1"/>
      </rPr>
      <t xml:space="preserve">為彈性，非可能性（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  <charset val="1"/>
      </rPr>
      <t xml:space="preserve">經濟壽命為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WenQuanYi Zen Hei"/>
        <family val="2"/>
        <charset val="1"/>
      </rPr>
      <t xml:space="preserve">年））</t>
    </r>
  </si>
  <si>
    <r>
      <rPr>
        <sz val="10"/>
        <rFont val="WenQuanYi Zen Hei"/>
        <family val="2"/>
        <charset val="1"/>
      </rPr>
      <t xml:space="preserve">穩健性｜翻轉評等（離開賣出）所需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  <charset val="1"/>
      </rPr>
      <t xml:space="preserve">倍數</t>
    </r>
  </si>
  <si>
    <r>
      <rPr>
        <sz val="10"/>
        <rFont val="WenQuanYi Zen Hei"/>
        <family val="2"/>
        <charset val="1"/>
      </rPr>
      <t xml:space="preserve">穩健性｜加權目標價等於現價所需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  <charset val="1"/>
      </rPr>
      <t xml:space="preserve">倍數</t>
    </r>
  </si>
  <si>
    <r>
      <rPr>
        <sz val="10"/>
        <rFont val="WenQuanYi Zen Hei"/>
        <family val="2"/>
        <charset val="1"/>
      </rPr>
      <t xml:space="preserve">對照｜共識平均目標價隱含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  <charset val="1"/>
      </rPr>
      <t xml:space="preserve">（共識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  <charset val="1"/>
      </rPr>
      <t xml:space="preserve">數字）</t>
    </r>
  </si>
  <si>
    <r>
      <rPr>
        <sz val="10"/>
        <rFont val="WenQuanYi Zen Hei"/>
        <family val="2"/>
        <charset val="1"/>
      </rPr>
      <t xml:space="preserve">對照｜同式：共識平均目標價以模型數字換算的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  <charset val="1"/>
      </rPr>
      <t xml:space="preserve">（目前情境，活公式）</t>
    </r>
  </si>
  <si>
    <r>
      <rPr>
        <sz val="10"/>
        <rFont val="WenQuanYi Zen Hei"/>
        <family val="2"/>
        <charset val="1"/>
      </rPr>
      <t xml:space="preserve">對照｜同式：共識平均目標價以模型數字換算的 </t>
    </r>
    <r>
      <rPr>
        <sz val="10"/>
        <rFont val="Arial"/>
        <family val="0"/>
        <charset val="1"/>
      </rPr>
      <t xml:space="preserve">EV/EBITDA</t>
    </r>
  </si>
  <si>
    <r>
      <rPr>
        <sz val="10"/>
        <rFont val="WenQuanYi Zen Hei"/>
        <family val="2"/>
        <charset val="1"/>
      </rPr>
      <t xml:space="preserve">穩健性｜翻轉為非賣出所需 </t>
    </r>
    <r>
      <rPr>
        <sz val="10"/>
        <rFont val="Arial"/>
        <family val="0"/>
        <charset val="1"/>
      </rPr>
      <t xml:space="preserve">WACC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</si>
  <si>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  <charset val="1"/>
      </rPr>
      <t xml:space="preserve">名</t>
    </r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</si>
  <si>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年收入（含利用率）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</si>
  <si>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  <charset val="1"/>
      </rPr>
      <t xml:space="preserve">名｜下調對目標價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</si>
  <si>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  <charset val="1"/>
      </rPr>
      <t xml:space="preserve">名｜上調對目標價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</si>
  <si>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  <charset val="1"/>
      </rPr>
      <t xml:space="preserve">名</t>
    </r>
  </si>
  <si>
    <r>
      <rPr>
        <sz val="10"/>
        <rFont val="WenQuanYi Zen Hei"/>
        <family val="2"/>
        <charset val="1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  <charset val="1"/>
      </rPr>
      <t xml:space="preserve">率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</si>
  <si>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  <charset val="1"/>
      </rPr>
      <t xml:space="preserve">名｜下調對目標價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</si>
  <si>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  <charset val="1"/>
      </rPr>
      <t xml:space="preserve">名｜上調對目標價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</si>
  <si>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  <charset val="1"/>
      </rPr>
      <t xml:space="preserve">名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</si>
  <si>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  <charset val="1"/>
      </rPr>
      <t xml:space="preserve">名｜下調對目標價</t>
    </r>
  </si>
  <si>
    <r>
      <rPr>
        <sz val="10"/>
        <rFont val="WenQuanYi Zen Hei"/>
        <family val="2"/>
        <charset val="1"/>
      </rPr>
      <t xml:space="preserve">關鍵假設｜第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  <charset val="1"/>
      </rPr>
      <t xml:space="preserve">名｜上調對目標價</t>
    </r>
  </si>
  <si>
    <r>
      <rPr>
        <sz val="10"/>
        <rFont val="WenQuanYi Zen Hei"/>
        <family val="2"/>
        <charset val="1"/>
      </rPr>
      <t xml:space="preserve">關鍵假設｜固定列示｜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  <charset val="1"/>
      </rPr>
      <t xml:space="preserve">經濟壽命｜名次</t>
    </r>
  </si>
  <si>
    <r>
      <rPr>
        <sz val="10"/>
        <rFont val="WenQuanYi Zen Hei"/>
        <family val="2"/>
        <charset val="1"/>
      </rPr>
      <t xml:space="preserve">關鍵假設｜固定列示｜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  <charset val="1"/>
      </rPr>
      <t xml:space="preserve">經濟壽命｜下調對目標價</t>
    </r>
  </si>
  <si>
    <r>
      <rPr>
        <sz val="10"/>
        <rFont val="WenQuanYi Zen Hei"/>
        <family val="2"/>
        <charset val="1"/>
      </rPr>
      <t xml:space="preserve">關鍵假設｜固定列示｜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  <charset val="1"/>
      </rPr>
      <t xml:space="preserve">經濟壽命｜上調對目標價</t>
    </r>
  </si>
  <si>
    <t xml:space="preserve">快照｜建置時目標價</t>
  </si>
  <si>
    <t xml:space="preserve">快照｜目前目標價（模擬運算表活值）</t>
  </si>
  <si>
    <t xml:space="preserve">快照｜狀態</t>
  </si>
  <si>
    <t xml:space="preserve">穩健性｜翻轉倍數句</t>
  </si>
  <si>
    <t xml:space="preserve">對照｜共識倍數句</t>
  </si>
  <si>
    <r>
      <rPr>
        <b val="true"/>
        <sz val="10"/>
        <rFont val="WenQuanYi Zen Hei"/>
        <family val="2"/>
        <charset val="1"/>
      </rPr>
      <t xml:space="preserve">穩健性｜翻轉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  <charset val="1"/>
      </rPr>
      <t xml:space="preserve">句</t>
    </r>
  </si>
  <si>
    <t xml:space="preserve">關鍵假設｜句（目前情境）</t>
  </si>
  <si>
    <r>
      <rPr>
        <b val="true"/>
        <sz val="14"/>
        <rFont val="WenQuanYi Zen Hei"/>
        <family val="2"/>
        <charset val="1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  <charset val="1"/>
      </rPr>
      <t xml:space="preserve">現價隱含什麼樣的收入與成本</t>
    </r>
  </si>
  <si>
    <r>
      <rPr>
        <sz val="9"/>
        <color rgb="FF595959"/>
        <rFont val="WenQuanYi Zen Hei"/>
        <family val="2"/>
        <charset val="1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  <charset val="1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  <charset val="1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  <charset val="1"/>
      </rPr>
      <t xml:space="preserve">預設輸入）</t>
    </r>
  </si>
  <si>
    <r>
      <rPr>
        <b val="true"/>
        <sz val="10"/>
        <rFont val="WenQuanYi Zen Hei"/>
        <family val="2"/>
        <charset val="1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  <charset val="1"/>
      </rPr>
      <t xml:space="preserve">與現價的差距</t>
    </r>
  </si>
  <si>
    <t xml:space="preserve">操作：用『目標搜尋』反解（資料 → 模擬分析 → 目標搜尋）</t>
  </si>
  <si>
    <r>
      <rPr>
        <b val="true"/>
        <sz val="10"/>
        <rFont val="WenQuanYi Zen Hei"/>
        <family val="2"/>
        <charset val="1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  <charset val="1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  <charset val="1"/>
      </rPr>
      <t xml:space="preserve">截斷）</t>
    </r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</si>
  <si>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  <charset val="1"/>
      </rPr>
      <t xml:space="preserve">）</t>
    </r>
  </si>
  <si>
    <r>
      <rPr>
        <sz val="9"/>
        <color rgb="FF595959"/>
        <rFont val="WenQuanYi Zen Hei"/>
        <family val="2"/>
        <charset val="1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WenQuanYi Zen Hei"/>
        <family val="2"/>
        <charset val="1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WenQuanYi Zen Hei"/>
        <family val="2"/>
        <charset val="1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  <charset val="1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</si>
  <si>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WenQuanYi Zen Hei"/>
        <family val="2"/>
        <charset val="1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  <charset val="1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</si>
  <si>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  <charset val="1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</si>
  <si>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  <charset val="1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  <charset val="1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WenQuanYi Zen Hei"/>
        <family val="2"/>
        <charset val="1"/>
      </rPr>
      <t xml:space="preserve">（變動為百分點）</t>
    </r>
  </si>
  <si>
    <r>
      <rPr>
        <sz val="10"/>
        <rFont val="WenQuanYi Zen Hei"/>
        <family val="2"/>
        <charset val="1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  <charset val="1"/>
      </rPr>
      <t xml:space="preserve">年收入</t>
    </r>
  </si>
  <si>
    <r>
      <rPr>
        <sz val="9"/>
        <color rgb="FF595959"/>
        <rFont val="WenQuanYi Zen Hei"/>
        <family val="2"/>
        <charset val="1"/>
      </rPr>
      <t xml:space="preserve">含倍數法（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WenQuanYi Zen Hei"/>
        <family val="2"/>
        <charset val="1"/>
      </rPr>
      <t xml:space="preserve">，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  <charset val="1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</si>
  <si>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  <charset val="1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  <charset val="1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  <charset val="1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  <charset val="1"/>
      </rPr>
      <t xml:space="preserve">）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</si>
</sst>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0.00"/>
    <numFmt numFmtId="173" formatCode="0.000"/>
    <numFmt numFmtId="174" formatCode="#,##0.000"/>
    <numFmt numFmtId="175" formatCode="@"/>
    <numFmt numFmtId="176" formatCode="0.00%"/>
    <numFmt numFmtId="177" formatCode="0.000%"/>
    <numFmt numFmtId="178" formatCode="0.0000%"/>
    <numFmt numFmtId="179" formatCode="0.000000"/>
    <numFmt numFmtId="180" formatCode="0.0"/>
    <numFmt numFmtId="181" formatCode="0.00\x"/>
    <numFmt numFmtId="182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  <charset val="1"/>
    </font>
    <font>
      <sz val="10"/>
      <name val="WenQuanYi Zen Hei"/>
      <family val="2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WenQuanYi Zen Hei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sz val="11"/>
      <color theme="1"/>
      <name val="WenQuanYi Zen 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FFFFCC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1" width="40"/>
    <col collapsed="false" customWidth="true" hidden="false" outlineLevel="0" max="2" min="2" style="1" width="10"/>
    <col collapsed="false" customWidth="true" hidden="false" outlineLevel="0" max="7" min="3" style="1" width="13"/>
    <col collapsed="false" customWidth="true" hidden="false" outlineLevel="0" max="9" min="9" style="1" width="7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4" t="s">
        <v>1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1" collapsed="false">
      <c r="A5" s="6" t="s">
        <v>2</v>
      </c>
      <c r="C5" s="7" t="n">
        <f aca="false">損益與評價!C71</f>
        <v>-1</v>
      </c>
    </row>
    <row r="6" customFormat="false" ht="15" hidden="false" customHeight="false" outlineLevel="1" collapsed="false">
      <c r="A6" s="6" t="s">
        <v>3</v>
      </c>
      <c r="C6" s="8" t="str">
        <f aca="false">CHOOSE(C5+2,"賣出","中立","買進")</f>
        <v>賣出</v>
      </c>
    </row>
    <row r="7" customFormat="false" ht="15" hidden="false" customHeight="false" outlineLevel="1" collapsed="false">
      <c r="A7" s="9" t="s">
        <v>4</v>
      </c>
      <c r="B7" s="10" t="s">
        <v>5</v>
      </c>
      <c r="C7" s="11" t="n">
        <f aca="false">損益與評價!C63</f>
        <v>45.501149936383</v>
      </c>
    </row>
    <row r="8" customFormat="false" ht="15" hidden="false" customHeight="false" outlineLevel="1" collapsed="false">
      <c r="A8" s="6" t="s">
        <v>6</v>
      </c>
      <c r="B8" s="10" t="s">
        <v>5</v>
      </c>
      <c r="C8" s="11" t="n">
        <f aca="false">輸入與假設!$C$88</f>
        <v>90.13</v>
      </c>
    </row>
    <row r="9" customFormat="false" ht="15" hidden="false" customHeight="false" outlineLevel="1" collapsed="false">
      <c r="A9" s="6" t="s">
        <v>7</v>
      </c>
      <c r="B9" s="10" t="s">
        <v>8</v>
      </c>
      <c r="C9" s="12" t="n">
        <f aca="false">C7/C8-1</f>
        <v>-0.495160879436558</v>
      </c>
    </row>
    <row r="10" customFormat="false" ht="15" hidden="false" customHeight="false" outlineLevel="1" collapsed="false">
      <c r="A10" s="6" t="s">
        <v>9</v>
      </c>
      <c r="B10" s="10" t="s">
        <v>5</v>
      </c>
      <c r="C10" s="11" t="n">
        <f aca="false">損益與評價!C76</f>
        <v>30.953265648845</v>
      </c>
      <c r="D10" s="11" t="n">
        <f aca="false">損益與評價!D76</f>
        <v>69.741656925025</v>
      </c>
    </row>
    <row r="11" customFormat="false" ht="15" hidden="false" customHeight="false" outlineLevel="1" collapsed="false">
      <c r="A11" s="6" t="s">
        <v>10</v>
      </c>
      <c r="B11" s="10" t="s">
        <v>5</v>
      </c>
      <c r="C11" s="11" t="n">
        <f aca="false">損益與評價!C78</f>
        <v>29.4752278406681</v>
      </c>
      <c r="D11" s="11" t="n">
        <f aca="false">損益與評價!D78</f>
        <v>45.501149936383</v>
      </c>
    </row>
    <row r="12" customFormat="false" ht="15" hidden="false" customHeight="false" outlineLevel="1" collapsed="false">
      <c r="A12" s="6" t="s">
        <v>11</v>
      </c>
      <c r="B12" s="10" t="s">
        <v>5</v>
      </c>
      <c r="C12" s="11" t="n">
        <f aca="false">損益與評價!$C$72</f>
        <v>76.6105</v>
      </c>
    </row>
    <row r="13" customFormat="false" ht="15" hidden="false" customHeight="false" outlineLevel="1" collapsed="false">
      <c r="A13" s="6" t="s">
        <v>12</v>
      </c>
      <c r="B13" s="10" t="s">
        <v>5</v>
      </c>
      <c r="C13" s="11" t="n">
        <f aca="false">C7-C12</f>
        <v>-31.109350063617</v>
      </c>
    </row>
    <row r="14" customFormat="false" ht="15" hidden="false" customHeight="false" outlineLevel="1" collapsed="false">
      <c r="A14" s="9" t="s">
        <v>13</v>
      </c>
      <c r="C14" s="8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$45.5，較現價 $90.13 低 50%；情境區間 $31.0–$69.7，方法區間 $29.5–$45.5；點位低於賣出門檻 $76.6 達 $31.1。</v>
      </c>
    </row>
    <row r="15" customFormat="false" ht="15" hidden="false" customHeight="false" outlineLevel="1" collapsed="false">
      <c r="A15" s="6" t="s">
        <v>14</v>
      </c>
      <c r="C15" s="8" t="str">
        <f aca="false">損益與評價!C84</f>
        <v>情境區間上緣 $69.7 低於現價 $90.13：賣出在三個擴張情境下都成立。</v>
      </c>
    </row>
    <row r="16" customFormat="false" ht="15" hidden="false" customHeight="false" outlineLevel="0" collapsed="false">
      <c r="A16" s="4" t="s">
        <v>15</v>
      </c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1" collapsed="false">
      <c r="A17" s="6" t="s">
        <v>16</v>
      </c>
      <c r="B17" s="10" t="s">
        <v>17</v>
      </c>
      <c r="C17" s="8" t="n">
        <f aca="false">損益與評價!C16</f>
        <v>13.066</v>
      </c>
      <c r="D17" s="8" t="n">
        <f aca="false">損益與評價!D16</f>
        <v>26.1275</v>
      </c>
      <c r="E17" s="8" t="n">
        <f aca="false">損益與評價!E16</f>
        <v>36.6694155</v>
      </c>
    </row>
    <row r="18" customFormat="false" ht="15" hidden="false" customHeight="false" outlineLevel="1" collapsed="false">
      <c r="A18" s="6" t="s">
        <v>18</v>
      </c>
      <c r="B18" s="10" t="s">
        <v>17</v>
      </c>
      <c r="C18" s="8" t="n">
        <f aca="false">輸入與假設!$C$142</f>
        <v>12.882</v>
      </c>
      <c r="D18" s="8" t="n">
        <f aca="false">輸入與假設!$D$142</f>
        <v>26.376</v>
      </c>
      <c r="E18" s="8" t="n">
        <f aca="false">輸入與假設!$E$142</f>
        <v>42.55</v>
      </c>
    </row>
    <row r="19" customFormat="false" ht="15" hidden="false" customHeight="false" outlineLevel="1" collapsed="false">
      <c r="A19" s="6" t="s">
        <v>19</v>
      </c>
      <c r="B19" s="10" t="s">
        <v>8</v>
      </c>
      <c r="C19" s="12" t="n">
        <f aca="false">C17/C18-1</f>
        <v>0.0142834963514982</v>
      </c>
      <c r="D19" s="12" t="n">
        <f aca="false">D17/D18-1</f>
        <v>-0.00942144373673048</v>
      </c>
      <c r="E19" s="12" t="n">
        <f aca="false">E17/E18-1</f>
        <v>-0.138204101057579</v>
      </c>
    </row>
    <row r="20" customFormat="false" ht="15" hidden="false" customHeight="false" outlineLevel="1" collapsed="false">
      <c r="A20" s="6" t="s">
        <v>20</v>
      </c>
      <c r="B20" s="10" t="s">
        <v>17</v>
      </c>
      <c r="C20" s="8" t="n">
        <f aca="false">輸入與假設!$C$131+損益與評價!C11</f>
        <v>7.63067</v>
      </c>
      <c r="D20" s="8" t="n">
        <f aca="false">損益與評價!D19</f>
        <v>15.8071375</v>
      </c>
      <c r="E20" s="8" t="n">
        <f aca="false">損益與評價!E19</f>
        <v>22.73503761</v>
      </c>
    </row>
    <row r="21" customFormat="false" ht="15" hidden="false" customHeight="false" outlineLevel="1" collapsed="false">
      <c r="A21" s="6" t="s">
        <v>21</v>
      </c>
      <c r="B21" s="10" t="s">
        <v>17</v>
      </c>
      <c r="C21" s="8" t="n">
        <f aca="false">輸入與假設!$C$143</f>
        <v>7.574</v>
      </c>
      <c r="D21" s="8" t="n">
        <f aca="false">輸入與假設!$D$143</f>
        <v>16.656</v>
      </c>
      <c r="E21" s="8" t="n">
        <f aca="false">輸入與假設!$E$143</f>
        <v>28.857</v>
      </c>
    </row>
    <row r="22" customFormat="false" ht="15" hidden="false" customHeight="false" outlineLevel="1" collapsed="false">
      <c r="A22" s="6" t="s">
        <v>22</v>
      </c>
      <c r="B22" s="10" t="s">
        <v>8</v>
      </c>
      <c r="C22" s="12" t="n">
        <f aca="false">C20/C21-1</f>
        <v>0.00748217586480049</v>
      </c>
      <c r="D22" s="12" t="n">
        <f aca="false">D20/D21-1</f>
        <v>-0.0509643671950049</v>
      </c>
      <c r="E22" s="12" t="n">
        <f aca="false">E20/E21-1</f>
        <v>-0.212148261773573</v>
      </c>
      <c r="I22" s="10"/>
    </row>
    <row r="23" customFormat="false" ht="15" hidden="false" customHeight="false" outlineLevel="1" collapsed="false">
      <c r="A23" s="6" t="s">
        <v>23</v>
      </c>
      <c r="B23" s="10" t="s">
        <v>17</v>
      </c>
      <c r="C23" s="8" t="n">
        <f aca="false">C20-C21</f>
        <v>0.0566699999999996</v>
      </c>
      <c r="D23" s="8" t="n">
        <f aca="false">D20-D21</f>
        <v>-0.848862500000001</v>
      </c>
      <c r="E23" s="8" t="n">
        <f aca="false">E20-E21</f>
        <v>-6.12196239</v>
      </c>
      <c r="I23" s="3"/>
    </row>
    <row r="24" customFormat="false" ht="15" hidden="false" customHeight="false" outlineLevel="1" collapsed="false">
      <c r="A24" s="6" t="s">
        <v>24</v>
      </c>
      <c r="B24" s="10" t="s">
        <v>8</v>
      </c>
      <c r="C24" s="12" t="n">
        <f aca="false">C20/C17</f>
        <v>0.584009643349151</v>
      </c>
      <c r="D24" s="12" t="n">
        <f aca="false">D20/D17</f>
        <v>0.605</v>
      </c>
      <c r="E24" s="12" t="n">
        <f aca="false">E20/E17</f>
        <v>0.62</v>
      </c>
    </row>
    <row r="25" customFormat="false" ht="15" hidden="false" customHeight="false" outlineLevel="1" collapsed="false">
      <c r="A25" s="6" t="s">
        <v>25</v>
      </c>
      <c r="B25" s="10" t="s">
        <v>8</v>
      </c>
      <c r="C25" s="12" t="n">
        <f aca="false">輸入與假設!$C$144</f>
        <v>0.588</v>
      </c>
      <c r="D25" s="12" t="n">
        <f aca="false">輸入與假設!$D$144</f>
        <v>0.632</v>
      </c>
      <c r="E25" s="12" t="n">
        <f aca="false">輸入與假設!$E$144</f>
        <v>0.678</v>
      </c>
    </row>
    <row r="26" customFormat="false" ht="15" hidden="false" customHeight="false" outlineLevel="1" collapsed="false">
      <c r="A26" s="6" t="s">
        <v>26</v>
      </c>
      <c r="B26" s="10" t="s">
        <v>27</v>
      </c>
      <c r="C26" s="12" t="n">
        <f aca="false">C24-C25</f>
        <v>-0.00399035665084946</v>
      </c>
      <c r="D26" s="12" t="n">
        <f aca="false">D24-D25</f>
        <v>-0.027</v>
      </c>
      <c r="E26" s="12" t="n">
        <f aca="false">E24-E25</f>
        <v>-0.0580000000000001</v>
      </c>
      <c r="I26" s="10"/>
    </row>
    <row r="27" customFormat="false" ht="15" hidden="false" customHeight="false" outlineLevel="1" collapsed="false">
      <c r="A27" s="6" t="s">
        <v>28</v>
      </c>
      <c r="B27" s="10" t="s">
        <v>17</v>
      </c>
      <c r="C27" s="8" t="n">
        <f aca="false">輸入與假設!$C$122+輸入與假設!C$63</f>
        <v>36.975</v>
      </c>
      <c r="D27" s="8" t="n">
        <f aca="false">輸入與假設!D$63</f>
        <v>38.335</v>
      </c>
      <c r="E27" s="8" t="n">
        <f aca="false">輸入與假設!E$63</f>
        <v>29.41</v>
      </c>
    </row>
    <row r="28" customFormat="false" ht="15" hidden="false" customHeight="false" outlineLevel="1" collapsed="false">
      <c r="A28" s="6" t="s">
        <v>29</v>
      </c>
      <c r="B28" s="10" t="s">
        <v>17</v>
      </c>
      <c r="C28" s="8" t="n">
        <f aca="false">輸入與假設!$C$145</f>
        <v>35.953</v>
      </c>
      <c r="D28" s="8" t="n">
        <f aca="false">輸入與假設!$D$145</f>
        <v>46.476</v>
      </c>
      <c r="E28" s="8" t="n">
        <f aca="false">輸入與假設!$E$145</f>
        <v>50.129</v>
      </c>
    </row>
    <row r="29" customFormat="false" ht="15" hidden="false" customHeight="false" outlineLevel="1" collapsed="false">
      <c r="A29" s="6" t="s">
        <v>30</v>
      </c>
      <c r="B29" s="10" t="s">
        <v>8</v>
      </c>
      <c r="C29" s="12" t="n">
        <f aca="false">C27/C28-1</f>
        <v>0.0284260006119099</v>
      </c>
      <c r="D29" s="12" t="n">
        <f aca="false">D27/D28-1</f>
        <v>-0.175165676908512</v>
      </c>
      <c r="E29" s="12" t="n">
        <f aca="false">E27/E28-1</f>
        <v>-0.413313650780985</v>
      </c>
      <c r="I29" s="3"/>
    </row>
    <row r="30" customFormat="false" ht="15" hidden="false" customHeight="false" outlineLevel="1" collapsed="false">
      <c r="A30" s="6" t="s">
        <v>31</v>
      </c>
      <c r="B30" s="10" t="s">
        <v>17</v>
      </c>
      <c r="C30" s="8" t="n">
        <f aca="false">收支與融資!C135</f>
        <v>45.3924958156778</v>
      </c>
      <c r="D30" s="8" t="n">
        <f aca="false">收支與融資!D135</f>
        <v>71.8853373202291</v>
      </c>
      <c r="E30" s="8" t="n">
        <f aca="false">收支與融資!E135</f>
        <v>84.3099096068628</v>
      </c>
    </row>
    <row r="31" customFormat="false" ht="15" hidden="false" customHeight="false" outlineLevel="1" collapsed="false">
      <c r="A31" s="6" t="s">
        <v>32</v>
      </c>
      <c r="B31" s="10" t="s">
        <v>17</v>
      </c>
      <c r="C31" s="8" t="n">
        <f aca="false">輸入與假設!$C$146</f>
        <v>46.442</v>
      </c>
      <c r="D31" s="8" t="n">
        <f aca="false">輸入與假設!$D$146</f>
        <v>74.707</v>
      </c>
      <c r="E31" s="8" t="n">
        <f aca="false">輸入與假設!$E$146</f>
        <v>96.039</v>
      </c>
    </row>
    <row r="32" customFormat="false" ht="15" hidden="false" customHeight="false" outlineLevel="1" collapsed="false">
      <c r="A32" s="6" t="s">
        <v>33</v>
      </c>
      <c r="B32" s="10" t="s">
        <v>8</v>
      </c>
      <c r="C32" s="12" t="n">
        <f aca="false">C30/C31-1</f>
        <v>-0.0225981694225537</v>
      </c>
      <c r="D32" s="12" t="n">
        <f aca="false">D30/D31-1</f>
        <v>-0.0377697227806088</v>
      </c>
      <c r="E32" s="12" t="n">
        <f aca="false">E30/E31-1</f>
        <v>-0.122128410261844</v>
      </c>
      <c r="I32" s="3"/>
    </row>
    <row r="33" customFormat="false" ht="15" hidden="false" customHeight="false" outlineLevel="1" collapsed="false">
      <c r="A33" s="6" t="s">
        <v>34</v>
      </c>
      <c r="B33" s="10" t="s">
        <v>17</v>
      </c>
      <c r="C33" s="8" t="n">
        <f aca="false">C30-C31</f>
        <v>-1.04950418432224</v>
      </c>
      <c r="D33" s="8" t="n">
        <f aca="false">D30-D31</f>
        <v>-2.82166267977094</v>
      </c>
      <c r="E33" s="8" t="n">
        <f aca="false">E30-E31</f>
        <v>-11.7290903931372</v>
      </c>
      <c r="I33" s="3"/>
    </row>
    <row r="34" customFormat="false" ht="15" hidden="false" customHeight="false" outlineLevel="1" collapsed="false">
      <c r="A34" s="6" t="s">
        <v>35</v>
      </c>
      <c r="C34" s="8" t="str">
        <f aca="false">MID(IF(ABS(C19)&gt;輸入與假設!$C$150,"、營收 "&amp;IF(C19&lt;0,"−","+")&amp;TEXT(ABS(C19)*100,"0.0")&amp;"%","")&amp;IF(ABS(C22)&gt;輸入與假設!$C$150,"、EBITDA "&amp;IF(C23&lt;0,"−","+")&amp;"$"&amp;TEXT(ABS(C23),"#,##0.00")&amp;"bn"&amp;"／"&amp;IF(C26&lt;0,"−","+")&amp;TEXT(ABS(C26)*100,"0.0")&amp;"pt","")&amp;IF(ABS(C29)&gt;輸入與假設!$C$150,"、CapEx "&amp;IF(C29&lt;0,"−","+")&amp;TEXT(ABS(C29)*100,"0.0")&amp;"%",""),2,999)</f>
        <v/>
      </c>
      <c r="D34" s="8" t="str">
        <f aca="false">MID(IF(ABS(D19)&gt;輸入與假設!$C$150,"、營收 "&amp;IF(D19&lt;0,"−","+")&amp;TEXT(ABS(D19)*100,"0.0")&amp;"%","")&amp;IF(ABS(D22)&gt;輸入與假設!$C$150,"、EBITDA "&amp;IF(D23&lt;0,"−","+")&amp;"$"&amp;TEXT(ABS(D23),"#,##0.00")&amp;"bn"&amp;"／"&amp;IF(D26&lt;0,"−","+")&amp;TEXT(ABS(D26)*100,"0.0")&amp;"pt","")&amp;IF(ABS(D29)&gt;輸入與假設!$C$150,"、CapEx "&amp;IF(D29&lt;0,"−","+")&amp;TEXT(ABS(D29)*100,"0.0")&amp;"%",""),2,999)</f>
        <v>EBITDA −$0.85bn／−2.7pt、CapEx −17.5%</v>
      </c>
      <c r="E34" s="8" t="str">
        <f aca="false">MID(IF(ABS(E19)&gt;輸入與假設!$C$150,"、營收 "&amp;IF(E19&lt;0,"−","+")&amp;TEXT(ABS(E19)*100,"0.0")&amp;"%","")&amp;IF(ABS(E22)&gt;輸入與假設!$C$150,"、EBITDA "&amp;IF(E23&lt;0,"−","+")&amp;"$"&amp;TEXT(ABS(E23),"#,##0.00")&amp;"bn"&amp;"／"&amp;IF(E26&lt;0,"−","+")&amp;TEXT(ABS(E26)*100,"0.0")&amp;"pt","")&amp;IF(ABS(E29)&gt;輸入與假設!$C$150,"、CapEx "&amp;IF(E29&lt;0,"−","+")&amp;TEXT(ABS(E29)*100,"0.0")&amp;"%",""),2,999)</f>
        <v>營收 −13.8%、EBITDA −$6.12bn／−5.8pt、CapEx −41.3%</v>
      </c>
      <c r="I34" s="3"/>
    </row>
    <row r="35" customFormat="false" ht="15" hidden="false" customHeight="false" outlineLevel="1" collapsed="false">
      <c r="A35" s="6" t="s">
        <v>36</v>
      </c>
      <c r="C35" s="7" t="n">
        <f aca="false">IF(C34&lt;&gt;"",1,IF(D34&lt;&gt;"",2,IF(E34&lt;&gt;"",3,0)))</f>
        <v>2</v>
      </c>
    </row>
    <row r="36" customFormat="false" ht="15" hidden="false" customHeight="false" outlineLevel="1" collapsed="false">
      <c r="A36" s="9" t="s">
        <v>37</v>
      </c>
      <c r="C36" s="8" t="str">
        <f aca="false">CHOOSE(C35+1,"FY26–FY28 營收、EBITDA、CapEx 與共識差距皆在 "&amp;IF(ROUND(ABS(輸入與假設!$C$150)*100,4)=INT(ROUND(ABS(輸入與假設!$C$150)*100,4)),TEXT(ROUND(ABS(輸入與假設!$C$150)*100,4),"0"),TEXT(ROUND(ABS(輸入與假設!$C$150)*100,4),"0.0"))&amp;"%"&amp;" 以內。","分歧始於 FY26（"&amp;C34&amp;"）"&amp;"；FY27 "&amp;IF(D34="","回到 "&amp;IF(ROUND(ABS(輸入與假設!$C$150)*100,4)=INT(ROUND(ABS(輸入與假設!$C$150)*100,4)),TEXT(ROUND(ABS(輸入與假設!$C$150)*100,4),"0"),TEXT(ROUND(ABS(輸入與假設!$C$150)*100,4),"0.0"))&amp;"%"&amp;" 以內",D34)&amp;"；FY28 "&amp;IF(E34="","回到 "&amp;IF(ROUND(ABS(輸入與假設!$C$150)*100,4)=INT(ROUND(ABS(輸入與假設!$C$150)*100,4)),TEXT(ROUND(ABS(輸入與假設!$C$150)*100,4),"0"),TEXT(ROUND(ABS(輸入與假設!$C$150)*100,4),"0.0"))&amp;"%"&amp;" 以內",E34)&amp;"。","FY26 營收、EBITDA、CapEx 與共識差距在 "&amp;IF(ROUND(ABS(輸入與假設!$C$150)*100,4)=INT(ROUND(ABS(輸入與假設!$C$150)*100,4)),TEXT(ROUND(ABS(輸入與假設!$C$150)*100,4),"0"),TEXT(ROUND(ABS(輸入與假設!$C$150)*100,4),"0.0"))&amp;"%"&amp;" 以內；分歧始於 FY27（"&amp;D34&amp;"）"&amp;"；FY28 "&amp;IF(E34="","回到 "&amp;IF(ROUND(ABS(輸入與假設!$C$150)*100,4)=INT(ROUND(ABS(輸入與假設!$C$150)*100,4)),TEXT(ROUND(ABS(輸入與假設!$C$150)*100,4),"0"),TEXT(ROUND(ABS(輸入與假設!$C$150)*100,4),"0.0"))&amp;"%"&amp;" 以內",E34)&amp;"。","FY26–FY27 營收、EBITDA、CapEx 與共識差距在 "&amp;IF(ROUND(ABS(輸入與假設!$C$150)*100,4)=INT(ROUND(ABS(輸入與假設!$C$150)*100,4)),TEXT(ROUND(ABS(輸入與假設!$C$150)*100,4),"0"),TEXT(ROUND(ABS(輸入與假設!$C$150)*100,4),"0.0"))&amp;"%"&amp;" 以內；分歧始於 FY28（"&amp;E34&amp;"）。")</f>
        <v>FY26 營收、EBITDA、CapEx 與共識差距在 5% 以內；分歧始於 FY27（EBITDA −$0.85bn／−2.7pt、CapEx −17.5%）；FY28 營收 −13.8%、EBITDA −$6.12bn／−5.8pt、CapEx −41.3%。</v>
      </c>
    </row>
    <row r="37" customFormat="false" ht="15" hidden="false" customHeight="false" outlineLevel="1" collapsed="false">
      <c r="A37" s="6" t="s">
        <v>38</v>
      </c>
      <c r="C37" s="8" t="str">
        <f aca="false">IF(ABS(C32)&gt;輸入與假設!$C$150,"觀點","")</f>
        <v/>
      </c>
      <c r="D37" s="8" t="str">
        <f aca="false">IF(ABS(C32)&gt;輸入與假設!$C$150,"淨負債隨 CapEx 與融資需求而定（模型 CapEx 差距 "&amp;IF((C29)&lt;0,"−","+")&amp;TEXT(ABS((C29))*100,"#,##0.0")&amp;"%"&amp;"）；共識淨負債不含租賃、口徑未揭露","")</f>
        <v/>
      </c>
      <c r="I37" s="10"/>
    </row>
    <row r="38" customFormat="false" ht="15" hidden="false" customHeight="false" outlineLevel="1" collapsed="false">
      <c r="A38" s="6" t="s">
        <v>39</v>
      </c>
      <c r="C38" s="8" t="str">
        <f aca="false">IF(ABS(D26)&gt;輸入與假設!$C$151,"觀點","")</f>
        <v>觀點</v>
      </c>
      <c r="D38" s="8" t="str">
        <f aca="false">IF(ABS(D26)&gt;輸入與假設!$C$151,"EBITDA 率 "&amp;IF((D24)&lt;0,"−","")&amp;TEXT(ABS((D24))*100,"#,##0.0")&amp;"%"&amp;" 對共識 "&amp;IF((D25)&lt;0,"−","")&amp;TEXT(ABS((D25))*100,"#,##0.0")&amp;"%"&amp;"：模型由 "&amp;IF((輸入與假設!$C$32)&lt;0,"−","")&amp;TEXT(ABS((輸入與假設!$C$32))*100,"#,##0")&amp;"%"&amp;" 線性爬升至 FY30 穩態 "&amp;IF((輸入與假設!$C$33)&lt;0,"−","")&amp;TEXT(ABS((輸入與假設!$C$33))*100,"#,##0")&amp;"%"&amp;"；營收差距 "&amp;IF((D19)&lt;0,"−","+")&amp;TEXT(ABS((D19))*100,"#,##0.0")&amp;"%","")</f>
        <v>EBITDA 率 60.5% 對共識 63.2%：模型由 59% 線性爬升至 FY30 穩態 65%；營收差距 −0.9%</v>
      </c>
    </row>
    <row r="39" customFormat="false" ht="15" hidden="false" customHeight="false" outlineLevel="1" collapsed="false">
      <c r="A39" s="6" t="s">
        <v>40</v>
      </c>
      <c r="C39" s="8" t="str">
        <f aca="false">IF(ABS(D29)&gt;輸入與假設!$C$150,"觀點","")</f>
        <v>觀點</v>
      </c>
      <c r="D39" s="8" t="str">
        <f aca="false">IF(ABS(D29)&gt;輸入與假設!$C$150,"CapEx 依新增 MW 計算：新增 "&amp;IF((輸入與假設!D$57)&lt;0,"−","")&amp;TEXT(ABS((輸入與假設!D$57)),"#,##0")&amp;" MW × 每 MW $"&amp;IF((輸入與假設!D$49)&lt;0,"−","")&amp;TEXT(ABS((輸入與假設!D$49)),"#,##0")&amp;"m（含次年預建）；共識口徑未揭露","")</f>
        <v>CapEx 依新增 MW 計算：新增 1,250 MW × 每 MW $34m（含次年預建）；共識口徑未揭露</v>
      </c>
    </row>
    <row r="40" customFormat="false" ht="15" hidden="false" customHeight="false" outlineLevel="1" collapsed="false">
      <c r="A40" s="6" t="s">
        <v>41</v>
      </c>
      <c r="C40" s="8" t="str">
        <f aca="false">IF(ABS(D32)&gt;輸入與假設!$C$150,"觀點","")</f>
        <v/>
      </c>
      <c r="D40" s="8" t="str">
        <f aca="false">IF(ABS(D32)&gt;輸入與假設!$C$150,"淨負債隨 CapEx 與融資需求而定（模型 CapEx 差距 "&amp;IF((D29)&lt;0,"−","+")&amp;TEXT(ABS((D29))*100,"#,##0.0")&amp;"%"&amp;"）；共識淨負債不含租賃、口徑未揭露","")</f>
        <v/>
      </c>
    </row>
    <row r="41" customFormat="false" ht="15" hidden="false" customHeight="false" outlineLevel="1" collapsed="false">
      <c r="A41" s="6" t="s">
        <v>42</v>
      </c>
      <c r="C41" s="8" t="str">
        <f aca="false">IF(ABS(E19)&gt;輸入與假設!$C$150,"觀點","")</f>
        <v>觀點</v>
      </c>
      <c r="D41" s="8" t="str">
        <f aca="false">IF(ABS(E19)&gt;輸入與假設!$C$150,"營收由模型 MW 路徑決定：FY28 年底 Accepted "&amp;IF((輸入與假設!E$23)&lt;0,"−","")&amp;TEXT(ABS((輸入與假設!E$23)),"#,##0")&amp;" MW（目前情境）；共識未揭露 MW 假設","")</f>
        <v>營收由模型 MW 路徑決定：FY28 年底 Accepted 4,000 MW（目前情境）；共識未揭露 MW 假設</v>
      </c>
    </row>
    <row r="42" customFormat="false" ht="15" hidden="false" customHeight="false" outlineLevel="1" collapsed="false">
      <c r="A42" s="6" t="s">
        <v>43</v>
      </c>
      <c r="C42" s="8" t="str">
        <f aca="false">IF(ABS(E26)&gt;輸入與假設!$C$151,"觀點","")</f>
        <v>觀點</v>
      </c>
      <c r="D42" s="8" t="str">
        <f aca="false">IF(ABS(E26)&gt;輸入與假設!$C$151,"營收差距 "&amp;IF((E19)&lt;0,"−","+")&amp;TEXT(ABS((E19))*100,"#,##0.0")&amp;"%"&amp;"，加上 EBITDA 率 "&amp;IF((E24)&lt;0,"−","")&amp;TEXT(ABS((E24))*100,"#,##0.0")&amp;"%"&amp;" 對共識 "&amp;IF((E25)&lt;0,"−","")&amp;TEXT(ABS((E25))*100,"#,##0.0")&amp;"%","")</f>
        <v>營收差距 −13.8%，加上 EBITDA 率 62.0% 對共識 67.8%</v>
      </c>
    </row>
    <row r="43" customFormat="false" ht="15" hidden="false" customHeight="false" outlineLevel="1" collapsed="false">
      <c r="A43" s="6" t="s">
        <v>44</v>
      </c>
      <c r="C43" s="8" t="str">
        <f aca="false">IF(ABS(E29)&gt;輸入與假設!$C$150,"觀點","")</f>
        <v>觀點</v>
      </c>
      <c r="D43" s="8" t="str">
        <f aca="false">IF(ABS(E29)&gt;輸入與假設!$C$150,"CapEx 依新增 MW 計算：新增 "&amp;IF((輸入與假設!E$57)&lt;0,"−","")&amp;TEXT(ABS((輸入與假設!E$57)),"#,##0")&amp;" MW × 每 MW $"&amp;IF((輸入與假設!E$49)&lt;0,"−","")&amp;TEXT(ABS((輸入與假設!E$49)),"#,##0")&amp;"m（含次年預建）；共識口徑未揭露","")</f>
        <v>CapEx 依新增 MW 計算：新增 900 MW × 每 MW $34m（含次年預建）；共識口徑未揭露</v>
      </c>
    </row>
    <row r="44" customFormat="false" ht="15" hidden="false" customHeight="false" outlineLevel="1" collapsed="false">
      <c r="A44" s="6" t="s">
        <v>45</v>
      </c>
      <c r="C44" s="8" t="str">
        <f aca="false">IF(ABS(E32)&gt;輸入與假設!$C$150,"觀點","")</f>
        <v>觀點</v>
      </c>
      <c r="D44" s="8" t="str">
        <f aca="false">IF(ABS(E32)&gt;輸入與假設!$C$150,"淨負債隨 CapEx 與融資需求而定（模型 CapEx 差距 "&amp;IF((E29)&lt;0,"−","+")&amp;TEXT(ABS((E29))*100,"#,##0.0")&amp;"%"&amp;"）；共識淨負債不含租賃、口徑未揭露","")</f>
        <v>淨負債隨 CapEx 與融資需求而定（模型 CapEx 差距 −41.3%）；共識淨負債不含租賃、口徑未揭露</v>
      </c>
    </row>
    <row r="45" customFormat="false" ht="15" hidden="false" customHeight="false" outlineLevel="1" collapsed="false">
      <c r="A45" s="6" t="s">
        <v>46</v>
      </c>
      <c r="C45" s="7" t="n">
        <f aca="false">SUMPRODUCT(--(ABS(C19:E19)&gt;輸入與假設!$C$150))+SUMPRODUCT(--(ABS(C26:E26)&gt;輸入與假設!$C$151))+SUMPRODUCT(--(ABS(C29:E29)&gt;輸入與假設!$C$150))+SUMPRODUCT(--(ABS(C32:E32)&gt;輸入與假設!$C$150))</f>
        <v>6</v>
      </c>
      <c r="I45" s="3"/>
    </row>
    <row r="46" customFormat="false" ht="15" hidden="false" customHeight="false" outlineLevel="1" collapsed="false">
      <c r="A46" s="6" t="s">
        <v>47</v>
      </c>
      <c r="C46" s="8" t="str">
        <f aca="false">IF(C45=0,"","需附原因的 "&amp;C45&amp;" 項差距："&amp;MID(IF((COUNTIF(C37,"觀點")+COUNTIF(C38,"觀點")+COUNTIF(C39,"觀點")+COUNTIF(C40,"觀點")+COUNTIF(C41,"觀點")+COUNTIF(C42,"觀點")+COUNTIF(C43,"觀點")+COUNTIF(C44,"觀點"))&gt;0,"、觀點 "&amp;(COUNTIF(C37,"觀點")+COUNTIF(C38,"觀點")+COUNTIF(C39,"觀點")+COUNTIF(C40,"觀點")+COUNTIF(C41,"觀點")+COUNTIF(C42,"觀點")+COUNTIF(C43,"觀點")+COUNTIF(C44,"觀點"))&amp;" 項","")&amp;IF((COUNTIF(C37,"拆法")+COUNTIF(C38,"拆法")+COUNTIF(C39,"拆法")+COUNTIF(C40,"拆法")+COUNTIF(C41,"拆法")+COUNTIF(C42,"拆法")+COUNTIF(C43,"拆法")+COUNTIF(C44,"拆法"))&gt;0,"、拆法 "&amp;(COUNTIF(C37,"拆法")+COUNTIF(C38,"拆法")+COUNTIF(C39,"拆法")+COUNTIF(C40,"拆法")+COUNTIF(C41,"拆法")+COUNTIF(C42,"拆法")+COUNTIF(C43,"拆法")+COUNTIF(C44,"拆法"))&amp;" 項","")&amp;IF((COUNTIF(C37,"已知限制")+COUNTIF(C38,"已知限制")+COUNTIF(C39,"已知限制")+COUNTIF(C40,"已知限制")+COUNTIF(C41,"已知限制")+COUNTIF(C42,"已知限制")+COUNTIF(C43,"已知限制")+COUNTIF(C44,"已知限制"))&gt;0,"、已知限制 "&amp;(COUNTIF(C37,"已知限制")+COUNTIF(C38,"已知限制")+COUNTIF(C39,"已知限制")+COUNTIF(C40,"已知限制")+COUNTIF(C41,"已知限制")+COUNTIF(C42,"已知限制")+COUNTIF(C43,"已知限制")+COUNTIF(C44,"已知限制"))&amp;" 項","")&amp;IF((C45-((COUNTIF(C37,"觀點")+COUNTIF(C38,"觀點")+COUNTIF(C39,"觀點")+COUNTIF(C40,"觀點")+COUNTIF(C41,"觀點")+COUNTIF(C42,"觀點")+COUNTIF(C43,"觀點")+COUNTIF(C44,"觀點"))+(COUNTIF(C37,"拆法")+COUNTIF(C38,"拆法")+COUNTIF(C39,"拆法")+COUNTIF(C40,"拆法")+COUNTIF(C41,"拆法")+COUNTIF(C42,"拆法")+COUNTIF(C43,"拆法")+COUNTIF(C44,"拆法"))+(COUNTIF(C37,"已知限制")+COUNTIF(C38,"已知限制")+COUNTIF(C39,"已知限制")+COUNTIF(C40,"已知限制")+COUNTIF(C41,"已知限制")+COUNTIF(C42,"已知限制")+COUNTIF(C43,"已知限制")+COUNTIF(C44,"已知限制"))))&gt;0,"、未歸類 "&amp;(C45-((COUNTIF(C37,"觀點")+COUNTIF(C38,"觀點")+COUNTIF(C39,"觀點")+COUNTIF(C40,"觀點")+COUNTIF(C41,"觀點")+COUNTIF(C42,"觀點")+COUNTIF(C43,"觀點")+COUNTIF(C44,"觀點"))+(COUNTIF(C37,"拆法")+COUNTIF(C38,"拆法")+COUNTIF(C39,"拆法")+COUNTIF(C40,"拆法")+COUNTIF(C41,"拆法")+COUNTIF(C42,"拆法")+COUNTIF(C43,"拆法")+COUNTIF(C44,"拆法"))+(COUNTIF(C37,"已知限制")+COUNTIF(C38,"已知限制")+COUNTIF(C39,"已知限制")+COUNTIF(C40,"已知限制")+COUNTIF(C41,"已知限制")+COUNTIF(C42,"已知限制")+COUNTIF(C43,"已知限制")+COUNTIF(C44,"已知限制"))))&amp;" 項",""),2,999)&amp;"；原因見「損益與評價 → 市場共識」。")</f>
        <v>需附原因的 6 項差距：觀點 6 項；原因見「損益與評價 → 市場共識」。</v>
      </c>
      <c r="I46" s="3"/>
    </row>
    <row r="47" customFormat="false" ht="15" hidden="false" customHeight="false" outlineLevel="0" collapsed="false">
      <c r="A47" s="4" t="s">
        <v>48</v>
      </c>
      <c r="B47" s="5"/>
      <c r="C47" s="5"/>
      <c r="D47" s="5"/>
      <c r="E47" s="5"/>
      <c r="F47" s="5"/>
      <c r="G47" s="5"/>
      <c r="H47" s="5"/>
    </row>
    <row r="48" customFormat="false" ht="15" hidden="false" customHeight="false" outlineLevel="1" collapsed="false">
      <c r="A48" s="6" t="s">
        <v>49</v>
      </c>
      <c r="B48" s="10" t="s">
        <v>50</v>
      </c>
      <c r="C48" s="13" t="n">
        <f aca="false">(輸入與假設!$C$138*輸入與假設!$C$89+輸入與假設!$E$146)/輸入與假設!$E$143</f>
        <v>6.19241327927366</v>
      </c>
      <c r="I48" s="3"/>
    </row>
    <row r="49" customFormat="false" ht="15" hidden="false" customHeight="false" outlineLevel="1" collapsed="false">
      <c r="A49" s="6" t="s">
        <v>51</v>
      </c>
      <c r="B49" s="10" t="s">
        <v>50</v>
      </c>
      <c r="C49" s="13" t="n">
        <f aca="false">(輸入與假設!$C$88*輸入與假設!$C$89+輸入與假設!$E$146)/輸入與假設!$E$143</f>
        <v>5.16149669057768</v>
      </c>
      <c r="I49" s="3"/>
    </row>
    <row r="50" customFormat="false" ht="15" hidden="false" customHeight="false" outlineLevel="1" collapsed="false">
      <c r="A50" s="6" t="s">
        <v>52</v>
      </c>
      <c r="B50" s="10" t="s">
        <v>50</v>
      </c>
      <c r="C50" s="13" t="n">
        <f aca="false">MAX(輸入與假設!$C$101,輸入與假設!$C$102)</f>
        <v>6</v>
      </c>
      <c r="I50" s="3"/>
    </row>
    <row r="51" customFormat="false" ht="15" hidden="false" customHeight="false" outlineLevel="1" collapsed="false">
      <c r="A51" s="9" t="s">
        <v>53</v>
      </c>
      <c r="C51" s="8" t="str">
        <f aca="false">"共識平均目標價 $"&amp;TEXT(輸入與假設!$C$138,"0.00")&amp;" 隱含 FY28 EV/EBITDA "&amp;TEXT(C48,"0.0")&amp;"x，"&amp;IF(ROUND(C48,1)&gt;C50,"高於",IF(ROUND(C48,1)&lt;C50,"低於","等於"))&amp;"模型方法區間上緣 "&amp;IF(C50=INT(C50),TEXT(C50,"0"),TEXT(C50,"0.0"))&amp;"x；現價 $"&amp;TEXT(輸入與假設!$C$88,"0.00")&amp;" 隱含 "&amp;TEXT(C49,"0.0")&amp;"x。"</f>
        <v>共識平均目標價 $140.81 隱含 FY28 EV/EBITDA 6.2x，高於模型方法區間上緣 6x；現價 $90.13 隱含 5.2x。</v>
      </c>
    </row>
    <row r="52" customFormat="false" ht="15" hidden="false" customHeight="false" outlineLevel="1" collapsed="false">
      <c r="A52" s="6" t="s">
        <v>54</v>
      </c>
      <c r="C52" s="14" t="n">
        <f aca="false">損益與評價!B129</f>
        <v>10.5</v>
      </c>
      <c r="D52" s="14" t="n">
        <f aca="false">損益與評價!C129</f>
        <v>14.0989</v>
      </c>
      <c r="E52" s="12" t="n">
        <f aca="false">損益與評價!D129</f>
        <v>0.3428</v>
      </c>
      <c r="I52" s="3"/>
    </row>
    <row r="53" customFormat="false" ht="15" hidden="false" customHeight="false" outlineLevel="1" collapsed="false">
      <c r="A53" s="6" t="s">
        <v>55</v>
      </c>
      <c r="C53" s="14" t="n">
        <f aca="false">損益與評價!B130</f>
        <v>34</v>
      </c>
      <c r="D53" s="14" t="n">
        <f aca="false">損益與評價!C130</f>
        <v>20.2994</v>
      </c>
      <c r="E53" s="12" t="n">
        <f aca="false">損益與評價!D130</f>
        <v>-0.403</v>
      </c>
    </row>
    <row r="54" customFormat="false" ht="15" hidden="false" customHeight="false" outlineLevel="1" collapsed="false">
      <c r="A54" s="6" t="s">
        <v>56</v>
      </c>
      <c r="C54" s="12" t="n">
        <f aca="false">損益與評價!B131</f>
        <v>0.65</v>
      </c>
      <c r="D54" s="12" t="n">
        <f aca="false">損益與評價!C131</f>
        <v>0.8566</v>
      </c>
      <c r="E54" s="12" t="n">
        <f aca="false">損益與評價!D131</f>
        <v>0.2066</v>
      </c>
    </row>
    <row r="55" customFormat="false" ht="15" hidden="false" customHeight="false" outlineLevel="1" collapsed="false">
      <c r="A55" s="6" t="s">
        <v>57</v>
      </c>
      <c r="C55" s="14" t="n">
        <f aca="false">損益與評價!B132</f>
        <v>10.5</v>
      </c>
      <c r="D55" s="14" t="n">
        <f aca="false">損益與評價!C132</f>
        <v>12.3908</v>
      </c>
      <c r="E55" s="12" t="n">
        <f aca="false">損益與評價!D132</f>
        <v>0.1801</v>
      </c>
    </row>
    <row r="56" customFormat="false" ht="15" hidden="false" customHeight="false" outlineLevel="0" collapsed="false">
      <c r="A56" s="4" t="s">
        <v>58</v>
      </c>
      <c r="B56" s="5"/>
      <c r="C56" s="5"/>
      <c r="D56" s="5"/>
      <c r="E56" s="5"/>
      <c r="F56" s="5"/>
      <c r="G56" s="5"/>
      <c r="H56" s="5"/>
    </row>
    <row r="57" customFormat="false" ht="15" hidden="false" customHeight="false" outlineLevel="1" collapsed="false">
      <c r="A57" s="6" t="s">
        <v>59</v>
      </c>
      <c r="C57" s="8" t="str">
        <f aca="false">季度追蹤!C11</f>
        <v>Q3'26</v>
      </c>
      <c r="I57" s="3"/>
    </row>
    <row r="58" customFormat="false" ht="15" hidden="false" customHeight="false" outlineLevel="1" collapsed="false">
      <c r="A58" s="6" t="s">
        <v>60</v>
      </c>
      <c r="B58" s="10" t="s">
        <v>17</v>
      </c>
      <c r="C58" s="8" t="n">
        <f aca="false">季度追蹤!C5</f>
        <v>3.66266666666667</v>
      </c>
      <c r="D58" s="8" t="n">
        <f aca="false">季度追蹤!D5</f>
        <v>3.541</v>
      </c>
      <c r="E58" s="8" t="n">
        <f aca="false">季度追蹤!F5</f>
        <v>3.45</v>
      </c>
      <c r="F58" s="8" t="n">
        <f aca="false">季度追蹤!G5</f>
        <v>3.6</v>
      </c>
      <c r="G58" s="8" t="str">
        <f aca="false">季度追蹤!I5</f>
        <v>待公布</v>
      </c>
      <c r="I58" s="3"/>
    </row>
    <row r="59" customFormat="false" ht="15" hidden="false" customHeight="false" outlineLevel="1" collapsed="false">
      <c r="A59" s="9" t="s">
        <v>61</v>
      </c>
      <c r="C59" s="8" t="str">
        <f aca="false">INDEX(季度追蹤!$C$137:$H$137,輸入與假設!$C$154)</f>
        <v>營收：模型 $3.66bn｜共識 $3.54bn（+3.4%）｜指引 $3.45–3.60bn（中點 +3.9%，高於上緣）〔觀點〕</v>
      </c>
    </row>
    <row r="60" customFormat="false" ht="15" hidden="false" customHeight="false" outlineLevel="1" collapsed="false">
      <c r="A60" s="6" t="s">
        <v>62</v>
      </c>
      <c r="B60" s="10" t="s">
        <v>17</v>
      </c>
      <c r="C60" s="8" t="n">
        <f aca="false">季度追蹤!C8</f>
        <v>-0.0134137432629213</v>
      </c>
      <c r="D60" s="8" t="str">
        <f aca="false">季度追蹤!D8</f>
        <v>不適用</v>
      </c>
      <c r="E60" s="8" t="n">
        <f aca="false">季度追蹤!F8</f>
        <v>0.2</v>
      </c>
      <c r="F60" s="8" t="n">
        <f aca="false">季度追蹤!G8</f>
        <v>0.26</v>
      </c>
      <c r="G60" s="8" t="str">
        <f aca="false">季度追蹤!I8</f>
        <v>待公布</v>
      </c>
      <c r="I60" s="3"/>
    </row>
    <row r="61" customFormat="false" ht="15" hidden="false" customHeight="false" outlineLevel="1" collapsed="false">
      <c r="A61" s="9" t="s">
        <v>63</v>
      </c>
      <c r="C61" s="8" t="str">
        <f aca="false">INDEX(季度追蹤!$C$140:$H$140,輸入與假設!$C$154)</f>
        <v>調整後營業利益：模型 −$0.01bn｜指引 $0.20–0.26bn（中點 −$0.24bn／−6.9pt，低於下緣）〔已知限制〕</v>
      </c>
    </row>
    <row r="62" customFormat="false" ht="15" hidden="false" customHeight="false" outlineLevel="1" collapsed="false">
      <c r="A62" s="6" t="s">
        <v>64</v>
      </c>
      <c r="B62" s="10" t="s">
        <v>17</v>
      </c>
      <c r="C62" s="8" t="n">
        <f aca="false">季度追蹤!C9</f>
        <v>12.5</v>
      </c>
      <c r="D62" s="8" t="str">
        <f aca="false">季度追蹤!D9</f>
        <v>不適用</v>
      </c>
      <c r="E62" s="8" t="n">
        <f aca="false">季度追蹤!F9</f>
        <v>11.5</v>
      </c>
      <c r="F62" s="8" t="n">
        <f aca="false">季度追蹤!G9</f>
        <v>13.5</v>
      </c>
      <c r="G62" s="8" t="str">
        <f aca="false">季度追蹤!I9</f>
        <v>待公布</v>
      </c>
      <c r="I62" s="3"/>
    </row>
    <row r="63" customFormat="false" ht="15" hidden="false" customHeight="false" outlineLevel="1" collapsed="false">
      <c r="A63" s="9" t="s">
        <v>65</v>
      </c>
      <c r="C63" s="8" t="str">
        <f aca="false">INDEX(季度追蹤!$C$141:$H$141,輸入與假設!$C$154)</f>
        <v>CapEx（毛額）：模型 $12.50bn｜指引 $11.50–13.50bn（中點 +0.0%，區間上半部）</v>
      </c>
    </row>
    <row r="64" customFormat="false" ht="15" hidden="false" customHeight="false" outlineLevel="1" collapsed="false">
      <c r="A64" s="6" t="s">
        <v>66</v>
      </c>
      <c r="B64" s="10" t="s">
        <v>5</v>
      </c>
      <c r="C64" s="11" t="n">
        <f aca="false">輸入與假設!$C$138</f>
        <v>140.81</v>
      </c>
      <c r="D64" s="11" t="n">
        <f aca="false">輸入與假設!$C$139</f>
        <v>140</v>
      </c>
      <c r="E64" s="11" t="n">
        <f aca="false">輸入與假設!$C$140</f>
        <v>39</v>
      </c>
      <c r="F64" s="11" t="n">
        <f aca="false">輸入與假設!$C$141</f>
        <v>317</v>
      </c>
      <c r="I64" s="10"/>
    </row>
    <row r="66" customFormat="false" ht="17.35" hidden="false" customHeight="false" outlineLevel="0" collapsed="false">
      <c r="A66" s="2" t="s">
        <v>67</v>
      </c>
    </row>
    <row r="67" customFormat="false" ht="15" hidden="false" customHeight="false" outlineLevel="0" collapsed="false">
      <c r="A67" s="9" t="s">
        <v>68</v>
      </c>
    </row>
    <row r="68" customFormat="false" ht="15" hidden="false" customHeight="false" outlineLevel="0" collapsed="false">
      <c r="A68" s="15" t="s">
        <v>69</v>
      </c>
      <c r="B68" s="15" t="s">
        <v>70</v>
      </c>
      <c r="C68" s="15" t="s">
        <v>71</v>
      </c>
      <c r="D68" s="15" t="s">
        <v>72</v>
      </c>
      <c r="E68" s="15" t="s">
        <v>73</v>
      </c>
    </row>
    <row r="69" customFormat="false" ht="15" hidden="false" customHeight="false" outlineLevel="0" collapsed="false">
      <c r="A69" s="16" t="s">
        <v>74</v>
      </c>
      <c r="B69" s="12" t="n">
        <f aca="false">SUM(輸入與假設!C22:G22)</f>
        <v>0.84</v>
      </c>
      <c r="C69" s="17" t="n">
        <f aca="false">輸入與假設!$C$16</f>
        <v>0.84</v>
      </c>
      <c r="D69" s="9" t="str">
        <f aca="false">IF(ABS(B69-C69)&lt;0.0001,"通過","不一致")</f>
        <v>通過</v>
      </c>
      <c r="E69" s="10" t="s">
        <v>75</v>
      </c>
    </row>
    <row r="70" customFormat="false" ht="15" hidden="false" customHeight="false" outlineLevel="0" collapsed="false">
      <c r="A70" s="6" t="s">
        <v>76</v>
      </c>
      <c r="B70" s="8" t="n">
        <f aca="false">收支與融資!C81</f>
        <v>-2.57571741713036E-014</v>
      </c>
      <c r="C70" s="3" t="n">
        <f aca="false">0</f>
        <v>0</v>
      </c>
      <c r="D70" s="9" t="str">
        <f aca="false">IF(ABS(B70)&lt;0.01,"通過","不一致")</f>
        <v>通過</v>
      </c>
      <c r="E70" s="3" t="s">
        <v>77</v>
      </c>
    </row>
    <row r="71" customFormat="false" ht="15" hidden="false" customHeight="false" outlineLevel="0" collapsed="false">
      <c r="A71" s="16" t="s">
        <v>78</v>
      </c>
      <c r="B71" s="18" t="n">
        <f aca="false">SUM(產能與收入!E18:G18)/SUM(產能與收入!E19:G19)</f>
        <v>0.40729557097096</v>
      </c>
      <c r="C71" s="10" t="s">
        <v>79</v>
      </c>
      <c r="D71" s="9" t="str">
        <f aca="false">IF(B71&lt;0.5,"通過","觀察")</f>
        <v>通過</v>
      </c>
      <c r="E71" s="10" t="s">
        <v>80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1" width="44"/>
    <col collapsed="false" customWidth="true" hidden="false" outlineLevel="0" max="6" min="2" style="1" width="12"/>
    <col collapsed="false" customWidth="true" hidden="false" outlineLevel="0" max="7" min="7" style="1" width="16"/>
    <col collapsed="false" customWidth="true" hidden="false" outlineLevel="0" max="9" min="9" style="1" width="92"/>
    <col collapsed="false" customWidth="true" hidden="false" outlineLevel="0" max="10" min="10" style="1" width="60"/>
  </cols>
  <sheetData>
    <row r="1" customFormat="false" ht="17.35" hidden="false" customHeight="false" outlineLevel="0" collapsed="false">
      <c r="A1" s="2" t="s">
        <v>81</v>
      </c>
    </row>
    <row r="2" customFormat="false" ht="15" hidden="false" customHeight="false" outlineLevel="0" collapsed="false">
      <c r="A2" s="10" t="s">
        <v>82</v>
      </c>
    </row>
    <row r="4" customFormat="false" ht="15" hidden="false" customHeight="false" outlineLevel="0" collapsed="false">
      <c r="A4" s="4" t="s">
        <v>83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1" collapsed="false">
      <c r="A5" s="9" t="s">
        <v>84</v>
      </c>
      <c r="C5" s="19" t="n">
        <v>2</v>
      </c>
      <c r="D5" s="9" t="str">
        <f aca="false">CHOOSE(C5,"保守 4.2 GW","基準 5.6 GW","積極 8 GW")</f>
        <v>基準 5.6 GW</v>
      </c>
      <c r="I5" s="3"/>
    </row>
    <row r="6" customFormat="false" ht="15" hidden="false" customHeight="false" outlineLevel="2" collapsed="false">
      <c r="A6" s="6" t="s">
        <v>85</v>
      </c>
      <c r="B6" s="10" t="s">
        <v>86</v>
      </c>
      <c r="C6" s="20" t="n">
        <v>1850</v>
      </c>
      <c r="D6" s="20" t="n">
        <v>3100</v>
      </c>
      <c r="E6" s="20" t="n">
        <v>3800</v>
      </c>
      <c r="F6" s="20" t="n">
        <v>4200</v>
      </c>
      <c r="G6" s="20" t="n">
        <v>4200</v>
      </c>
      <c r="I6" s="20" t="n">
        <v>0</v>
      </c>
      <c r="J6" s="3"/>
    </row>
    <row r="7" customFormat="false" ht="15" hidden="false" customHeight="false" outlineLevel="2" collapsed="false">
      <c r="A7" s="6" t="s">
        <v>87</v>
      </c>
      <c r="B7" s="10" t="s">
        <v>86</v>
      </c>
      <c r="C7" s="20" t="n">
        <v>1850</v>
      </c>
      <c r="D7" s="20" t="n">
        <v>3100</v>
      </c>
      <c r="E7" s="20" t="n">
        <v>4000</v>
      </c>
      <c r="F7" s="20" t="n">
        <v>4800</v>
      </c>
      <c r="G7" s="20" t="n">
        <v>5600</v>
      </c>
      <c r="I7" s="20" t="n">
        <v>500</v>
      </c>
      <c r="J7" s="10"/>
    </row>
    <row r="8" customFormat="false" ht="15" hidden="false" customHeight="false" outlineLevel="2" collapsed="false">
      <c r="A8" s="6" t="s">
        <v>88</v>
      </c>
      <c r="B8" s="10" t="s">
        <v>86</v>
      </c>
      <c r="C8" s="20" t="n">
        <v>1850</v>
      </c>
      <c r="D8" s="20" t="n">
        <v>3100</v>
      </c>
      <c r="E8" s="20" t="n">
        <v>4600</v>
      </c>
      <c r="F8" s="20" t="n">
        <v>6300</v>
      </c>
      <c r="G8" s="20" t="n">
        <v>8000</v>
      </c>
      <c r="I8" s="20" t="n">
        <v>1000</v>
      </c>
      <c r="J8" s="3"/>
    </row>
    <row r="9" customFormat="false" ht="15" hidden="false" customHeight="false" outlineLevel="2" collapsed="false">
      <c r="A9" s="16" t="s">
        <v>89</v>
      </c>
      <c r="B9" s="10" t="s">
        <v>8</v>
      </c>
      <c r="C9" s="21" t="n">
        <v>0.918918918918919</v>
      </c>
      <c r="D9" s="21" t="n">
        <v>0.935483870967742</v>
      </c>
      <c r="E9" s="21" t="n">
        <v>0.934782608695652</v>
      </c>
      <c r="F9" s="21" t="n">
        <v>0.936507936507937</v>
      </c>
      <c r="G9" s="21" t="n">
        <v>0.9375</v>
      </c>
      <c r="I9" s="3"/>
    </row>
    <row r="10" customFormat="false" ht="15" hidden="false" customHeight="false" outlineLevel="2" collapsed="false">
      <c r="A10" s="6" t="s">
        <v>90</v>
      </c>
      <c r="B10" s="10" t="s">
        <v>17</v>
      </c>
      <c r="C10" s="22" t="n">
        <v>0.3</v>
      </c>
      <c r="D10" s="22" t="n">
        <v>1.6</v>
      </c>
      <c r="E10" s="22" t="n">
        <v>3</v>
      </c>
      <c r="F10" s="22" t="n">
        <v>4</v>
      </c>
      <c r="G10" s="22" t="n">
        <v>4.6</v>
      </c>
      <c r="I10" s="3"/>
    </row>
    <row r="11" customFormat="false" ht="15" hidden="false" customHeight="false" outlineLevel="2" collapsed="false">
      <c r="A11" s="6" t="s">
        <v>91</v>
      </c>
      <c r="B11" s="10" t="s">
        <v>86</v>
      </c>
      <c r="C11" s="20" t="n">
        <v>1500</v>
      </c>
      <c r="I11" s="10"/>
    </row>
    <row r="12" customFormat="false" ht="15" hidden="false" customHeight="false" outlineLevel="0" collapsed="false">
      <c r="A12" s="4" t="s">
        <v>92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1" collapsed="false">
      <c r="A13" s="16" t="s">
        <v>93</v>
      </c>
      <c r="B13" s="10" t="s">
        <v>17</v>
      </c>
      <c r="C13" s="23" t="n">
        <v>103.7</v>
      </c>
      <c r="I13" s="10"/>
    </row>
    <row r="14" customFormat="false" ht="15" hidden="false" customHeight="false" outlineLevel="1" collapsed="false">
      <c r="A14" s="16" t="s">
        <v>94</v>
      </c>
      <c r="B14" s="10" t="s">
        <v>17</v>
      </c>
      <c r="C14" s="22" t="n">
        <v>25</v>
      </c>
      <c r="I14" s="3"/>
    </row>
    <row r="15" customFormat="false" ht="15" hidden="false" customHeight="false" outlineLevel="1" collapsed="false">
      <c r="A15" s="6" t="s">
        <v>95</v>
      </c>
      <c r="B15" s="10" t="s">
        <v>8</v>
      </c>
      <c r="C15" s="24" t="n">
        <v>0.84</v>
      </c>
      <c r="I15" s="10"/>
    </row>
    <row r="16" customFormat="false" ht="15" hidden="false" customHeight="false" outlineLevel="1" collapsed="false">
      <c r="A16" s="16" t="s">
        <v>74</v>
      </c>
      <c r="B16" s="10" t="s">
        <v>8</v>
      </c>
      <c r="C16" s="21" t="n">
        <v>0.84</v>
      </c>
      <c r="I16" s="3"/>
    </row>
    <row r="17" customFormat="false" ht="15" hidden="false" customHeight="false" outlineLevel="1" collapsed="false">
      <c r="A17" s="16" t="s">
        <v>96</v>
      </c>
      <c r="B17" s="10" t="s">
        <v>86</v>
      </c>
      <c r="C17" s="20" t="n">
        <v>850</v>
      </c>
      <c r="I17" s="10"/>
    </row>
    <row r="18" customFormat="false" ht="15" hidden="false" customHeight="false" outlineLevel="1" collapsed="false">
      <c r="A18" s="16" t="s">
        <v>97</v>
      </c>
      <c r="B18" s="10" t="s">
        <v>86</v>
      </c>
      <c r="C18" s="20" t="n">
        <v>1350</v>
      </c>
      <c r="I18" s="3"/>
    </row>
    <row r="19" customFormat="false" ht="15" hidden="false" customHeight="false" outlineLevel="1" collapsed="false">
      <c r="A19" s="6" t="s">
        <v>98</v>
      </c>
      <c r="B19" s="3"/>
      <c r="C19" s="20" t="n">
        <v>1</v>
      </c>
      <c r="I19" s="10"/>
    </row>
    <row r="20" customFormat="false" ht="15" hidden="false" customHeight="false" outlineLevel="1" collapsed="false">
      <c r="A20" s="6" t="s">
        <v>99</v>
      </c>
      <c r="B20" s="10" t="s">
        <v>8</v>
      </c>
      <c r="C20" s="21" t="n">
        <v>1</v>
      </c>
      <c r="I20" s="3"/>
    </row>
    <row r="21" customFormat="false" ht="15" hidden="false" customHeight="false" outlineLevel="1" collapsed="false">
      <c r="A21" s="6" t="s">
        <v>100</v>
      </c>
      <c r="B21" s="3"/>
      <c r="C21" s="22" t="n">
        <v>0.5</v>
      </c>
      <c r="D21" s="22" t="n">
        <v>1</v>
      </c>
      <c r="E21" s="22" t="n">
        <v>1</v>
      </c>
      <c r="F21" s="22" t="n">
        <v>1</v>
      </c>
      <c r="G21" s="22" t="n">
        <v>1</v>
      </c>
      <c r="I21" s="3"/>
    </row>
    <row r="22" customFormat="false" ht="15" hidden="false" customHeight="false" outlineLevel="1" collapsed="false">
      <c r="A22" s="16" t="s">
        <v>101</v>
      </c>
      <c r="B22" s="10" t="s">
        <v>8</v>
      </c>
      <c r="C22" s="21" t="n">
        <v>0.1025</v>
      </c>
      <c r="D22" s="21" t="n">
        <v>0.205</v>
      </c>
      <c r="E22" s="21" t="n">
        <v>0.2</v>
      </c>
      <c r="F22" s="21" t="n">
        <v>0.195</v>
      </c>
      <c r="G22" s="21" t="n">
        <v>0.1375</v>
      </c>
      <c r="H22" s="18" t="n">
        <f aca="false">SUM(C22:G22)</f>
        <v>0.84</v>
      </c>
      <c r="I22" s="10"/>
    </row>
    <row r="23" customFormat="false" ht="15" hidden="false" customHeight="false" outlineLevel="1" collapsed="false">
      <c r="A23" s="16" t="s">
        <v>102</v>
      </c>
      <c r="B23" s="10" t="s">
        <v>86</v>
      </c>
      <c r="C23" s="25" t="n">
        <f aca="false">CHOOSE(輸入與假設!$C$5,C6,C7,C8)</f>
        <v>1850</v>
      </c>
      <c r="D23" s="25" t="n">
        <f aca="false">CHOOSE(輸入與假設!$C$5,D6,D7,D8)</f>
        <v>3100</v>
      </c>
      <c r="E23" s="25" t="n">
        <f aca="false">CHOOSE(輸入與假設!$C$5,E6,E7,E8)</f>
        <v>4000</v>
      </c>
      <c r="F23" s="25" t="n">
        <f aca="false">CHOOSE(輸入與假設!$C$5,F6,F7,F8)</f>
        <v>4800</v>
      </c>
      <c r="G23" s="25" t="n">
        <f aca="false">CHOOSE(輸入與假設!$C$5,G6,G7,G8)</f>
        <v>5600</v>
      </c>
      <c r="I23" s="3"/>
    </row>
    <row r="24" customFormat="false" ht="15" hidden="false" customHeight="false" outlineLevel="1" collapsed="false">
      <c r="A24" s="16" t="s">
        <v>103</v>
      </c>
      <c r="B24" s="10" t="s">
        <v>86</v>
      </c>
      <c r="C24" s="25" t="n">
        <f aca="false">ROUND(C23*C9,0)</f>
        <v>1700</v>
      </c>
      <c r="D24" s="25" t="n">
        <f aca="false">ROUND(D23*D9,0)</f>
        <v>2900</v>
      </c>
      <c r="E24" s="25" t="n">
        <f aca="false">ROUND(E23*E9,0)</f>
        <v>3739</v>
      </c>
      <c r="F24" s="25" t="n">
        <f aca="false">ROUND(F23*F9,0)</f>
        <v>4495</v>
      </c>
      <c r="G24" s="25" t="n">
        <f aca="false">ROUND(G23*G9,0)</f>
        <v>5250</v>
      </c>
      <c r="I24" s="3"/>
    </row>
    <row r="25" customFormat="false" ht="15" hidden="false" customHeight="false" outlineLevel="1" collapsed="false">
      <c r="A25" s="6" t="s">
        <v>104</v>
      </c>
      <c r="B25" s="10" t="s">
        <v>8</v>
      </c>
      <c r="C25" s="21" t="n">
        <v>0.95</v>
      </c>
      <c r="D25" s="21" t="n">
        <v>0.95</v>
      </c>
      <c r="E25" s="21" t="n">
        <v>0.94</v>
      </c>
      <c r="F25" s="21" t="n">
        <v>0.93</v>
      </c>
      <c r="G25" s="21" t="n">
        <v>0.92</v>
      </c>
      <c r="I25" s="3"/>
    </row>
    <row r="26" customFormat="false" ht="15" hidden="false" customHeight="false" outlineLevel="1" collapsed="false">
      <c r="A26" s="6" t="s">
        <v>105</v>
      </c>
      <c r="B26" s="10" t="s">
        <v>106</v>
      </c>
      <c r="C26" s="26" t="n">
        <v>0.0112</v>
      </c>
      <c r="D26" s="26" t="n">
        <v>0.0115</v>
      </c>
      <c r="E26" s="26" t="n">
        <v>0.0115</v>
      </c>
      <c r="F26" s="26" t="n">
        <v>0.011</v>
      </c>
      <c r="G26" s="26" t="n">
        <v>0.0105</v>
      </c>
      <c r="I26" s="3"/>
    </row>
    <row r="27" customFormat="false" ht="15" hidden="false" customHeight="false" outlineLevel="1" collapsed="false">
      <c r="A27" s="6" t="s">
        <v>107</v>
      </c>
      <c r="B27" s="10" t="s">
        <v>8</v>
      </c>
      <c r="C27" s="21" t="n">
        <v>1</v>
      </c>
      <c r="D27" s="21" t="n">
        <v>1</v>
      </c>
      <c r="E27" s="21" t="n">
        <v>0.9</v>
      </c>
      <c r="F27" s="21" t="n">
        <v>0.85</v>
      </c>
      <c r="G27" s="21" t="n">
        <v>0.8</v>
      </c>
      <c r="I27" s="3"/>
    </row>
    <row r="28" customFormat="false" ht="15" hidden="false" customHeight="false" outlineLevel="1" collapsed="false">
      <c r="A28" s="6" t="s">
        <v>108</v>
      </c>
      <c r="B28" s="10" t="s">
        <v>8</v>
      </c>
      <c r="C28" s="21" t="n">
        <v>0.005</v>
      </c>
      <c r="D28" s="21" t="n">
        <v>0.01</v>
      </c>
      <c r="E28" s="21" t="n">
        <v>0.015</v>
      </c>
      <c r="F28" s="21" t="n">
        <v>0.02</v>
      </c>
      <c r="G28" s="21" t="n">
        <v>0.025</v>
      </c>
      <c r="I28" s="3"/>
    </row>
    <row r="29" customFormat="false" ht="15" hidden="false" customHeight="false" outlineLevel="1" collapsed="false">
      <c r="A29" s="6" t="s">
        <v>109</v>
      </c>
      <c r="B29" s="10" t="s">
        <v>8</v>
      </c>
      <c r="C29" s="21" t="n">
        <v>0.5</v>
      </c>
      <c r="D29" s="21" t="n">
        <v>0.5</v>
      </c>
      <c r="E29" s="21" t="n">
        <v>0.5</v>
      </c>
      <c r="F29" s="21" t="n">
        <v>0.5</v>
      </c>
      <c r="G29" s="21" t="n">
        <v>0.5</v>
      </c>
      <c r="I29" s="10"/>
    </row>
    <row r="30" customFormat="false" ht="15" hidden="false" customHeight="false" outlineLevel="1" collapsed="false">
      <c r="A30" s="6" t="s">
        <v>110</v>
      </c>
      <c r="B30" s="10" t="s">
        <v>17</v>
      </c>
      <c r="C30" s="22" t="n">
        <v>0.3</v>
      </c>
      <c r="D30" s="22" t="n">
        <v>1</v>
      </c>
      <c r="E30" s="22" t="n">
        <v>1.8</v>
      </c>
      <c r="F30" s="22" t="n">
        <v>2.8</v>
      </c>
      <c r="G30" s="22" t="n">
        <v>3.8</v>
      </c>
      <c r="I30" s="3"/>
    </row>
    <row r="31" customFormat="false" ht="15" hidden="false" customHeight="false" outlineLevel="0" collapsed="false">
      <c r="A31" s="4" t="s">
        <v>111</v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1" collapsed="false">
      <c r="A32" s="6" t="s">
        <v>112</v>
      </c>
      <c r="B32" s="10" t="s">
        <v>8</v>
      </c>
      <c r="C32" s="24" t="n">
        <v>0.59</v>
      </c>
      <c r="I32" s="10"/>
    </row>
    <row r="33" customFormat="false" ht="15" hidden="false" customHeight="false" outlineLevel="1" collapsed="false">
      <c r="A33" s="6" t="s">
        <v>113</v>
      </c>
      <c r="B33" s="10" t="s">
        <v>8</v>
      </c>
      <c r="C33" s="24" t="n">
        <v>0.65</v>
      </c>
      <c r="I33" s="3"/>
    </row>
    <row r="34" customFormat="false" ht="15" hidden="false" customHeight="false" outlineLevel="1" collapsed="false">
      <c r="A34" s="16" t="s">
        <v>114</v>
      </c>
      <c r="B34" s="10" t="s">
        <v>8</v>
      </c>
      <c r="C34" s="27" t="n">
        <f aca="false">輸入與假設!$C$32+(輸入與假設!$C$33-輸入與假設!$C$32)*0/4</f>
        <v>0.59</v>
      </c>
      <c r="D34" s="27" t="n">
        <f aca="false">輸入與假設!$C$32+(輸入與假設!$C$33-輸入與假設!$C$32)*1/4</f>
        <v>0.605</v>
      </c>
      <c r="E34" s="27" t="n">
        <f aca="false">輸入與假設!$C$32+(輸入與假設!$C$33-輸入與假設!$C$32)*2/4</f>
        <v>0.62</v>
      </c>
      <c r="F34" s="27" t="n">
        <f aca="false">輸入與假設!$C$32+(輸入與假設!$C$33-輸入與假設!$C$32)*3/4</f>
        <v>0.635</v>
      </c>
      <c r="G34" s="27" t="n">
        <f aca="false">輸入與假設!$C$32+(輸入與假設!$C$33-輸入與假設!$C$32)*4/4</f>
        <v>0.65</v>
      </c>
      <c r="I34" s="3"/>
    </row>
    <row r="35" customFormat="false" ht="15" hidden="false" customHeight="false" outlineLevel="1" collapsed="false">
      <c r="A35" s="6" t="s">
        <v>115</v>
      </c>
      <c r="B35" s="10" t="s">
        <v>17</v>
      </c>
      <c r="C35" s="28" t="n">
        <f aca="false">輸入與假設!C$30*產能與收入!C24</f>
        <v>0.224783192677998</v>
      </c>
      <c r="D35" s="28" t="n">
        <f aca="false">輸入與假設!D$30*產能與收入!D24</f>
        <v>0.755760692756674</v>
      </c>
      <c r="E35" s="28" t="n">
        <f aca="false">輸入與假設!E$30*產能與收入!E24</f>
        <v>1.34795457559659</v>
      </c>
      <c r="F35" s="28" t="n">
        <f aca="false">輸入與假設!F$30*產能與收入!F24</f>
        <v>2.11660002119496</v>
      </c>
      <c r="G35" s="28" t="n">
        <f aca="false">輸入與假設!G$30*產能與收入!G24</f>
        <v>2.90837126816542</v>
      </c>
      <c r="I35" s="3"/>
    </row>
    <row r="36" customFormat="false" ht="15" hidden="true" customHeight="false" outlineLevel="2" collapsed="false">
      <c r="A36" s="6" t="s">
        <v>116</v>
      </c>
      <c r="B36" s="3"/>
      <c r="C36" s="20" t="n">
        <v>0</v>
      </c>
      <c r="I36" s="10"/>
    </row>
    <row r="37" customFormat="false" ht="15" hidden="true" customHeight="false" outlineLevel="2" collapsed="false">
      <c r="A37" s="6" t="s">
        <v>117</v>
      </c>
      <c r="B37" s="10" t="s">
        <v>118</v>
      </c>
      <c r="C37" s="20" t="n">
        <v>60</v>
      </c>
      <c r="D37" s="20" t="n">
        <v>62</v>
      </c>
      <c r="E37" s="20" t="n">
        <v>64</v>
      </c>
      <c r="F37" s="20" t="n">
        <v>66</v>
      </c>
      <c r="G37" s="20" t="n">
        <v>68</v>
      </c>
      <c r="I37" s="10"/>
    </row>
    <row r="38" customFormat="false" ht="15" hidden="true" customHeight="false" outlineLevel="2" collapsed="false">
      <c r="A38" s="16" t="s">
        <v>119</v>
      </c>
      <c r="B38" s="3"/>
      <c r="C38" s="29" t="n">
        <v>1.25</v>
      </c>
      <c r="D38" s="29" t="n">
        <v>1.24</v>
      </c>
      <c r="E38" s="29" t="n">
        <v>1.22</v>
      </c>
      <c r="F38" s="29" t="n">
        <v>1.2</v>
      </c>
      <c r="G38" s="29" t="n">
        <v>1.2</v>
      </c>
      <c r="I38" s="10"/>
    </row>
    <row r="39" customFormat="false" ht="15" hidden="true" customHeight="false" outlineLevel="2" collapsed="false">
      <c r="A39" s="6" t="s">
        <v>120</v>
      </c>
      <c r="B39" s="10" t="s">
        <v>121</v>
      </c>
      <c r="C39" s="29" t="n">
        <v>0.15</v>
      </c>
      <c r="D39" s="29" t="n">
        <v>0.15</v>
      </c>
      <c r="E39" s="29" t="n">
        <v>0.16</v>
      </c>
      <c r="F39" s="29" t="n">
        <v>0.16</v>
      </c>
      <c r="G39" s="29" t="n">
        <v>0.17</v>
      </c>
      <c r="I39" s="10"/>
    </row>
    <row r="40" customFormat="false" ht="15" hidden="false" customHeight="false" outlineLevel="0" collapsed="false">
      <c r="A40" s="4" t="s">
        <v>122</v>
      </c>
      <c r="B40" s="5"/>
      <c r="C40" s="5"/>
      <c r="D40" s="5"/>
      <c r="E40" s="5"/>
      <c r="F40" s="5"/>
      <c r="G40" s="5"/>
      <c r="H40" s="5"/>
    </row>
    <row r="41" customFormat="false" ht="15" hidden="false" customHeight="false" outlineLevel="1" collapsed="false">
      <c r="A41" s="6" t="s">
        <v>123</v>
      </c>
      <c r="B41" s="10" t="s">
        <v>8</v>
      </c>
      <c r="C41" s="21" t="n">
        <v>0.35</v>
      </c>
      <c r="I41" s="3"/>
    </row>
    <row r="42" customFormat="false" ht="15" hidden="false" customHeight="false" outlineLevel="1" collapsed="false">
      <c r="A42" s="16" t="s">
        <v>124</v>
      </c>
      <c r="B42" s="10" t="s">
        <v>86</v>
      </c>
      <c r="C42" s="25" t="n">
        <f aca="false">CHOOSE(輸入與假設!$C$5,I6,I7,I8)</f>
        <v>500</v>
      </c>
      <c r="I42" s="3"/>
    </row>
    <row r="43" customFormat="false" ht="15" hidden="false" customHeight="false" outlineLevel="1" collapsed="false">
      <c r="A43" s="16" t="s">
        <v>125</v>
      </c>
      <c r="B43" s="10" t="s">
        <v>17</v>
      </c>
      <c r="C43" s="22" t="n">
        <v>35</v>
      </c>
      <c r="I43" s="3"/>
    </row>
    <row r="44" customFormat="false" ht="15" hidden="false" customHeight="false" outlineLevel="1" collapsed="false">
      <c r="A44" s="16" t="s">
        <v>126</v>
      </c>
      <c r="B44" s="3" t="s">
        <v>127</v>
      </c>
      <c r="C44" s="20" t="n">
        <v>6</v>
      </c>
      <c r="I44" s="3"/>
    </row>
    <row r="45" customFormat="false" ht="15" hidden="false" customHeight="false" outlineLevel="1" collapsed="false">
      <c r="A45" s="16" t="s">
        <v>128</v>
      </c>
      <c r="B45" s="10" t="s">
        <v>86</v>
      </c>
      <c r="C45" s="20" t="n">
        <v>100</v>
      </c>
      <c r="I45" s="3"/>
    </row>
    <row r="46" customFormat="false" ht="15" hidden="false" customHeight="false" outlineLevel="1" collapsed="false">
      <c r="A46" s="16" t="s">
        <v>129</v>
      </c>
      <c r="B46" s="10" t="s">
        <v>86</v>
      </c>
      <c r="C46" s="20" t="n">
        <v>360</v>
      </c>
      <c r="I46" s="10"/>
    </row>
    <row r="47" customFormat="false" ht="15" hidden="false" customHeight="false" outlineLevel="1" collapsed="false">
      <c r="A47" s="16" t="s">
        <v>130</v>
      </c>
      <c r="B47" s="10" t="s">
        <v>17</v>
      </c>
      <c r="C47" s="22" t="n">
        <v>46.736</v>
      </c>
      <c r="I47" s="10"/>
    </row>
    <row r="48" customFormat="false" ht="15" hidden="false" customHeight="false" outlineLevel="1" collapsed="false">
      <c r="A48" s="6" t="s">
        <v>131</v>
      </c>
      <c r="B48" s="10" t="s">
        <v>8</v>
      </c>
      <c r="C48" s="21" t="n">
        <v>1</v>
      </c>
      <c r="I48" s="3"/>
    </row>
    <row r="49" customFormat="false" ht="15" hidden="false" customHeight="false" outlineLevel="1" collapsed="false">
      <c r="A49" s="6" t="s">
        <v>132</v>
      </c>
      <c r="B49" s="10" t="s">
        <v>121</v>
      </c>
      <c r="C49" s="30" t="n">
        <v>34</v>
      </c>
      <c r="D49" s="30" t="n">
        <v>34</v>
      </c>
      <c r="E49" s="30" t="n">
        <v>34</v>
      </c>
      <c r="F49" s="30" t="n">
        <v>34</v>
      </c>
      <c r="G49" s="30" t="n">
        <v>34</v>
      </c>
      <c r="I49" s="10"/>
    </row>
    <row r="50" customFormat="false" ht="15" hidden="false" customHeight="false" outlineLevel="1" collapsed="false">
      <c r="A50" s="6" t="s">
        <v>133</v>
      </c>
      <c r="B50" s="10" t="s">
        <v>8</v>
      </c>
      <c r="C50" s="21" t="n">
        <v>0.08</v>
      </c>
      <c r="D50" s="21" t="n">
        <v>0.08</v>
      </c>
      <c r="E50" s="21" t="n">
        <v>0.08</v>
      </c>
      <c r="F50" s="21" t="n">
        <v>0.08</v>
      </c>
      <c r="G50" s="21" t="n">
        <v>0.08</v>
      </c>
      <c r="I50" s="10"/>
    </row>
    <row r="51" customFormat="false" ht="15" hidden="false" customHeight="false" outlineLevel="1" collapsed="false">
      <c r="A51" s="6" t="s">
        <v>134</v>
      </c>
      <c r="B51" s="10" t="s">
        <v>17</v>
      </c>
      <c r="C51" s="22" t="n">
        <v>1.04</v>
      </c>
      <c r="D51" s="22" t="n">
        <v>2.339</v>
      </c>
      <c r="E51" s="22" t="n">
        <v>2.306</v>
      </c>
      <c r="F51" s="22" t="n">
        <v>2.373</v>
      </c>
      <c r="G51" s="22" t="n">
        <v>2.289</v>
      </c>
      <c r="I51" s="3"/>
    </row>
    <row r="52" customFormat="false" ht="15" hidden="false" customHeight="false" outlineLevel="1" collapsed="false">
      <c r="A52" s="6" t="s">
        <v>135</v>
      </c>
      <c r="B52" s="10" t="s">
        <v>17</v>
      </c>
      <c r="C52" s="28" t="n">
        <f aca="false">C10*MAX(0,C23-輸入與假設!$C$11)/(C8-輸入與假設!$C$11)</f>
        <v>0.3</v>
      </c>
      <c r="D52" s="28" t="n">
        <f aca="false">D10*MAX(0,D23-輸入與假設!$C$11)/(D8-輸入與假設!$C$11)</f>
        <v>1.6</v>
      </c>
      <c r="E52" s="28" t="n">
        <f aca="false">E10*MAX(0,E23-輸入與假設!$C$11)/(E8-輸入與假設!$C$11)</f>
        <v>2.41935483870968</v>
      </c>
      <c r="F52" s="28" t="n">
        <f aca="false">F10*MAX(0,F23-輸入與假設!$C$11)/(F8-輸入與假設!$C$11)</f>
        <v>2.75</v>
      </c>
      <c r="G52" s="28" t="n">
        <f aca="false">G10*MAX(0,G23-輸入與假設!$C$11)/(G8-輸入與假設!$C$11)</f>
        <v>2.90153846153846</v>
      </c>
      <c r="I52" s="3"/>
    </row>
    <row r="53" customFormat="false" ht="15" hidden="false" customHeight="false" outlineLevel="1" collapsed="false">
      <c r="A53" s="16" t="s">
        <v>136</v>
      </c>
      <c r="B53" s="10" t="s">
        <v>17</v>
      </c>
      <c r="C53" s="22" t="n">
        <v>1.15</v>
      </c>
      <c r="D53" s="22" t="n">
        <v>0</v>
      </c>
      <c r="E53" s="22" t="n">
        <v>0</v>
      </c>
      <c r="F53" s="22" t="n">
        <v>0</v>
      </c>
      <c r="G53" s="22" t="n">
        <v>0</v>
      </c>
      <c r="I53" s="10"/>
    </row>
    <row r="54" customFormat="false" ht="15" hidden="false" customHeight="false" outlineLevel="1" collapsed="false">
      <c r="A54" s="16" t="s">
        <v>137</v>
      </c>
      <c r="B54" s="10" t="s">
        <v>17</v>
      </c>
      <c r="C54" s="22" t="n">
        <v>0.1</v>
      </c>
      <c r="D54" s="22" t="n">
        <v>0.4</v>
      </c>
      <c r="E54" s="22" t="n">
        <v>0.3</v>
      </c>
      <c r="F54" s="22" t="n">
        <v>0.2</v>
      </c>
      <c r="G54" s="22" t="n">
        <v>0.2</v>
      </c>
      <c r="I54" s="3"/>
    </row>
    <row r="55" customFormat="false" ht="15" hidden="false" customHeight="false" outlineLevel="1" collapsed="false">
      <c r="A55" s="16" t="s">
        <v>138</v>
      </c>
      <c r="B55" s="10" t="s">
        <v>17</v>
      </c>
      <c r="C55" s="28" t="n">
        <f aca="false">C53+C54</f>
        <v>1.25</v>
      </c>
      <c r="D55" s="28" t="n">
        <f aca="false">D53+D54</f>
        <v>0.4</v>
      </c>
      <c r="E55" s="28" t="n">
        <f aca="false">E53+E54</f>
        <v>0.3</v>
      </c>
      <c r="F55" s="28" t="n">
        <f aca="false">F53+F54</f>
        <v>0.2</v>
      </c>
      <c r="G55" s="28" t="n">
        <f aca="false">G53+G54</f>
        <v>0.2</v>
      </c>
      <c r="I55" s="3"/>
    </row>
    <row r="56" customFormat="false" ht="15" hidden="true" customHeight="false" outlineLevel="2" collapsed="false">
      <c r="A56" s="6" t="s">
        <v>139</v>
      </c>
      <c r="B56" s="10" t="s">
        <v>86</v>
      </c>
      <c r="C56" s="25" t="n">
        <f aca="false">輸入與假設!$C$17</f>
        <v>850</v>
      </c>
      <c r="D56" s="25" t="n">
        <f aca="false">C23</f>
        <v>1850</v>
      </c>
      <c r="E56" s="25" t="n">
        <f aca="false">D23</f>
        <v>3100</v>
      </c>
      <c r="F56" s="25" t="n">
        <f aca="false">E23</f>
        <v>4000</v>
      </c>
      <c r="G56" s="25" t="n">
        <f aca="false">F23</f>
        <v>4800</v>
      </c>
      <c r="I56" s="10"/>
    </row>
    <row r="57" customFormat="false" ht="15" hidden="true" customHeight="false" outlineLevel="2" collapsed="false">
      <c r="A57" s="6" t="s">
        <v>140</v>
      </c>
      <c r="B57" s="10" t="s">
        <v>86</v>
      </c>
      <c r="C57" s="25" t="n">
        <f aca="false">C23-C56</f>
        <v>1000</v>
      </c>
      <c r="D57" s="25" t="n">
        <f aca="false">D23-D56</f>
        <v>1250</v>
      </c>
      <c r="E57" s="25" t="n">
        <f aca="false">E23-E56</f>
        <v>900</v>
      </c>
      <c r="F57" s="25" t="n">
        <f aca="false">F23-F56</f>
        <v>800</v>
      </c>
      <c r="G57" s="25" t="n">
        <f aca="false">G23-G56</f>
        <v>800</v>
      </c>
    </row>
    <row r="58" customFormat="false" ht="15" hidden="true" customHeight="false" outlineLevel="2" collapsed="false">
      <c r="A58" s="6" t="s">
        <v>141</v>
      </c>
      <c r="B58" s="10" t="s">
        <v>86</v>
      </c>
      <c r="C58" s="25" t="n">
        <f aca="false">D23-C23</f>
        <v>1250</v>
      </c>
      <c r="D58" s="25" t="n">
        <f aca="false">E23-D23</f>
        <v>900</v>
      </c>
      <c r="E58" s="25" t="n">
        <f aca="false">F23-E23</f>
        <v>800</v>
      </c>
      <c r="F58" s="25" t="n">
        <f aca="false">G23-F23</f>
        <v>800</v>
      </c>
      <c r="G58" s="25" t="n">
        <f aca="false">輸入與假設!$C$42</f>
        <v>500</v>
      </c>
    </row>
    <row r="59" customFormat="false" ht="15" hidden="true" customHeight="false" outlineLevel="2" collapsed="false">
      <c r="A59" s="6" t="s">
        <v>142</v>
      </c>
      <c r="B59" s="10" t="s">
        <v>17</v>
      </c>
      <c r="C59" s="28" t="n">
        <f aca="false">(C57*(1-輸入與假設!$C$41)+C58*輸入與假設!$C$41)*C49*輸入與假設!$C$48/1000</f>
        <v>36.975</v>
      </c>
      <c r="D59" s="28" t="n">
        <f aca="false">(D57*(1-輸入與假設!$C$41)+D58*輸入與假設!$C$41)*D49*輸入與假設!$C$48/1000</f>
        <v>38.335</v>
      </c>
      <c r="E59" s="28" t="n">
        <f aca="false">(E57*(1-輸入與假設!$C$41)+E58*輸入與假設!$C$41)*E49*輸入與假設!$C$48/1000</f>
        <v>29.41</v>
      </c>
      <c r="F59" s="28" t="n">
        <f aca="false">(F57*(1-輸入與假設!$C$41)+F58*輸入與假設!$C$41)*F49*輸入與假設!$C$48/1000</f>
        <v>27.2</v>
      </c>
      <c r="G59" s="28" t="n">
        <f aca="false">(G57*(1-輸入與假設!$C$41)+G58*輸入與假設!$C$41)*G49*輸入與假設!$C$48/1000</f>
        <v>23.63</v>
      </c>
      <c r="I59" s="3"/>
    </row>
    <row r="60" customFormat="false" ht="15" hidden="true" customHeight="false" outlineLevel="2" collapsed="false">
      <c r="A60" s="6" t="s">
        <v>143</v>
      </c>
      <c r="B60" s="10" t="s">
        <v>17</v>
      </c>
      <c r="C60" s="28" t="n">
        <f aca="false">MAX(C59,輸入與假設!$C$43)-輸入與假設!$C$122</f>
        <v>20.836</v>
      </c>
      <c r="D60" s="28" t="n">
        <f aca="false">D59</f>
        <v>38.335</v>
      </c>
      <c r="E60" s="28" t="n">
        <f aca="false">E59</f>
        <v>29.41</v>
      </c>
      <c r="F60" s="28" t="n">
        <f aca="false">F59</f>
        <v>27.2</v>
      </c>
      <c r="G60" s="28" t="n">
        <f aca="false">G59</f>
        <v>23.63</v>
      </c>
      <c r="I60" s="10"/>
    </row>
    <row r="61" customFormat="false" ht="15" hidden="true" customHeight="false" outlineLevel="2" collapsed="false">
      <c r="A61" s="16" t="s">
        <v>144</v>
      </c>
      <c r="B61" s="10" t="s">
        <v>17</v>
      </c>
      <c r="C61" s="28" t="n">
        <f aca="false">IF(2026-輸入與假設!$C$44=2023,輸入與假設!$C$45,IF(2026-輸入與假設!$C$44=2024,輸入與假設!$C$46-輸入與假設!$C$45,IF(2026-輸入與假設!$C$44=2025,輸入與假設!$C$17-輸入與假設!$C$46,0)))*C49*輸入與假設!$C$48/1000</f>
        <v>0</v>
      </c>
      <c r="D61" s="28" t="n">
        <f aca="false">IF(2027-輸入與假設!$C$44=2023,輸入與假設!$C$45,IF(2027-輸入與假設!$C$44=2024,輸入與假設!$C$46-輸入與假設!$C$45,IF(2027-輸入與假設!$C$44=2025,輸入與假設!$C$17-輸入與假設!$C$46,0)))*D49*輸入與假設!$C$48/1000</f>
        <v>0</v>
      </c>
      <c r="E61" s="28" t="n">
        <f aca="false">IF(2028-輸入與假設!$C$44=2023,輸入與假設!$C$45,IF(2028-輸入與假設!$C$44=2024,輸入與假設!$C$46-輸入與假設!$C$45,IF(2028-輸入與假設!$C$44=2025,輸入與假設!$C$17-輸入與假設!$C$46,0)))*E49*輸入與假設!$C$48/1000</f>
        <v>0</v>
      </c>
      <c r="F61" s="28" t="n">
        <f aca="false">IF(2029-輸入與假設!$C$44=2023,輸入與假設!$C$45,IF(2029-輸入與假設!$C$44=2024,輸入與假設!$C$46-輸入與假設!$C$45,IF(2029-輸入與假設!$C$44=2025,輸入與假設!$C$17-輸入與假設!$C$46,0)))*F49*輸入與假設!$C$48/1000</f>
        <v>3.4</v>
      </c>
      <c r="G61" s="28" t="n">
        <f aca="false">IF(2030-輸入與假設!$C$44=2023,輸入與假設!$C$45,IF(2030-輸入與假設!$C$44=2024,輸入與假設!$C$46-輸入與假設!$C$45,IF(2030-輸入與假設!$C$44=2025,輸入與假設!$C$17-輸入與假設!$C$46,0)))*G49*輸入與假設!$C$48/1000</f>
        <v>8.84</v>
      </c>
      <c r="I61" s="3"/>
    </row>
    <row r="62" customFormat="false" ht="15" hidden="true" customHeight="false" outlineLevel="2" collapsed="false">
      <c r="A62" s="6" t="s">
        <v>145</v>
      </c>
      <c r="B62" s="10" t="s">
        <v>17</v>
      </c>
      <c r="C62" s="28" t="n">
        <f aca="false">輸入與假設!$C$47</f>
        <v>46.736</v>
      </c>
      <c r="D62" s="28" t="n">
        <f aca="false">C62+C60</f>
        <v>67.572</v>
      </c>
      <c r="E62" s="28" t="n">
        <f aca="false">D62+D60</f>
        <v>105.907</v>
      </c>
      <c r="F62" s="28" t="n">
        <f aca="false">E62+E60</f>
        <v>135.317</v>
      </c>
      <c r="G62" s="28" t="n">
        <f aca="false">F62+F60</f>
        <v>162.517</v>
      </c>
      <c r="I62" s="3"/>
    </row>
    <row r="63" customFormat="false" ht="15" hidden="false" customHeight="false" outlineLevel="2" collapsed="false">
      <c r="A63" s="6" t="s">
        <v>146</v>
      </c>
      <c r="B63" s="10" t="s">
        <v>17</v>
      </c>
      <c r="C63" s="31" t="n">
        <f aca="false">C60+C61</f>
        <v>20.836</v>
      </c>
      <c r="D63" s="31" t="n">
        <f aca="false">D60+D61</f>
        <v>38.335</v>
      </c>
      <c r="E63" s="31" t="n">
        <f aca="false">E60+E61</f>
        <v>29.41</v>
      </c>
      <c r="F63" s="31" t="n">
        <f aca="false">F60+F61</f>
        <v>30.6</v>
      </c>
      <c r="G63" s="31" t="n">
        <f aca="false">G60+G61</f>
        <v>32.47</v>
      </c>
      <c r="I63" s="3"/>
    </row>
    <row r="64" customFormat="false" ht="15" hidden="false" customHeight="false" outlineLevel="2" collapsed="false">
      <c r="A64" s="16" t="s">
        <v>147</v>
      </c>
      <c r="B64" s="10" t="s">
        <v>17</v>
      </c>
      <c r="C64" s="31" t="n">
        <f aca="false">(C62+0.5*C60)/輸入與假設!$C$44*C21</f>
        <v>4.76283333333333</v>
      </c>
      <c r="D64" s="31" t="n">
        <f aca="false">(D62+0.5*D60)/輸入與假設!$C$44*D21</f>
        <v>14.4565833333333</v>
      </c>
      <c r="E64" s="31" t="n">
        <f aca="false">(E62+0.5*E60)/輸入與假設!$C$44*E21</f>
        <v>20.102</v>
      </c>
      <c r="F64" s="31" t="n">
        <f aca="false">(F62+0.5*F60)/輸入與假設!$C$44*F21</f>
        <v>24.8195</v>
      </c>
      <c r="G64" s="31" t="n">
        <f aca="false">(G62+0.5*G60)/輸入與假設!$C$44*G21</f>
        <v>29.0553333333333</v>
      </c>
      <c r="I64" s="3"/>
    </row>
    <row r="65" customFormat="false" ht="15" hidden="false" customHeight="false" outlineLevel="0" collapsed="false">
      <c r="A65" s="4" t="s">
        <v>148</v>
      </c>
      <c r="B65" s="5"/>
      <c r="C65" s="5"/>
      <c r="D65" s="5"/>
      <c r="E65" s="5"/>
      <c r="F65" s="5"/>
      <c r="G65" s="5"/>
      <c r="H65" s="5"/>
    </row>
    <row r="66" customFormat="false" ht="15" hidden="false" customHeight="false" outlineLevel="1" collapsed="false">
      <c r="A66" s="6" t="s">
        <v>149</v>
      </c>
      <c r="B66" s="10" t="s">
        <v>17</v>
      </c>
      <c r="C66" s="22" t="n">
        <v>5.5</v>
      </c>
      <c r="I66" s="10"/>
    </row>
    <row r="67" customFormat="false" ht="15" hidden="false" customHeight="false" outlineLevel="1" collapsed="false">
      <c r="A67" s="6" t="s">
        <v>150</v>
      </c>
      <c r="B67" s="10" t="s">
        <v>17</v>
      </c>
      <c r="C67" s="22" t="n">
        <v>6.2</v>
      </c>
      <c r="I67" s="10"/>
    </row>
    <row r="68" customFormat="false" ht="15" hidden="false" customHeight="false" outlineLevel="1" collapsed="false">
      <c r="A68" s="6" t="s">
        <v>151</v>
      </c>
      <c r="B68" s="3"/>
      <c r="C68" s="20" t="n">
        <v>1</v>
      </c>
      <c r="I68" s="3"/>
    </row>
    <row r="69" customFormat="false" ht="15" hidden="false" customHeight="false" outlineLevel="1" collapsed="false">
      <c r="A69" s="6" t="s">
        <v>152</v>
      </c>
      <c r="B69" s="10" t="s">
        <v>17</v>
      </c>
      <c r="C69" s="22" t="n">
        <v>10</v>
      </c>
      <c r="I69" s="10"/>
    </row>
    <row r="70" customFormat="false" ht="15" hidden="false" customHeight="false" outlineLevel="1" collapsed="false">
      <c r="A70" s="6" t="s">
        <v>153</v>
      </c>
      <c r="B70" s="3"/>
      <c r="C70" s="20" t="n">
        <v>1</v>
      </c>
      <c r="I70" s="3"/>
    </row>
    <row r="71" customFormat="false" ht="15" hidden="false" customHeight="false" outlineLevel="1" collapsed="false">
      <c r="A71" s="6" t="s">
        <v>154</v>
      </c>
      <c r="B71" s="3"/>
      <c r="C71" s="20" t="n">
        <v>1</v>
      </c>
      <c r="I71" s="10"/>
    </row>
    <row r="72" customFormat="false" ht="15" hidden="false" customHeight="false" outlineLevel="1" collapsed="false">
      <c r="A72" s="6" t="s">
        <v>155</v>
      </c>
      <c r="B72" s="10" t="s">
        <v>50</v>
      </c>
      <c r="C72" s="32" t="n">
        <v>1</v>
      </c>
      <c r="I72" s="3"/>
    </row>
    <row r="73" customFormat="false" ht="15" hidden="false" customHeight="false" outlineLevel="1" collapsed="false">
      <c r="A73" s="6" t="s">
        <v>156</v>
      </c>
      <c r="B73" s="3" t="s">
        <v>127</v>
      </c>
      <c r="C73" s="20" t="n">
        <v>5</v>
      </c>
      <c r="I73" s="10"/>
    </row>
    <row r="74" customFormat="false" ht="15" hidden="false" customHeight="false" outlineLevel="1" collapsed="false">
      <c r="A74" s="6" t="s">
        <v>157</v>
      </c>
      <c r="B74" s="10" t="s">
        <v>17</v>
      </c>
      <c r="C74" s="22" t="n">
        <v>2</v>
      </c>
      <c r="I74" s="3"/>
    </row>
    <row r="75" customFormat="false" ht="15" hidden="false" customHeight="false" outlineLevel="1" collapsed="false">
      <c r="A75" s="6" t="s">
        <v>158</v>
      </c>
      <c r="B75" s="10" t="s">
        <v>5</v>
      </c>
      <c r="C75" s="33" t="n">
        <v>90.13</v>
      </c>
      <c r="I75" s="3"/>
    </row>
    <row r="76" customFormat="false" ht="15" hidden="false" customHeight="false" outlineLevel="1" collapsed="false">
      <c r="A76" s="6" t="s">
        <v>159</v>
      </c>
      <c r="B76" s="10" t="s">
        <v>8</v>
      </c>
      <c r="C76" s="21" t="n">
        <v>0.1</v>
      </c>
      <c r="I76" s="3"/>
    </row>
    <row r="77" customFormat="false" ht="15" hidden="false" customHeight="false" outlineLevel="1" collapsed="false">
      <c r="A77" s="6" t="s">
        <v>160</v>
      </c>
      <c r="B77" s="10" t="s">
        <v>8</v>
      </c>
      <c r="C77" s="21" t="n">
        <v>0.2</v>
      </c>
      <c r="I77" s="10"/>
    </row>
    <row r="78" customFormat="false" ht="15" hidden="false" customHeight="false" outlineLevel="1" collapsed="false">
      <c r="A78" s="6" t="s">
        <v>161</v>
      </c>
      <c r="B78" s="10" t="s">
        <v>162</v>
      </c>
      <c r="C78" s="26" t="n">
        <v>0.5865</v>
      </c>
      <c r="I78" s="3"/>
    </row>
    <row r="79" customFormat="false" ht="15" hidden="false" customHeight="false" outlineLevel="1" collapsed="false">
      <c r="A79" s="6" t="s">
        <v>163</v>
      </c>
      <c r="B79" s="10" t="s">
        <v>8</v>
      </c>
      <c r="C79" s="21" t="n">
        <v>0.12</v>
      </c>
      <c r="I79" s="3"/>
    </row>
    <row r="80" customFormat="false" ht="15" hidden="false" customHeight="false" outlineLevel="1" collapsed="false">
      <c r="A80" s="16" t="s">
        <v>164</v>
      </c>
      <c r="B80" s="10" t="s">
        <v>165</v>
      </c>
      <c r="C80" s="20" t="n">
        <v>720</v>
      </c>
      <c r="I80" s="10"/>
    </row>
    <row r="81" customFormat="false" ht="15" hidden="false" customHeight="false" outlineLevel="1" collapsed="false">
      <c r="A81" s="16" t="s">
        <v>166</v>
      </c>
      <c r="B81" s="3"/>
      <c r="C81" s="20" t="n">
        <v>0</v>
      </c>
      <c r="I81" s="3"/>
    </row>
    <row r="82" customFormat="false" ht="15" hidden="false" customHeight="false" outlineLevel="1" collapsed="false">
      <c r="A82" s="16" t="s">
        <v>167</v>
      </c>
      <c r="B82" s="10" t="s">
        <v>165</v>
      </c>
      <c r="C82" s="20" t="n">
        <v>450</v>
      </c>
      <c r="I82" s="10"/>
    </row>
    <row r="83" customFormat="false" ht="15" hidden="false" customHeight="false" outlineLevel="1" collapsed="false">
      <c r="A83" s="16" t="s">
        <v>168</v>
      </c>
      <c r="B83" s="10" t="s">
        <v>8</v>
      </c>
      <c r="C83" s="21" t="n">
        <v>0.4</v>
      </c>
      <c r="I83" s="3"/>
    </row>
    <row r="84" customFormat="false" ht="15" hidden="false" customHeight="false" outlineLevel="1" collapsed="false">
      <c r="A84" s="6" t="s">
        <v>169</v>
      </c>
      <c r="B84" s="10" t="s">
        <v>17</v>
      </c>
      <c r="C84" s="22" t="n">
        <v>4.413</v>
      </c>
      <c r="D84" s="22" t="n">
        <v>6.184</v>
      </c>
      <c r="E84" s="22" t="n">
        <v>4.416</v>
      </c>
      <c r="F84" s="22" t="n">
        <v>2.421</v>
      </c>
      <c r="G84" s="22" t="n">
        <v>3.221</v>
      </c>
      <c r="I84" s="3"/>
    </row>
    <row r="85" customFormat="false" ht="15" hidden="false" customHeight="false" outlineLevel="1" collapsed="false">
      <c r="A85" s="6" t="s">
        <v>170</v>
      </c>
      <c r="B85" s="10" t="s">
        <v>8</v>
      </c>
      <c r="C85" s="21" t="n">
        <v>0.09</v>
      </c>
      <c r="D85" s="21" t="n">
        <v>0.09</v>
      </c>
      <c r="E85" s="21" t="n">
        <v>0.09</v>
      </c>
      <c r="F85" s="21" t="n">
        <v>0.09</v>
      </c>
      <c r="G85" s="21" t="n">
        <v>0.09</v>
      </c>
      <c r="I85" s="3"/>
    </row>
    <row r="86" customFormat="false" ht="15" hidden="false" customHeight="false" outlineLevel="1" collapsed="false">
      <c r="A86" s="6" t="s">
        <v>171</v>
      </c>
      <c r="B86" s="10" t="s">
        <v>17</v>
      </c>
      <c r="C86" s="34" t="n">
        <f aca="false">收支與融資!C115</f>
        <v>1.80589628695395</v>
      </c>
      <c r="D86" s="34" t="n">
        <f aca="false">收支與融資!D115</f>
        <v>2.46600676169447</v>
      </c>
      <c r="E86" s="34" t="n">
        <f aca="false">收支與融資!E115</f>
        <v>2.02009474796771</v>
      </c>
      <c r="F86" s="34" t="n">
        <f aca="false">收支與融資!F115</f>
        <v>1.73248149911395</v>
      </c>
      <c r="G86" s="34" t="n">
        <f aca="false">收支與融資!G115</f>
        <v>1.49513851973222</v>
      </c>
      <c r="I86" s="3"/>
    </row>
    <row r="87" customFormat="false" ht="15" hidden="false" customHeight="false" outlineLevel="0" collapsed="false">
      <c r="A87" s="4" t="s">
        <v>172</v>
      </c>
      <c r="B87" s="5"/>
      <c r="C87" s="5"/>
      <c r="D87" s="5"/>
      <c r="E87" s="5"/>
      <c r="F87" s="5"/>
      <c r="G87" s="5"/>
      <c r="H87" s="5"/>
    </row>
    <row r="88" customFormat="false" ht="15" hidden="false" customHeight="false" outlineLevel="1" collapsed="false">
      <c r="A88" s="6" t="s">
        <v>173</v>
      </c>
      <c r="B88" s="10" t="s">
        <v>5</v>
      </c>
      <c r="C88" s="33" t="n">
        <v>90.13</v>
      </c>
      <c r="I88" s="10"/>
    </row>
    <row r="89" customFormat="false" ht="15" hidden="false" customHeight="false" outlineLevel="1" collapsed="false">
      <c r="A89" s="6" t="s">
        <v>174</v>
      </c>
      <c r="B89" s="10" t="s">
        <v>162</v>
      </c>
      <c r="C89" s="35" t="n">
        <v>0.587</v>
      </c>
      <c r="I89" s="10"/>
    </row>
    <row r="90" customFormat="false" ht="15" hidden="false" customHeight="false" outlineLevel="1" collapsed="false">
      <c r="A90" s="6" t="s">
        <v>175</v>
      </c>
      <c r="B90" s="10" t="s">
        <v>17</v>
      </c>
      <c r="C90" s="22" t="n">
        <v>30</v>
      </c>
      <c r="I90" s="3"/>
    </row>
    <row r="91" customFormat="false" ht="15" hidden="false" customHeight="false" outlineLevel="1" collapsed="false">
      <c r="A91" s="16" t="s">
        <v>176</v>
      </c>
      <c r="B91" s="10" t="s">
        <v>8</v>
      </c>
      <c r="C91" s="21" t="n">
        <v>0.11</v>
      </c>
      <c r="I91" s="10"/>
    </row>
    <row r="92" customFormat="false" ht="15" hidden="false" customHeight="false" outlineLevel="1" collapsed="false">
      <c r="A92" s="6" t="s">
        <v>177</v>
      </c>
      <c r="B92" s="10" t="s">
        <v>8</v>
      </c>
      <c r="C92" s="21" t="n">
        <v>0.03</v>
      </c>
      <c r="I92" s="10"/>
    </row>
    <row r="93" customFormat="false" ht="15" hidden="false" customHeight="false" outlineLevel="1" collapsed="false">
      <c r="A93" s="6" t="s">
        <v>178</v>
      </c>
      <c r="B93" s="10" t="s">
        <v>8</v>
      </c>
      <c r="C93" s="21" t="n">
        <v>0.8</v>
      </c>
      <c r="I93" s="3"/>
    </row>
    <row r="94" customFormat="false" ht="15" hidden="false" customHeight="false" outlineLevel="1" collapsed="false">
      <c r="A94" s="6" t="s">
        <v>179</v>
      </c>
      <c r="B94" s="10" t="s">
        <v>8</v>
      </c>
      <c r="C94" s="21" t="n">
        <v>0.21</v>
      </c>
      <c r="I94" s="3"/>
    </row>
    <row r="95" customFormat="false" ht="15" hidden="false" customHeight="false" outlineLevel="1" collapsed="false">
      <c r="A95" s="6" t="s">
        <v>180</v>
      </c>
      <c r="B95" s="10" t="s">
        <v>17</v>
      </c>
      <c r="C95" s="22" t="n">
        <v>4</v>
      </c>
      <c r="I95" s="10"/>
    </row>
    <row r="96" customFormat="false" ht="15" hidden="false" customHeight="false" outlineLevel="1" collapsed="false">
      <c r="A96" s="16" t="s">
        <v>181</v>
      </c>
      <c r="B96" s="10" t="s">
        <v>8</v>
      </c>
      <c r="C96" s="21" t="n">
        <v>0.8</v>
      </c>
      <c r="I96" s="3"/>
    </row>
    <row r="97" customFormat="false" ht="15" hidden="false" customHeight="false" outlineLevel="1" collapsed="false">
      <c r="A97" s="6" t="s">
        <v>182</v>
      </c>
      <c r="B97" s="10" t="s">
        <v>8</v>
      </c>
      <c r="C97" s="21" t="n">
        <v>0.02</v>
      </c>
      <c r="I97" s="3"/>
    </row>
    <row r="98" customFormat="false" ht="15" hidden="false" customHeight="false" outlineLevel="1" collapsed="false">
      <c r="A98" s="16" t="s">
        <v>183</v>
      </c>
      <c r="B98" s="10" t="s">
        <v>50</v>
      </c>
      <c r="C98" s="36" t="n">
        <v>6</v>
      </c>
      <c r="I98" s="3"/>
    </row>
    <row r="99" customFormat="false" ht="15" hidden="false" customHeight="false" outlineLevel="1" collapsed="false">
      <c r="A99" s="16" t="s">
        <v>184</v>
      </c>
      <c r="B99" s="3"/>
      <c r="C99" s="19" t="n">
        <v>3</v>
      </c>
      <c r="I99" s="3"/>
    </row>
    <row r="100" customFormat="false" ht="15" hidden="false" customHeight="false" outlineLevel="1" collapsed="false">
      <c r="A100" s="6" t="s">
        <v>185</v>
      </c>
      <c r="B100" s="10" t="s">
        <v>8</v>
      </c>
      <c r="C100" s="21" t="n">
        <v>0.45</v>
      </c>
      <c r="I100" s="3"/>
    </row>
    <row r="101" customFormat="false" ht="15" hidden="false" customHeight="false" outlineLevel="1" collapsed="false">
      <c r="A101" s="6" t="s">
        <v>186</v>
      </c>
      <c r="B101" s="10" t="s">
        <v>50</v>
      </c>
      <c r="C101" s="36" t="n">
        <v>5</v>
      </c>
      <c r="I101" s="10"/>
    </row>
    <row r="102" customFormat="false" ht="15" hidden="false" customHeight="false" outlineLevel="1" collapsed="false">
      <c r="A102" s="6" t="s">
        <v>187</v>
      </c>
      <c r="B102" s="10" t="s">
        <v>50</v>
      </c>
      <c r="C102" s="36" t="n">
        <v>6</v>
      </c>
      <c r="I102" s="3"/>
    </row>
    <row r="103" customFormat="false" ht="15" hidden="false" customHeight="false" outlineLevel="1" collapsed="false">
      <c r="A103" s="6" t="s">
        <v>188</v>
      </c>
      <c r="B103" s="10" t="s">
        <v>8</v>
      </c>
      <c r="C103" s="21" t="n">
        <v>0.01</v>
      </c>
      <c r="I103" s="10"/>
    </row>
    <row r="104" customFormat="false" ht="15" hidden="false" customHeight="false" outlineLevel="2" collapsed="false">
      <c r="A104" s="16" t="s">
        <v>189</v>
      </c>
      <c r="B104" s="3"/>
      <c r="C104" s="19" t="n">
        <v>1</v>
      </c>
      <c r="I104" s="10"/>
    </row>
    <row r="105" customFormat="false" ht="15" hidden="false" customHeight="false" outlineLevel="2" collapsed="false">
      <c r="A105" s="6" t="s">
        <v>190</v>
      </c>
      <c r="B105" s="10" t="s">
        <v>8</v>
      </c>
      <c r="C105" s="21" t="n">
        <v>0.5</v>
      </c>
      <c r="I105" s="3"/>
    </row>
    <row r="106" customFormat="false" ht="15" hidden="false" customHeight="false" outlineLevel="2" collapsed="false">
      <c r="A106" s="6" t="s">
        <v>191</v>
      </c>
      <c r="B106" s="10" t="s">
        <v>8</v>
      </c>
      <c r="C106" s="21" t="n">
        <v>0.04</v>
      </c>
      <c r="I106" s="3"/>
    </row>
    <row r="107" customFormat="false" ht="15" hidden="false" customHeight="false" outlineLevel="2" collapsed="false">
      <c r="A107" s="6" t="s">
        <v>192</v>
      </c>
      <c r="B107" s="3" t="s">
        <v>127</v>
      </c>
      <c r="C107" s="30" t="n">
        <v>4.5</v>
      </c>
      <c r="I107" s="3"/>
    </row>
    <row r="108" customFormat="false" ht="15" hidden="false" customHeight="false" outlineLevel="2" collapsed="false">
      <c r="A108" s="6" t="s">
        <v>193</v>
      </c>
      <c r="B108" s="3" t="s">
        <v>127</v>
      </c>
      <c r="C108" s="28" t="n">
        <v>1</v>
      </c>
      <c r="I108" s="3"/>
    </row>
    <row r="109" customFormat="false" ht="15" hidden="false" customHeight="false" outlineLevel="2" collapsed="false">
      <c r="A109" s="6" t="s">
        <v>194</v>
      </c>
      <c r="B109" s="3" t="s">
        <v>127</v>
      </c>
      <c r="C109" s="28" t="n">
        <v>0.5</v>
      </c>
      <c r="I109" s="3"/>
    </row>
    <row r="110" customFormat="false" ht="15" hidden="false" customHeight="false" outlineLevel="2" collapsed="false">
      <c r="A110" s="6" t="s">
        <v>195</v>
      </c>
      <c r="B110" s="3" t="s">
        <v>127</v>
      </c>
      <c r="C110" s="28" t="n">
        <v>0.5</v>
      </c>
      <c r="D110" s="28" t="n">
        <v>1.5</v>
      </c>
      <c r="E110" s="28" t="n">
        <v>2.5</v>
      </c>
      <c r="F110" s="28" t="n">
        <v>3.5</v>
      </c>
      <c r="G110" s="28" t="n">
        <v>4.5</v>
      </c>
      <c r="I110" s="3"/>
    </row>
    <row r="111" customFormat="false" ht="15" hidden="false" customHeight="false" outlineLevel="2" collapsed="false">
      <c r="A111" s="6" t="s">
        <v>196</v>
      </c>
      <c r="B111" s="3" t="s">
        <v>127</v>
      </c>
      <c r="C111" s="28" t="n">
        <v>0</v>
      </c>
      <c r="D111" s="28" t="n">
        <v>0.5</v>
      </c>
      <c r="E111" s="28" t="n">
        <v>1.5</v>
      </c>
      <c r="F111" s="28" t="n">
        <v>2.5</v>
      </c>
      <c r="G111" s="28" t="n">
        <v>3.5</v>
      </c>
      <c r="I111" s="3"/>
    </row>
    <row r="112" customFormat="false" ht="15" hidden="false" customHeight="false" outlineLevel="2" collapsed="false">
      <c r="A112" s="6" t="s">
        <v>197</v>
      </c>
      <c r="B112" s="10" t="s">
        <v>8</v>
      </c>
      <c r="C112" s="21" t="n">
        <v>0.25</v>
      </c>
      <c r="I112" s="3"/>
    </row>
    <row r="113" customFormat="false" ht="15" hidden="false" customHeight="false" outlineLevel="2" collapsed="false">
      <c r="A113" s="6" t="s">
        <v>198</v>
      </c>
      <c r="B113" s="10" t="s">
        <v>8</v>
      </c>
      <c r="C113" s="21" t="n">
        <v>0.9</v>
      </c>
      <c r="I113" s="3"/>
    </row>
    <row r="114" customFormat="false" ht="15" hidden="false" customHeight="false" outlineLevel="2" collapsed="false">
      <c r="A114" s="6" t="s">
        <v>199</v>
      </c>
      <c r="B114" s="10" t="s">
        <v>8</v>
      </c>
      <c r="C114" s="21" t="n">
        <v>-0.15</v>
      </c>
      <c r="I114" s="3"/>
    </row>
    <row r="115" customFormat="false" ht="15" hidden="false" customHeight="false" outlineLevel="2" collapsed="false">
      <c r="A115" s="6" t="s">
        <v>200</v>
      </c>
      <c r="B115" s="10" t="s">
        <v>50</v>
      </c>
      <c r="C115" s="36" t="n">
        <v>1.5</v>
      </c>
      <c r="I115" s="3"/>
    </row>
    <row r="116" customFormat="false" ht="15" hidden="false" customHeight="false" outlineLevel="2" collapsed="false">
      <c r="A116" s="6" t="s">
        <v>201</v>
      </c>
      <c r="B116" s="10" t="s">
        <v>8</v>
      </c>
      <c r="C116" s="21" t="n">
        <v>-0.08</v>
      </c>
      <c r="I116" s="3"/>
    </row>
    <row r="117" customFormat="false" ht="15" hidden="false" customHeight="false" outlineLevel="2" collapsed="false">
      <c r="A117" s="6" t="s">
        <v>202</v>
      </c>
      <c r="B117" s="10" t="s">
        <v>8</v>
      </c>
      <c r="C117" s="21" t="n">
        <v>0.05</v>
      </c>
      <c r="I117" s="3"/>
    </row>
    <row r="118" customFormat="false" ht="15" hidden="false" customHeight="false" outlineLevel="0" collapsed="true">
      <c r="A118" s="4" t="s">
        <v>203</v>
      </c>
      <c r="B118" s="5"/>
      <c r="C118" s="5"/>
      <c r="D118" s="5"/>
      <c r="E118" s="5"/>
      <c r="F118" s="5"/>
      <c r="G118" s="5"/>
      <c r="H118" s="5"/>
    </row>
    <row r="119" customFormat="false" ht="15" hidden="true" customHeight="false" outlineLevel="1" collapsed="false">
      <c r="A119" s="16" t="s">
        <v>204</v>
      </c>
      <c r="B119" s="10" t="s">
        <v>17</v>
      </c>
      <c r="C119" s="22" t="n">
        <v>3.127</v>
      </c>
      <c r="I119" s="10"/>
    </row>
    <row r="120" customFormat="false" ht="15" hidden="true" customHeight="false" outlineLevel="1" collapsed="false">
      <c r="A120" s="6" t="s">
        <v>205</v>
      </c>
      <c r="B120" s="10" t="s">
        <v>17</v>
      </c>
      <c r="C120" s="22" t="n">
        <v>3.663</v>
      </c>
      <c r="I120" s="3"/>
    </row>
    <row r="121" customFormat="false" ht="15" hidden="true" customHeight="false" outlineLevel="1" collapsed="false">
      <c r="A121" s="6" t="s">
        <v>206</v>
      </c>
      <c r="B121" s="10" t="s">
        <v>17</v>
      </c>
      <c r="C121" s="22" t="n">
        <v>14.117</v>
      </c>
      <c r="I121" s="3"/>
    </row>
    <row r="122" customFormat="false" ht="15" hidden="true" customHeight="false" outlineLevel="1" collapsed="false">
      <c r="A122" s="16" t="s">
        <v>207</v>
      </c>
      <c r="B122" s="10" t="s">
        <v>17</v>
      </c>
      <c r="C122" s="22" t="n">
        <v>16.139</v>
      </c>
      <c r="I122" s="10"/>
    </row>
    <row r="123" customFormat="false" ht="15" hidden="true" customHeight="false" outlineLevel="1" collapsed="false">
      <c r="A123" s="16" t="s">
        <v>208</v>
      </c>
      <c r="B123" s="10" t="s">
        <v>17</v>
      </c>
      <c r="C123" s="22" t="n">
        <v>0.688</v>
      </c>
      <c r="I123" s="10"/>
    </row>
    <row r="124" customFormat="false" ht="15" hidden="true" customHeight="false" outlineLevel="1" collapsed="false">
      <c r="A124" s="6" t="s">
        <v>209</v>
      </c>
      <c r="B124" s="10" t="s">
        <v>17</v>
      </c>
      <c r="C124" s="22" t="n">
        <v>16.747</v>
      </c>
      <c r="I124" s="3"/>
    </row>
    <row r="125" customFormat="false" ht="15" hidden="true" customHeight="false" outlineLevel="1" collapsed="false">
      <c r="A125" s="6" t="s">
        <v>210</v>
      </c>
      <c r="B125" s="10" t="s">
        <v>17</v>
      </c>
      <c r="C125" s="22" t="n">
        <v>5.219</v>
      </c>
      <c r="I125" s="3"/>
    </row>
    <row r="126" customFormat="false" ht="15" hidden="true" customHeight="false" outlineLevel="1" collapsed="false">
      <c r="A126" s="16" t="s">
        <v>211</v>
      </c>
      <c r="B126" s="10" t="s">
        <v>17</v>
      </c>
      <c r="C126" s="22" t="n">
        <v>0.492</v>
      </c>
      <c r="I126" s="10"/>
    </row>
    <row r="127" customFormat="false" ht="15" hidden="true" customHeight="false" outlineLevel="1" collapsed="false">
      <c r="A127" s="6" t="s">
        <v>212</v>
      </c>
      <c r="B127" s="10" t="s">
        <v>17</v>
      </c>
      <c r="C127" s="22" t="n">
        <v>2.982</v>
      </c>
      <c r="I127" s="10"/>
    </row>
    <row r="128" customFormat="false" ht="15" hidden="true" customHeight="false" outlineLevel="1" collapsed="false">
      <c r="A128" s="6" t="s">
        <v>213</v>
      </c>
      <c r="B128" s="10" t="s">
        <v>17</v>
      </c>
      <c r="C128" s="22" t="n">
        <v>4.653</v>
      </c>
      <c r="I128" s="10"/>
    </row>
    <row r="129" customFormat="false" ht="15" hidden="true" customHeight="false" outlineLevel="1" collapsed="false">
      <c r="A129" s="16" t="s">
        <v>214</v>
      </c>
      <c r="B129" s="10" t="s">
        <v>17</v>
      </c>
      <c r="C129" s="22" t="n">
        <v>-0.193</v>
      </c>
      <c r="I129" s="10"/>
    </row>
    <row r="130" customFormat="false" ht="15" hidden="true" customHeight="false" outlineLevel="1" collapsed="false">
      <c r="A130" s="16" t="s">
        <v>215</v>
      </c>
      <c r="B130" s="10" t="s">
        <v>17</v>
      </c>
      <c r="C130" s="22" t="n">
        <v>2.54</v>
      </c>
      <c r="I130" s="3"/>
    </row>
    <row r="131" customFormat="false" ht="15" hidden="true" customHeight="false" outlineLevel="1" collapsed="false">
      <c r="A131" s="6" t="s">
        <v>216</v>
      </c>
      <c r="B131" s="10" t="s">
        <v>17</v>
      </c>
      <c r="C131" s="22" t="n">
        <v>2.667</v>
      </c>
      <c r="I131" s="10"/>
    </row>
    <row r="132" customFormat="false" ht="15" hidden="false" customHeight="false" outlineLevel="0" collapsed="false">
      <c r="A132" s="4" t="s">
        <v>217</v>
      </c>
      <c r="B132" s="5"/>
      <c r="C132" s="5"/>
      <c r="D132" s="5"/>
      <c r="E132" s="5"/>
      <c r="F132" s="5"/>
      <c r="G132" s="5"/>
      <c r="H132" s="5"/>
      <c r="I132" s="3"/>
    </row>
    <row r="133" customFormat="false" ht="15" hidden="false" customHeight="false" outlineLevel="1" collapsed="false">
      <c r="A133" s="6" t="s">
        <v>218</v>
      </c>
      <c r="D133" s="11" t="n">
        <f aca="false">損益與評價!C63</f>
        <v>45.501149936383</v>
      </c>
      <c r="E133" s="7" t="n">
        <f aca="false">損益與評價!C71</f>
        <v>-1</v>
      </c>
    </row>
    <row r="134" customFormat="false" ht="15" hidden="false" customHeight="false" outlineLevel="1" collapsed="false">
      <c r="A134" s="6" t="s">
        <v>219</v>
      </c>
      <c r="C134" s="7" t="n">
        <v>1</v>
      </c>
      <c r="D134" s="37" t="n">
        <f t="dataTable" ref="D134:E136" dt2D="0" dtr="0" r1="C5"/>
        <v>69.741656925025</v>
      </c>
      <c r="E134" s="38" t="n">
        <v>-1</v>
      </c>
    </row>
    <row r="135" customFormat="false" ht="15" hidden="false" customHeight="false" outlineLevel="1" collapsed="false">
      <c r="A135" s="6" t="s">
        <v>220</v>
      </c>
      <c r="C135" s="7" t="n">
        <v>2</v>
      </c>
      <c r="D135" s="37" t="n">
        <v>45.501149936383</v>
      </c>
      <c r="E135" s="38" t="n">
        <v>-1</v>
      </c>
    </row>
    <row r="136" customFormat="false" ht="15" hidden="false" customHeight="false" outlineLevel="1" collapsed="false">
      <c r="A136" s="6" t="s">
        <v>221</v>
      </c>
      <c r="C136" s="7" t="n">
        <v>3</v>
      </c>
      <c r="D136" s="37" t="n">
        <v>30.953265648845</v>
      </c>
      <c r="E136" s="38" t="n">
        <v>-1</v>
      </c>
    </row>
    <row r="137" customFormat="false" ht="15" hidden="false" customHeight="false" outlineLevel="0" collapsed="false">
      <c r="A137" s="4" t="s">
        <v>222</v>
      </c>
      <c r="B137" s="5"/>
      <c r="C137" s="5"/>
      <c r="D137" s="5"/>
      <c r="E137" s="5"/>
      <c r="F137" s="5"/>
      <c r="G137" s="5"/>
      <c r="H137" s="5"/>
      <c r="I137" s="3"/>
    </row>
    <row r="138" customFormat="false" ht="15" hidden="false" customHeight="false" outlineLevel="1" collapsed="false">
      <c r="A138" s="6" t="s">
        <v>223</v>
      </c>
      <c r="B138" s="10" t="s">
        <v>5</v>
      </c>
      <c r="C138" s="33" t="n">
        <v>140.81</v>
      </c>
      <c r="F138" s="10" t="s">
        <v>224</v>
      </c>
      <c r="G138" s="10" t="s">
        <v>225</v>
      </c>
      <c r="I138" s="10"/>
      <c r="J138" s="3"/>
    </row>
    <row r="139" customFormat="false" ht="15" hidden="false" customHeight="false" outlineLevel="1" collapsed="false">
      <c r="A139" s="6" t="s">
        <v>226</v>
      </c>
      <c r="B139" s="10" t="s">
        <v>5</v>
      </c>
      <c r="C139" s="33" t="n">
        <v>140</v>
      </c>
      <c r="F139" s="10" t="s">
        <v>224</v>
      </c>
      <c r="G139" s="10" t="s">
        <v>225</v>
      </c>
      <c r="I139" s="10"/>
      <c r="J139" s="3"/>
    </row>
    <row r="140" customFormat="false" ht="15" hidden="false" customHeight="false" outlineLevel="1" collapsed="false">
      <c r="A140" s="6" t="s">
        <v>227</v>
      </c>
      <c r="B140" s="10" t="s">
        <v>5</v>
      </c>
      <c r="C140" s="33" t="n">
        <v>39</v>
      </c>
      <c r="F140" s="10" t="s">
        <v>224</v>
      </c>
      <c r="G140" s="10" t="s">
        <v>225</v>
      </c>
      <c r="I140" s="10"/>
      <c r="J140" s="3"/>
    </row>
    <row r="141" customFormat="false" ht="15" hidden="false" customHeight="false" outlineLevel="1" collapsed="false">
      <c r="A141" s="6" t="s">
        <v>228</v>
      </c>
      <c r="B141" s="10" t="s">
        <v>5</v>
      </c>
      <c r="C141" s="33" t="n">
        <v>317</v>
      </c>
      <c r="F141" s="10" t="s">
        <v>224</v>
      </c>
      <c r="G141" s="10" t="s">
        <v>225</v>
      </c>
      <c r="I141" s="10"/>
      <c r="J141" s="3"/>
    </row>
    <row r="142" customFormat="false" ht="15" hidden="false" customHeight="false" outlineLevel="1" collapsed="false">
      <c r="A142" s="6" t="s">
        <v>229</v>
      </c>
      <c r="B142" s="10" t="s">
        <v>17</v>
      </c>
      <c r="C142" s="39" t="n">
        <v>12.882</v>
      </c>
      <c r="D142" s="39" t="n">
        <v>26.376</v>
      </c>
      <c r="E142" s="39" t="n">
        <v>42.55</v>
      </c>
      <c r="F142" s="10" t="s">
        <v>224</v>
      </c>
      <c r="G142" s="10" t="s">
        <v>225</v>
      </c>
      <c r="I142" s="10"/>
      <c r="J142" s="3"/>
    </row>
    <row r="143" customFormat="false" ht="15" hidden="false" customHeight="false" outlineLevel="1" collapsed="false">
      <c r="A143" s="6" t="s">
        <v>230</v>
      </c>
      <c r="B143" s="10" t="s">
        <v>17</v>
      </c>
      <c r="C143" s="39" t="n">
        <v>7.574</v>
      </c>
      <c r="D143" s="39" t="n">
        <v>16.656</v>
      </c>
      <c r="E143" s="39" t="n">
        <v>28.857</v>
      </c>
      <c r="F143" s="10" t="s">
        <v>224</v>
      </c>
      <c r="G143" s="10" t="s">
        <v>225</v>
      </c>
      <c r="I143" s="10"/>
      <c r="J143" s="3"/>
    </row>
    <row r="144" customFormat="false" ht="15" hidden="false" customHeight="false" outlineLevel="1" collapsed="false">
      <c r="A144" s="6" t="s">
        <v>231</v>
      </c>
      <c r="B144" s="10" t="s">
        <v>8</v>
      </c>
      <c r="C144" s="21" t="n">
        <v>0.588</v>
      </c>
      <c r="D144" s="21" t="n">
        <v>0.632</v>
      </c>
      <c r="E144" s="21" t="n">
        <v>0.678</v>
      </c>
      <c r="F144" s="10" t="s">
        <v>224</v>
      </c>
      <c r="G144" s="10" t="s">
        <v>225</v>
      </c>
      <c r="I144" s="10"/>
      <c r="J144" s="3"/>
    </row>
    <row r="145" customFormat="false" ht="15" hidden="false" customHeight="false" outlineLevel="1" collapsed="false">
      <c r="A145" s="6" t="s">
        <v>232</v>
      </c>
      <c r="B145" s="10" t="s">
        <v>17</v>
      </c>
      <c r="C145" s="39" t="n">
        <v>35.953</v>
      </c>
      <c r="D145" s="39" t="n">
        <v>46.476</v>
      </c>
      <c r="E145" s="39" t="n">
        <v>50.129</v>
      </c>
      <c r="F145" s="10" t="s">
        <v>224</v>
      </c>
      <c r="G145" s="10" t="s">
        <v>225</v>
      </c>
      <c r="I145" s="10"/>
      <c r="J145" s="3"/>
    </row>
    <row r="146" customFormat="false" ht="15" hidden="false" customHeight="false" outlineLevel="1" collapsed="false">
      <c r="A146" s="6" t="s">
        <v>233</v>
      </c>
      <c r="B146" s="10" t="s">
        <v>17</v>
      </c>
      <c r="C146" s="39" t="n">
        <v>46.442</v>
      </c>
      <c r="D146" s="39" t="n">
        <v>74.707</v>
      </c>
      <c r="E146" s="39" t="n">
        <v>96.039</v>
      </c>
      <c r="F146" s="10" t="s">
        <v>224</v>
      </c>
      <c r="G146" s="10" t="s">
        <v>225</v>
      </c>
      <c r="I146" s="10"/>
      <c r="J146" s="3"/>
    </row>
    <row r="147" customFormat="false" ht="15" hidden="false" customHeight="false" outlineLevel="1" collapsed="false">
      <c r="A147" s="6" t="s">
        <v>234</v>
      </c>
      <c r="B147" s="10" t="s">
        <v>17</v>
      </c>
      <c r="C147" s="39" t="n">
        <v>3.541</v>
      </c>
      <c r="D147" s="39" t="n">
        <v>4.706</v>
      </c>
      <c r="F147" s="10" t="s">
        <v>224</v>
      </c>
      <c r="G147" s="10" t="s">
        <v>225</v>
      </c>
      <c r="I147" s="10"/>
      <c r="J147" s="3"/>
    </row>
    <row r="148" customFormat="false" ht="15" hidden="false" customHeight="false" outlineLevel="1" collapsed="false">
      <c r="A148" s="6" t="s">
        <v>235</v>
      </c>
      <c r="B148" s="10" t="s">
        <v>17</v>
      </c>
      <c r="C148" s="39" t="n">
        <v>2.047</v>
      </c>
      <c r="D148" s="39" t="n">
        <v>2.897</v>
      </c>
      <c r="F148" s="10" t="s">
        <v>224</v>
      </c>
      <c r="G148" s="10" t="s">
        <v>225</v>
      </c>
      <c r="I148" s="10"/>
      <c r="J148" s="3"/>
    </row>
    <row r="149" customFormat="false" ht="15" hidden="false" customHeight="false" outlineLevel="1" collapsed="false">
      <c r="A149" s="6" t="s">
        <v>236</v>
      </c>
      <c r="B149" s="10" t="s">
        <v>17</v>
      </c>
      <c r="C149" s="39" t="n">
        <v>0.2408</v>
      </c>
      <c r="D149" s="39" t="n">
        <v>0.6805</v>
      </c>
      <c r="F149" s="10" t="s">
        <v>224</v>
      </c>
      <c r="G149" s="10" t="s">
        <v>225</v>
      </c>
      <c r="I149" s="10"/>
      <c r="J149" s="3"/>
    </row>
    <row r="150" customFormat="false" ht="15" hidden="false" customHeight="false" outlineLevel="1" collapsed="false">
      <c r="A150" s="6" t="s">
        <v>237</v>
      </c>
      <c r="B150" s="10" t="s">
        <v>8</v>
      </c>
      <c r="C150" s="21" t="n">
        <v>0.05</v>
      </c>
      <c r="I150" s="3"/>
    </row>
    <row r="151" customFormat="false" ht="15" hidden="false" customHeight="false" outlineLevel="1" collapsed="false">
      <c r="A151" s="6" t="s">
        <v>238</v>
      </c>
      <c r="B151" s="10" t="s">
        <v>27</v>
      </c>
      <c r="C151" s="21" t="n">
        <v>0.02</v>
      </c>
      <c r="I151" s="3"/>
    </row>
    <row r="152" customFormat="false" ht="15" hidden="false" customHeight="false" outlineLevel="0" collapsed="false">
      <c r="A152" s="4" t="s">
        <v>239</v>
      </c>
      <c r="B152" s="5"/>
      <c r="C152" s="5"/>
      <c r="D152" s="5"/>
      <c r="E152" s="5"/>
      <c r="F152" s="5"/>
      <c r="G152" s="5"/>
      <c r="H152" s="5"/>
    </row>
    <row r="153" customFormat="false" ht="15" hidden="false" customHeight="false" outlineLevel="1" collapsed="false">
      <c r="A153" s="6" t="s">
        <v>240</v>
      </c>
      <c r="C153" s="25" t="n">
        <v>1</v>
      </c>
      <c r="D153" s="25" t="n">
        <v>1</v>
      </c>
      <c r="E153" s="25" t="n">
        <v>2</v>
      </c>
      <c r="F153" s="25" t="n">
        <v>2</v>
      </c>
      <c r="G153" s="25" t="n">
        <v>2</v>
      </c>
      <c r="H153" s="25" t="n">
        <v>2</v>
      </c>
      <c r="J153" s="3"/>
    </row>
    <row r="154" customFormat="false" ht="15" hidden="false" customHeight="false" outlineLevel="1" collapsed="false">
      <c r="A154" s="6" t="s">
        <v>241</v>
      </c>
      <c r="C154" s="19" t="n">
        <v>1</v>
      </c>
      <c r="J154" s="3"/>
    </row>
    <row r="155" customFormat="false" ht="15" hidden="false" customHeight="false" outlineLevel="1" collapsed="false">
      <c r="A155" s="6" t="s">
        <v>242</v>
      </c>
      <c r="B155" s="10" t="s">
        <v>17</v>
      </c>
      <c r="C155" s="39" t="n">
        <v>2.575</v>
      </c>
      <c r="J155" s="3"/>
    </row>
    <row r="156" customFormat="false" ht="15" hidden="false" customHeight="false" outlineLevel="1" collapsed="false">
      <c r="A156" s="6" t="s">
        <v>243</v>
      </c>
      <c r="B156" s="10" t="s">
        <v>86</v>
      </c>
      <c r="C156" s="20" t="n">
        <v>1500</v>
      </c>
      <c r="J156" s="10"/>
    </row>
    <row r="157" customFormat="false" ht="15" hidden="false" customHeight="false" outlineLevel="1" collapsed="false">
      <c r="A157" s="6" t="s">
        <v>244</v>
      </c>
      <c r="B157" s="10" t="s">
        <v>17</v>
      </c>
      <c r="C157" s="39"/>
      <c r="D157" s="39"/>
      <c r="E157" s="39"/>
      <c r="F157" s="39"/>
      <c r="G157" s="39"/>
      <c r="H157" s="39"/>
      <c r="J157" s="3"/>
    </row>
    <row r="158" customFormat="false" ht="15" hidden="false" customHeight="false" outlineLevel="1" collapsed="false">
      <c r="A158" s="6" t="s">
        <v>245</v>
      </c>
      <c r="B158" s="10" t="s">
        <v>17</v>
      </c>
      <c r="C158" s="39"/>
      <c r="D158" s="39"/>
      <c r="E158" s="39"/>
      <c r="F158" s="39"/>
      <c r="G158" s="39"/>
      <c r="H158" s="39"/>
    </row>
    <row r="159" customFormat="false" ht="15" hidden="false" customHeight="false" outlineLevel="1" collapsed="false">
      <c r="A159" s="6" t="s">
        <v>246</v>
      </c>
      <c r="B159" s="10" t="s">
        <v>17</v>
      </c>
      <c r="C159" s="39"/>
      <c r="D159" s="39"/>
      <c r="E159" s="39"/>
      <c r="F159" s="39"/>
      <c r="G159" s="39"/>
      <c r="H159" s="39"/>
    </row>
    <row r="160" customFormat="false" ht="15" hidden="false" customHeight="false" outlineLevel="1" collapsed="false">
      <c r="A160" s="6" t="s">
        <v>247</v>
      </c>
      <c r="B160" s="10" t="s">
        <v>17</v>
      </c>
      <c r="C160" s="39"/>
      <c r="D160" s="39"/>
      <c r="E160" s="39"/>
      <c r="F160" s="39"/>
      <c r="G160" s="39"/>
      <c r="H160" s="39"/>
    </row>
    <row r="161" customFormat="false" ht="15" hidden="false" customHeight="false" outlineLevel="1" collapsed="false">
      <c r="A161" s="6" t="s">
        <v>248</v>
      </c>
      <c r="B161" s="10" t="s">
        <v>86</v>
      </c>
      <c r="C161" s="20"/>
      <c r="D161" s="20"/>
      <c r="E161" s="20"/>
      <c r="F161" s="20"/>
      <c r="G161" s="20"/>
      <c r="H161" s="20"/>
    </row>
    <row r="162" customFormat="false" ht="15" hidden="false" customHeight="false" outlineLevel="1" collapsed="false">
      <c r="A162" s="6" t="s">
        <v>249</v>
      </c>
      <c r="B162" s="10" t="s">
        <v>17</v>
      </c>
      <c r="C162" s="39" t="n">
        <v>3.45</v>
      </c>
      <c r="D162" s="39"/>
      <c r="E162" s="39"/>
      <c r="F162" s="39"/>
      <c r="G162" s="39"/>
      <c r="H162" s="39"/>
      <c r="J162" s="10"/>
    </row>
    <row r="163" customFormat="false" ht="15" hidden="false" customHeight="false" outlineLevel="1" collapsed="false">
      <c r="A163" s="6" t="s">
        <v>250</v>
      </c>
      <c r="B163" s="10" t="s">
        <v>17</v>
      </c>
      <c r="C163" s="39" t="n">
        <v>3.6</v>
      </c>
      <c r="D163" s="39"/>
      <c r="E163" s="39"/>
      <c r="F163" s="39"/>
      <c r="G163" s="39"/>
      <c r="H163" s="39"/>
    </row>
    <row r="164" customFormat="false" ht="15" hidden="false" customHeight="false" outlineLevel="1" collapsed="false">
      <c r="A164" s="6" t="s">
        <v>251</v>
      </c>
      <c r="B164" s="10" t="s">
        <v>17</v>
      </c>
      <c r="C164" s="39" t="n">
        <v>0.2</v>
      </c>
      <c r="D164" s="39"/>
      <c r="E164" s="39"/>
      <c r="F164" s="39"/>
      <c r="G164" s="39"/>
      <c r="H164" s="39"/>
      <c r="J164" s="10"/>
    </row>
    <row r="165" customFormat="false" ht="15" hidden="false" customHeight="false" outlineLevel="1" collapsed="false">
      <c r="A165" s="6" t="s">
        <v>252</v>
      </c>
      <c r="B165" s="10" t="s">
        <v>17</v>
      </c>
      <c r="C165" s="39" t="n">
        <v>0.26</v>
      </c>
      <c r="D165" s="39"/>
      <c r="E165" s="39"/>
      <c r="F165" s="39"/>
      <c r="G165" s="39"/>
      <c r="H165" s="39"/>
    </row>
    <row r="166" customFormat="false" ht="15" hidden="false" customHeight="false" outlineLevel="1" collapsed="false">
      <c r="A166" s="6" t="s">
        <v>253</v>
      </c>
      <c r="B166" s="10" t="s">
        <v>17</v>
      </c>
      <c r="C166" s="39" t="n">
        <v>11.5</v>
      </c>
      <c r="D166" s="39"/>
      <c r="E166" s="39"/>
      <c r="F166" s="39"/>
      <c r="G166" s="39"/>
      <c r="H166" s="39"/>
      <c r="J166" s="10"/>
    </row>
    <row r="167" customFormat="false" ht="15" hidden="false" customHeight="false" outlineLevel="1" collapsed="false">
      <c r="A167" s="6" t="s">
        <v>254</v>
      </c>
      <c r="B167" s="10" t="s">
        <v>17</v>
      </c>
      <c r="C167" s="39" t="n">
        <v>13.5</v>
      </c>
      <c r="D167" s="39"/>
      <c r="E167" s="39"/>
      <c r="F167" s="39"/>
      <c r="G167" s="39"/>
      <c r="H167" s="39"/>
    </row>
    <row r="168" customFormat="false" ht="15" hidden="false" customHeight="false" outlineLevel="1" collapsed="false">
      <c r="A168" s="6" t="s">
        <v>255</v>
      </c>
      <c r="C168" s="40"/>
      <c r="D168" s="41" t="s">
        <v>256</v>
      </c>
      <c r="E168" s="40"/>
      <c r="F168" s="40"/>
      <c r="G168" s="40"/>
      <c r="H168" s="40"/>
      <c r="J168" s="10"/>
    </row>
    <row r="169" customFormat="false" ht="15" hidden="false" customHeight="false" outlineLevel="1" collapsed="false">
      <c r="A169" s="6" t="s">
        <v>257</v>
      </c>
      <c r="B169" s="10" t="s">
        <v>17</v>
      </c>
      <c r="C169" s="39" t="n">
        <v>12.4</v>
      </c>
      <c r="D169" s="39" t="n">
        <v>13.2</v>
      </c>
      <c r="E169" s="39" t="n">
        <v>4.653</v>
      </c>
      <c r="J169" s="3"/>
    </row>
    <row r="170" customFormat="false" ht="15" hidden="false" customHeight="false" outlineLevel="1" collapsed="false">
      <c r="A170" s="6" t="s">
        <v>258</v>
      </c>
      <c r="B170" s="10" t="s">
        <v>17</v>
      </c>
      <c r="C170" s="39" t="n">
        <v>35</v>
      </c>
      <c r="D170" s="39" t="n">
        <v>39</v>
      </c>
      <c r="E170" s="39" t="n">
        <v>16.139</v>
      </c>
      <c r="J170" s="3"/>
    </row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1">
    <dataValidation allowBlank="false" error="請輸入 1–4" errorStyle="stop" errorTitle="錨定年度" operator="between" showDropDown="false" showErrorMessage="true" showInputMessage="false" sqref="C99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7" min="3" style="1" width="13"/>
    <col collapsed="false" customWidth="true" hidden="false" outlineLevel="0" max="9" min="9" style="1" width="96"/>
  </cols>
  <sheetData>
    <row r="1" customFormat="false" ht="17.35" hidden="false" customHeight="false" outlineLevel="0" collapsed="false">
      <c r="A1" s="2" t="s">
        <v>259</v>
      </c>
    </row>
    <row r="2" customFormat="false" ht="15" hidden="false" customHeight="false" outlineLevel="0" collapsed="false">
      <c r="A2" s="10" t="s">
        <v>260</v>
      </c>
    </row>
    <row r="4" customFormat="false" ht="15" hidden="false" customHeight="false" outlineLevel="0" collapsed="false">
      <c r="A4" s="15" t="s">
        <v>261</v>
      </c>
      <c r="B4" s="15" t="s">
        <v>262</v>
      </c>
      <c r="C4" s="42" t="s">
        <v>263</v>
      </c>
      <c r="D4" s="42" t="s">
        <v>264</v>
      </c>
      <c r="E4" s="42" t="s">
        <v>265</v>
      </c>
      <c r="F4" s="42" t="s">
        <v>266</v>
      </c>
      <c r="G4" s="42" t="s">
        <v>267</v>
      </c>
      <c r="I4" s="15"/>
    </row>
    <row r="5" customFormat="false" ht="15" hidden="false" customHeight="false" outlineLevel="0" collapsed="false">
      <c r="A5" s="43" t="s">
        <v>268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1" collapsed="false">
      <c r="A6" s="6" t="s">
        <v>269</v>
      </c>
      <c r="B6" s="10" t="s">
        <v>8</v>
      </c>
      <c r="C6" s="44" t="n">
        <f aca="false">輸入與假設!C$50</f>
        <v>0.08</v>
      </c>
      <c r="D6" s="44" t="n">
        <f aca="false">輸入與假設!D$50</f>
        <v>0.08</v>
      </c>
      <c r="E6" s="44" t="n">
        <f aca="false">輸入與假設!E$50</f>
        <v>0.08</v>
      </c>
      <c r="F6" s="44" t="n">
        <f aca="false">輸入與假設!F$50</f>
        <v>0.08</v>
      </c>
      <c r="G6" s="44" t="n">
        <f aca="false">輸入與假設!G$50</f>
        <v>0.08</v>
      </c>
    </row>
    <row r="7" customFormat="false" ht="15" hidden="false" customHeight="false" outlineLevel="1" collapsed="false">
      <c r="A7" s="6" t="s">
        <v>270</v>
      </c>
      <c r="B7" s="10" t="s">
        <v>17</v>
      </c>
      <c r="C7" s="28" t="n">
        <f aca="false">輸入與假設!C$63*C6</f>
        <v>1.66688</v>
      </c>
      <c r="D7" s="28" t="n">
        <f aca="false">輸入與假設!D$63*D6</f>
        <v>3.0668</v>
      </c>
      <c r="E7" s="28" t="n">
        <f aca="false">輸入與假設!E$63*E6</f>
        <v>2.3528</v>
      </c>
      <c r="F7" s="28" t="n">
        <f aca="false">輸入與假設!F$63*F6</f>
        <v>2.448</v>
      </c>
      <c r="G7" s="28" t="n">
        <f aca="false">輸入與假設!G$63*G6</f>
        <v>2.5976</v>
      </c>
      <c r="I7" s="10"/>
    </row>
    <row r="8" customFormat="false" ht="15" hidden="false" customHeight="false" outlineLevel="1" collapsed="false">
      <c r="A8" s="16" t="s">
        <v>271</v>
      </c>
      <c r="B8" s="10" t="s">
        <v>17</v>
      </c>
      <c r="C8" s="28" t="n">
        <f aca="false">輸入與假設!$C$121+輸入與假設!C$63</f>
        <v>34.953</v>
      </c>
      <c r="D8" s="28" t="n">
        <f aca="false">輸入與假設!D$63</f>
        <v>38.335</v>
      </c>
      <c r="E8" s="28" t="n">
        <f aca="false">輸入與假設!E$63</f>
        <v>29.41</v>
      </c>
      <c r="F8" s="28" t="n">
        <f aca="false">輸入與假設!F$63</f>
        <v>30.6</v>
      </c>
      <c r="G8" s="28" t="n">
        <f aca="false">輸入與假設!G$63</f>
        <v>32.47</v>
      </c>
      <c r="I8" s="10"/>
    </row>
    <row r="9" customFormat="false" ht="15" hidden="false" customHeight="false" outlineLevel="1" collapsed="false">
      <c r="A9" s="6" t="s">
        <v>272</v>
      </c>
      <c r="B9" s="10" t="s">
        <v>17</v>
      </c>
      <c r="C9" s="34" t="n">
        <f aca="false">輸入與假設!C$51</f>
        <v>1.04</v>
      </c>
      <c r="D9" s="34" t="n">
        <f aca="false">輸入與假設!D$51</f>
        <v>2.339</v>
      </c>
      <c r="E9" s="34" t="n">
        <f aca="false">輸入與假設!E$51</f>
        <v>2.306</v>
      </c>
      <c r="F9" s="34" t="n">
        <f aca="false">輸入與假設!F$51</f>
        <v>2.373</v>
      </c>
      <c r="G9" s="34" t="n">
        <f aca="false">輸入與假設!G$51</f>
        <v>2.289</v>
      </c>
      <c r="I9" s="3"/>
    </row>
    <row r="10" customFormat="false" ht="15" hidden="false" customHeight="false" outlineLevel="1" collapsed="false">
      <c r="A10" s="6" t="s">
        <v>273</v>
      </c>
      <c r="B10" s="10" t="s">
        <v>17</v>
      </c>
      <c r="C10" s="34" t="n">
        <f aca="false">輸入與假設!C$52</f>
        <v>0.3</v>
      </c>
      <c r="D10" s="34" t="n">
        <f aca="false">輸入與假設!D$52</f>
        <v>1.6</v>
      </c>
      <c r="E10" s="34" t="n">
        <f aca="false">輸入與假設!E$52</f>
        <v>2.41935483870968</v>
      </c>
      <c r="F10" s="34" t="n">
        <f aca="false">輸入與假設!F$52</f>
        <v>2.75</v>
      </c>
      <c r="G10" s="34" t="n">
        <f aca="false">輸入與假設!G$52</f>
        <v>2.90153846153846</v>
      </c>
      <c r="I10" s="3"/>
    </row>
    <row r="11" customFormat="false" ht="15" hidden="false" customHeight="false" outlineLevel="1" collapsed="false">
      <c r="A11" s="6" t="s">
        <v>274</v>
      </c>
      <c r="B11" s="10" t="s">
        <v>17</v>
      </c>
      <c r="C11" s="28" t="n">
        <f aca="false">C9+C10</f>
        <v>1.34</v>
      </c>
      <c r="D11" s="28" t="n">
        <f aca="false">D9+D10</f>
        <v>3.939</v>
      </c>
      <c r="E11" s="28" t="n">
        <f aca="false">E9+E10</f>
        <v>4.72535483870968</v>
      </c>
      <c r="F11" s="28" t="n">
        <f aca="false">F9+F10</f>
        <v>5.123</v>
      </c>
      <c r="G11" s="28" t="n">
        <f aca="false">G9+G10</f>
        <v>5.19053846153846</v>
      </c>
    </row>
    <row r="12" customFormat="false" ht="15" hidden="false" customHeight="false" outlineLevel="1" collapsed="false">
      <c r="A12" s="6" t="s">
        <v>275</v>
      </c>
      <c r="B12" s="10" t="s">
        <v>17</v>
      </c>
      <c r="C12" s="34" t="n">
        <f aca="false">輸入與假設!C$86</f>
        <v>1.80589628695395</v>
      </c>
      <c r="D12" s="34" t="n">
        <f aca="false">輸入與假設!D$86</f>
        <v>2.46600676169447</v>
      </c>
      <c r="E12" s="34" t="n">
        <f aca="false">輸入與假設!E$86</f>
        <v>2.02009474796771</v>
      </c>
      <c r="F12" s="34" t="n">
        <f aca="false">輸入與假設!F$86</f>
        <v>1.73248149911395</v>
      </c>
      <c r="G12" s="34" t="n">
        <f aca="false">輸入與假設!G$86</f>
        <v>1.49513851973222</v>
      </c>
      <c r="I12" s="3" t="str">
        <f aca="false">"6/30 債務餘額的利息。FY26 全年利息＝1H 實際 1.176＋2H "&amp;TEXT(C12,"0.0")&amp;"＝"&amp;TEXT(1.176+C12,"0.00")&amp;"（見下方備忘）"</f>
        <v>6/30 債務餘額的利息。FY26 全年利息＝1H 實際 1.176＋2H 1.8＝2.98（見下方備忘）</v>
      </c>
    </row>
    <row r="13" customFormat="false" ht="15" hidden="false" customHeight="false" outlineLevel="1" collapsed="false">
      <c r="A13" s="6" t="s">
        <v>276</v>
      </c>
      <c r="B13" s="10" t="s">
        <v>17</v>
      </c>
      <c r="C13" s="28" t="n">
        <f aca="false">輸入與假設!$C$119</f>
        <v>3.127</v>
      </c>
      <c r="D13" s="28" t="n">
        <f aca="false">C40</f>
        <v>2</v>
      </c>
      <c r="E13" s="28" t="n">
        <f aca="false">D40</f>
        <v>2</v>
      </c>
      <c r="F13" s="28" t="n">
        <f aca="false">E40</f>
        <v>2</v>
      </c>
      <c r="G13" s="28" t="n">
        <f aca="false">F40</f>
        <v>2</v>
      </c>
      <c r="I13" s="10"/>
    </row>
    <row r="14" customFormat="false" ht="15" hidden="false" customHeight="false" outlineLevel="1" collapsed="false">
      <c r="A14" s="6" t="s">
        <v>277</v>
      </c>
      <c r="B14" s="10" t="s">
        <v>8</v>
      </c>
      <c r="C14" s="27" t="n">
        <f aca="false">IF(輸入與假設!$C$81=1,輸入與假設!C$85+MAX(0,輸入與假設!$C$80-450)/100*0.004,輸入與假設!C$85)</f>
        <v>0.09</v>
      </c>
      <c r="D14" s="27" t="n">
        <f aca="false">IF(輸入與假設!$C$81=1,輸入與假設!D$85+MAX(0,輸入與假設!$C$80-450)/100*0.004,輸入與假設!D$85)</f>
        <v>0.09</v>
      </c>
      <c r="E14" s="27" t="n">
        <f aca="false">IF(輸入與假設!$C$81=1,輸入與假設!E$85+MAX(0,輸入與假設!$C$80-450)/100*0.004,輸入與假設!E$85)</f>
        <v>0.09</v>
      </c>
      <c r="F14" s="27" t="n">
        <f aca="false">IF(輸入與假設!$C$81=1,輸入與假設!F$85+MAX(0,輸入與假設!$C$80-450)/100*0.004,輸入與假設!F$85)</f>
        <v>0.09</v>
      </c>
      <c r="G14" s="27" t="n">
        <f aca="false">IF(輸入與假設!$C$81=1,輸入與假設!G$85+MAX(0,輸入與假設!$C$80-450)/100*0.004,輸入與假設!G$85)</f>
        <v>0.09</v>
      </c>
      <c r="I14" s="10"/>
    </row>
    <row r="15" customFormat="false" ht="15" hidden="false" customHeight="false" outlineLevel="1" collapsed="false">
      <c r="A15" s="6" t="s">
        <v>278</v>
      </c>
      <c r="B15" s="10" t="s">
        <v>17</v>
      </c>
      <c r="C15" s="28" t="n">
        <f aca="false">C61</f>
        <v>0.564952311705499</v>
      </c>
      <c r="D15" s="28" t="n">
        <f aca="false">D61</f>
        <v>4.07082035882062</v>
      </c>
      <c r="E15" s="28" t="n">
        <f aca="false">E61</f>
        <v>5.58647186461765</v>
      </c>
      <c r="F15" s="28" t="n">
        <f aca="false">F61</f>
        <v>5.869010565</v>
      </c>
      <c r="G15" s="28" t="n">
        <f aca="false">G61</f>
        <v>6.51509604</v>
      </c>
      <c r="I15" s="3"/>
    </row>
    <row r="16" customFormat="false" ht="15" hidden="false" customHeight="false" outlineLevel="1" collapsed="false">
      <c r="A16" s="6" t="s">
        <v>279</v>
      </c>
      <c r="B16" s="10" t="s">
        <v>17</v>
      </c>
      <c r="C16" s="28" t="n">
        <f aca="false">C12+C15</f>
        <v>2.37084859865945</v>
      </c>
      <c r="D16" s="28" t="n">
        <f aca="false">D12+D15</f>
        <v>6.53682712051508</v>
      </c>
      <c r="E16" s="28" t="n">
        <f aca="false">E12+E15</f>
        <v>7.60656661258536</v>
      </c>
      <c r="F16" s="28" t="n">
        <f aca="false">F12+F15</f>
        <v>7.60149206411395</v>
      </c>
      <c r="G16" s="28" t="n">
        <f aca="false">G12+G15</f>
        <v>8.01023455973222</v>
      </c>
    </row>
    <row r="17" customFormat="false" ht="15" hidden="false" customHeight="false" outlineLevel="1" collapsed="false">
      <c r="A17" s="16" t="s">
        <v>280</v>
      </c>
      <c r="B17" s="10" t="s">
        <v>17</v>
      </c>
      <c r="C17" s="28" t="n">
        <f aca="false">輸入與假設!$C$123+輸入與假設!C$55</f>
        <v>1.938</v>
      </c>
      <c r="D17" s="28" t="n">
        <f aca="false">輸入與假設!D$55</f>
        <v>0.4</v>
      </c>
      <c r="E17" s="28" t="n">
        <f aca="false">輸入與假設!E$55</f>
        <v>0.3</v>
      </c>
      <c r="F17" s="28" t="n">
        <f aca="false">輸入與假設!F$55</f>
        <v>0.2</v>
      </c>
      <c r="G17" s="28" t="n">
        <f aca="false">輸入與假設!G$55</f>
        <v>0.2</v>
      </c>
      <c r="I17" s="10"/>
    </row>
    <row r="18" customFormat="false" ht="15" hidden="false" customHeight="false" outlineLevel="1" collapsed="false">
      <c r="A18" s="6" t="s">
        <v>281</v>
      </c>
      <c r="B18" s="10" t="s">
        <v>17</v>
      </c>
      <c r="C18" s="28" t="n">
        <f aca="false">IF(輸入與假設!$C$36=1,產能與收入!C7*8760*輸入與假設!C$38*輸入與假設!C$37/1000000000*產能與收入!C5,0)</f>
        <v>0</v>
      </c>
      <c r="D18" s="28" t="n">
        <f aca="false">IF(輸入與假設!$C$36=1,產能與收入!D7*8760*輸入與假設!D$38*輸入與假設!D$37/1000000000*產能與收入!D5,0)</f>
        <v>0</v>
      </c>
      <c r="E18" s="28" t="n">
        <f aca="false">IF(輸入與假設!$C$36=1,產能與收入!E7*8760*輸入與假設!E$38*輸入與假設!E$37/1000000000*產能與收入!E5,0)</f>
        <v>0</v>
      </c>
      <c r="F18" s="28" t="n">
        <f aca="false">IF(輸入與假設!$C$36=1,產能與收入!F7*8760*輸入與假設!F$38*輸入與假設!F$37/1000000000*產能與收入!F5,0)</f>
        <v>0</v>
      </c>
      <c r="G18" s="28" t="n">
        <f aca="false">IF(輸入與假設!$C$36=1,產能與收入!G7*8760*輸入與假設!G$38*輸入與假設!G$37/1000000000*產能與收入!G5,0)</f>
        <v>0</v>
      </c>
      <c r="I18" s="3"/>
    </row>
    <row r="19" customFormat="false" ht="15" hidden="false" customHeight="false" outlineLevel="1" collapsed="false">
      <c r="A19" s="6" t="s">
        <v>282</v>
      </c>
      <c r="B19" s="10" t="s">
        <v>17</v>
      </c>
      <c r="C19" s="28" t="n">
        <f aca="false">IF(輸入與假設!$C$36=1,產能與收入!C7*輸入與假設!C$39/1000*產能與收入!C5,0)</f>
        <v>0</v>
      </c>
      <c r="D19" s="28" t="n">
        <f aca="false">IF(輸入與假設!$C$36=1,產能與收入!D7*輸入與假設!D$39/1000*產能與收入!D5,0)</f>
        <v>0</v>
      </c>
      <c r="E19" s="28" t="n">
        <f aca="false">IF(輸入與假設!$C$36=1,產能與收入!E7*輸入與假設!E$39/1000*產能與收入!E5,0)</f>
        <v>0</v>
      </c>
      <c r="F19" s="28" t="n">
        <f aca="false">IF(輸入與假設!$C$36=1,產能與收入!F7*輸入與假設!F$39/1000*產能與收入!F5,0)</f>
        <v>0</v>
      </c>
      <c r="G19" s="28" t="n">
        <f aca="false">IF(輸入與假設!$C$36=1,產能與收入!G7*輸入與假設!G$39/1000*產能與收入!G5,0)</f>
        <v>0</v>
      </c>
    </row>
    <row r="20" customFormat="false" ht="15" hidden="false" customHeight="false" outlineLevel="1" collapsed="false">
      <c r="A20" s="6" t="s">
        <v>283</v>
      </c>
      <c r="B20" s="10" t="s">
        <v>17</v>
      </c>
      <c r="C20" s="28" t="n">
        <f aca="false">輸入與假設!$C$125+IF(輸入與假設!$C$71=1,輸入與假設!C$84,0)</f>
        <v>9.632</v>
      </c>
      <c r="D20" s="28" t="n">
        <f aca="false">IF(輸入與假設!$C$71=1,輸入與假設!D$84,0)</f>
        <v>6.184</v>
      </c>
      <c r="E20" s="28" t="n">
        <f aca="false">IF(輸入與假設!$C$71=1,輸入與假設!E$84,0)</f>
        <v>4.416</v>
      </c>
      <c r="F20" s="28" t="n">
        <f aca="false">IF(輸入與假設!$C$71=1,輸入與假設!F$84,0)</f>
        <v>2.421</v>
      </c>
      <c r="G20" s="28" t="n">
        <f aca="false">IF(輸入與假設!$C$71=1,輸入與假設!G$84,0)</f>
        <v>3.221</v>
      </c>
      <c r="I20" s="10"/>
    </row>
    <row r="21" customFormat="false" ht="15" hidden="false" customHeight="false" outlineLevel="1" collapsed="false">
      <c r="A21" s="16" t="s">
        <v>284</v>
      </c>
      <c r="B21" s="10" t="s">
        <v>17</v>
      </c>
      <c r="C21" s="28" t="n">
        <f aca="false">輸入與假設!$C$126</f>
        <v>0.492</v>
      </c>
      <c r="D21" s="28" t="n">
        <f aca="false">0</f>
        <v>0</v>
      </c>
      <c r="E21" s="28" t="n">
        <f aca="false">0</f>
        <v>0</v>
      </c>
      <c r="F21" s="28" t="n">
        <f aca="false">0</f>
        <v>0</v>
      </c>
      <c r="G21" s="28" t="n">
        <f aca="false">0</f>
        <v>0</v>
      </c>
      <c r="I21" s="10"/>
    </row>
    <row r="22" customFormat="false" ht="15" hidden="false" customHeight="false" outlineLevel="1" collapsed="false">
      <c r="A22" s="9" t="s">
        <v>285</v>
      </c>
      <c r="B22" s="10" t="s">
        <v>17</v>
      </c>
      <c r="C22" s="31" t="n">
        <f aca="false">C8+C11+C16+C17+C18+C19+C20+C21</f>
        <v>50.7258485986595</v>
      </c>
      <c r="D22" s="31" t="n">
        <f aca="false">D8+D11+D16+D17+D18+D19+D20+D21</f>
        <v>55.3948271205151</v>
      </c>
      <c r="E22" s="31" t="n">
        <f aca="false">E8+E11+E16+E17+E18+E19+E20+E21</f>
        <v>46.457921451295</v>
      </c>
      <c r="F22" s="31" t="n">
        <f aca="false">F8+F11+F16+F17+F18+F19+F20+F21</f>
        <v>45.945492064114</v>
      </c>
      <c r="G22" s="31" t="n">
        <f aca="false">G8+G11+G16+G17+G18+G19+G20+G21</f>
        <v>49.0917730212707</v>
      </c>
      <c r="I22" s="10"/>
    </row>
    <row r="23" customFormat="false" ht="15" hidden="false" customHeight="false" outlineLevel="0" collapsed="false">
      <c r="A23" s="43" t="s">
        <v>286</v>
      </c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1" collapsed="false">
      <c r="A24" s="16" t="s">
        <v>287</v>
      </c>
      <c r="B24" s="10" t="s">
        <v>17</v>
      </c>
      <c r="C24" s="34" t="n">
        <f aca="false">輸入與假設!$C$120</f>
        <v>3.663</v>
      </c>
      <c r="D24" s="34" t="n">
        <f aca="false">0</f>
        <v>0</v>
      </c>
      <c r="E24" s="34" t="n">
        <f aca="false">0</f>
        <v>0</v>
      </c>
      <c r="F24" s="34" t="n">
        <f aca="false">0</f>
        <v>0</v>
      </c>
      <c r="G24" s="34" t="n">
        <f aca="false">0</f>
        <v>0</v>
      </c>
      <c r="I24" s="10"/>
    </row>
    <row r="25" customFormat="false" ht="15" hidden="false" customHeight="false" outlineLevel="1" collapsed="false">
      <c r="A25" s="16" t="s">
        <v>288</v>
      </c>
      <c r="B25" s="10" t="s">
        <v>17</v>
      </c>
      <c r="C25" s="34" t="n">
        <f aca="false">產能與收入!C25</f>
        <v>6.0636895903037</v>
      </c>
      <c r="D25" s="34" t="n">
        <f aca="false">產能與收入!D25</f>
        <v>18.8954249232071</v>
      </c>
      <c r="E25" s="34" t="n">
        <f aca="false">產能與收入!E25</f>
        <v>19.1311823027985</v>
      </c>
      <c r="F25" s="34" t="n">
        <f aca="false">產能與收入!F25</f>
        <v>18.781449967</v>
      </c>
      <c r="G25" s="34" t="n">
        <f aca="false">產能與收入!G25</f>
        <v>13.374716905551</v>
      </c>
    </row>
    <row r="26" customFormat="false" ht="15" hidden="false" customHeight="false" outlineLevel="1" collapsed="false">
      <c r="A26" s="6" t="s">
        <v>289</v>
      </c>
      <c r="B26" s="10" t="s">
        <v>17</v>
      </c>
      <c r="C26" s="34" t="n">
        <f aca="false">產能與收入!C26</f>
        <v>0</v>
      </c>
      <c r="D26" s="34" t="n">
        <f aca="false">產能與收入!D26</f>
        <v>0</v>
      </c>
      <c r="E26" s="34" t="n">
        <f aca="false">產能與收入!E26</f>
        <v>6.78541228626628</v>
      </c>
      <c r="F26" s="34" t="n">
        <f aca="false">產能與收入!F26</f>
        <v>10.826919371542</v>
      </c>
      <c r="G26" s="34" t="n">
        <f aca="false">產能與收入!G26</f>
        <v>17.7594020166549</v>
      </c>
    </row>
    <row r="27" customFormat="false" ht="15" hidden="false" customHeight="false" outlineLevel="1" collapsed="false">
      <c r="A27" s="6" t="s">
        <v>290</v>
      </c>
      <c r="B27" s="10" t="s">
        <v>17</v>
      </c>
      <c r="C27" s="34" t="n">
        <f aca="false">輸入與假設!C$35</f>
        <v>0.224783192677998</v>
      </c>
      <c r="D27" s="34" t="n">
        <f aca="false">輸入與假設!D$35</f>
        <v>0.755760692756674</v>
      </c>
      <c r="E27" s="34" t="n">
        <f aca="false">輸入與假設!E$35</f>
        <v>1.34795457559659</v>
      </c>
      <c r="F27" s="34" t="n">
        <f aca="false">輸入與假設!F$35</f>
        <v>2.11660002119496</v>
      </c>
      <c r="G27" s="34" t="n">
        <f aca="false">輸入與假設!G$35</f>
        <v>2.90837126816542</v>
      </c>
    </row>
    <row r="28" customFormat="false" ht="15" hidden="false" customHeight="false" outlineLevel="1" collapsed="false">
      <c r="A28" s="6" t="s">
        <v>291</v>
      </c>
      <c r="B28" s="10" t="s">
        <v>17</v>
      </c>
      <c r="C28" s="28" t="n">
        <f aca="false">C7</f>
        <v>1.66688</v>
      </c>
      <c r="D28" s="28" t="n">
        <f aca="false">D7</f>
        <v>3.0668</v>
      </c>
      <c r="E28" s="28" t="n">
        <f aca="false">E7</f>
        <v>2.3528</v>
      </c>
      <c r="F28" s="28" t="n">
        <f aca="false">F7</f>
        <v>2.448</v>
      </c>
      <c r="G28" s="28" t="n">
        <f aca="false">G7</f>
        <v>2.5976</v>
      </c>
    </row>
    <row r="29" customFormat="false" ht="15" hidden="false" customHeight="false" outlineLevel="1" collapsed="false">
      <c r="A29" s="9" t="s">
        <v>292</v>
      </c>
      <c r="B29" s="10" t="s">
        <v>17</v>
      </c>
      <c r="C29" s="31" t="n">
        <f aca="false">C24+C25+C26+C27+C28</f>
        <v>11.6183527829817</v>
      </c>
      <c r="D29" s="31" t="n">
        <f aca="false">D24+D25+D26+D27+D28</f>
        <v>22.7179856159638</v>
      </c>
      <c r="E29" s="31" t="n">
        <f aca="false">E24+E25+E26+E27+E28</f>
        <v>29.6173491646613</v>
      </c>
      <c r="F29" s="31" t="n">
        <f aca="false">F24+F25+F26+F27+F28</f>
        <v>34.1729693597369</v>
      </c>
      <c r="G29" s="31" t="n">
        <f aca="false">G24+G25+G26+G27+G28</f>
        <v>36.6400901903713</v>
      </c>
    </row>
    <row r="30" customFormat="false" ht="15" hidden="false" customHeight="false" outlineLevel="1" collapsed="false">
      <c r="A30" s="6" t="s">
        <v>293</v>
      </c>
      <c r="B30" s="10" t="s">
        <v>17</v>
      </c>
      <c r="C30" s="28" t="n">
        <f aca="false">輸入與假設!$C$127+IF(輸入與假設!$C$68=1,輸入與假設!$C$67,0)</f>
        <v>9.182</v>
      </c>
      <c r="D30" s="28" t="n">
        <f aca="false">0</f>
        <v>0</v>
      </c>
      <c r="E30" s="28" t="n">
        <f aca="false">0</f>
        <v>0</v>
      </c>
      <c r="F30" s="28" t="n">
        <f aca="false">0</f>
        <v>0</v>
      </c>
      <c r="G30" s="28" t="n">
        <f aca="false">0</f>
        <v>0</v>
      </c>
      <c r="I30" s="10"/>
    </row>
    <row r="31" customFormat="false" ht="15" hidden="false" customHeight="false" outlineLevel="1" collapsed="false">
      <c r="A31" s="16" t="s">
        <v>294</v>
      </c>
      <c r="B31" s="10" t="s">
        <v>17</v>
      </c>
      <c r="C31" s="34" t="n">
        <f aca="false">輸入與假設!$C$124</f>
        <v>16.747</v>
      </c>
      <c r="D31" s="34" t="n">
        <f aca="false">0</f>
        <v>0</v>
      </c>
      <c r="E31" s="34" t="n">
        <f aca="false">0</f>
        <v>0</v>
      </c>
      <c r="F31" s="34" t="n">
        <f aca="false">0</f>
        <v>0</v>
      </c>
      <c r="G31" s="34" t="n">
        <f aca="false">0</f>
        <v>0</v>
      </c>
      <c r="I31" s="10"/>
    </row>
    <row r="32" customFormat="false" ht="15" hidden="false" customHeight="false" outlineLevel="1" collapsed="false">
      <c r="A32" s="6" t="s">
        <v>295</v>
      </c>
      <c r="B32" s="10" t="s">
        <v>17</v>
      </c>
      <c r="C32" s="28" t="n">
        <f aca="false">C56</f>
        <v>12.5544958156778</v>
      </c>
      <c r="D32" s="28" t="n">
        <f aca="false">D56</f>
        <v>32.6768415045513</v>
      </c>
      <c r="E32" s="28" t="n">
        <f aca="false">E56</f>
        <v>16.8405722866337</v>
      </c>
      <c r="F32" s="28" t="n">
        <f aca="false">F56</f>
        <v>3.13931889313726</v>
      </c>
      <c r="G32" s="28" t="n">
        <f aca="false">G56</f>
        <v>7.17872749999999</v>
      </c>
      <c r="I32" s="3"/>
    </row>
    <row r="33" customFormat="false" ht="15" hidden="false" customHeight="false" outlineLevel="1" collapsed="false">
      <c r="A33" s="6" t="s">
        <v>296</v>
      </c>
      <c r="B33" s="10" t="s">
        <v>17</v>
      </c>
      <c r="C33" s="28" t="n">
        <f aca="false">C59</f>
        <v>0</v>
      </c>
      <c r="D33" s="28" t="n">
        <f aca="false">D59</f>
        <v>0</v>
      </c>
      <c r="E33" s="28" t="n">
        <f aca="false">E59</f>
        <v>0</v>
      </c>
      <c r="F33" s="28" t="n">
        <f aca="false">F59</f>
        <v>8.63320381123975</v>
      </c>
      <c r="G33" s="28" t="n">
        <f aca="false">G59</f>
        <v>5.27295533089938</v>
      </c>
      <c r="I33" s="3"/>
    </row>
    <row r="34" customFormat="false" ht="15" hidden="false" customHeight="false" outlineLevel="1" collapsed="false">
      <c r="A34" s="6" t="s">
        <v>297</v>
      </c>
      <c r="B34" s="10" t="s">
        <v>17</v>
      </c>
      <c r="C34" s="28" t="n">
        <f aca="false">C60</f>
        <v>0</v>
      </c>
      <c r="D34" s="28" t="n">
        <f aca="false">D60</f>
        <v>0</v>
      </c>
      <c r="E34" s="28" t="n">
        <f aca="false">E60</f>
        <v>0</v>
      </c>
      <c r="F34" s="28" t="n">
        <f aca="false">F60</f>
        <v>0</v>
      </c>
      <c r="G34" s="28" t="n">
        <f aca="false">G60</f>
        <v>0</v>
      </c>
      <c r="I34" s="3"/>
    </row>
    <row r="35" customFormat="false" ht="15" hidden="false" customHeight="false" outlineLevel="1" collapsed="false">
      <c r="A35" s="9" t="s">
        <v>298</v>
      </c>
      <c r="B35" s="10" t="s">
        <v>17</v>
      </c>
      <c r="C35" s="31" t="n">
        <f aca="false">C29+C30+C31+C32+C33+C34</f>
        <v>50.1018485986595</v>
      </c>
      <c r="D35" s="31" t="n">
        <f aca="false">D29+D30+D31+D32+D33+D34</f>
        <v>55.3948271205151</v>
      </c>
      <c r="E35" s="31" t="n">
        <f aca="false">E29+E30+E31+E32+E33+E34</f>
        <v>46.457921451295</v>
      </c>
      <c r="F35" s="31" t="n">
        <f aca="false">F29+F30+F31+F32+F33+F34</f>
        <v>45.945492064114</v>
      </c>
      <c r="G35" s="31" t="n">
        <f aca="false">G29+G30+G31+G32+G33+G34</f>
        <v>49.0917730212707</v>
      </c>
    </row>
    <row r="36" customFormat="false" ht="15" hidden="false" customHeight="false" outlineLevel="0" collapsed="false">
      <c r="A36" s="43" t="s">
        <v>299</v>
      </c>
      <c r="B36" s="5"/>
      <c r="C36" s="5"/>
      <c r="D36" s="5"/>
      <c r="E36" s="5"/>
      <c r="F36" s="5"/>
      <c r="G36" s="5"/>
      <c r="H36" s="5"/>
    </row>
    <row r="37" customFormat="false" ht="15" hidden="false" customHeight="false" outlineLevel="1" collapsed="false">
      <c r="A37" s="6" t="s">
        <v>300</v>
      </c>
      <c r="B37" s="10" t="s">
        <v>17</v>
      </c>
      <c r="C37" s="28" t="n">
        <f aca="false">輸入與假設!$C$66-(輸入與假設!$C$119+輸入與假設!$C$120+輸入與假設!$C$124+輸入與假設!$C$127-輸入與假設!$C$121-輸入與假設!$C$123-輸入與假設!$C$125-輸入與假設!$C$126)</f>
        <v>-0.502999999999997</v>
      </c>
      <c r="D37" s="28" t="n">
        <f aca="false">0</f>
        <v>0</v>
      </c>
      <c r="E37" s="28" t="n">
        <f aca="false">0</f>
        <v>0</v>
      </c>
      <c r="F37" s="28" t="n">
        <f aca="false">0</f>
        <v>0</v>
      </c>
      <c r="G37" s="28" t="n">
        <f aca="false">0</f>
        <v>0</v>
      </c>
      <c r="I37" s="3"/>
    </row>
    <row r="38" customFormat="false" ht="15" hidden="false" customHeight="false" outlineLevel="1" collapsed="false">
      <c r="A38" s="9" t="s">
        <v>301</v>
      </c>
      <c r="B38" s="10" t="s">
        <v>17</v>
      </c>
      <c r="C38" s="31" t="n">
        <f aca="false">C29-(C22-C20-C21)</f>
        <v>-28.9834958156778</v>
      </c>
      <c r="D38" s="31" t="n">
        <f aca="false">D29-(D22-D20-D21)</f>
        <v>-26.4928415045513</v>
      </c>
      <c r="E38" s="31" t="n">
        <f aca="false">E29-(E22-E20-E21)</f>
        <v>-12.4245722866337</v>
      </c>
      <c r="F38" s="31" t="n">
        <f aca="false">F29-(F22-F20-F21)</f>
        <v>-9.351522704377</v>
      </c>
      <c r="G38" s="31" t="n">
        <f aca="false">G29-(G22-G20-G21)</f>
        <v>-9.23068283089938</v>
      </c>
      <c r="I38" s="3"/>
    </row>
    <row r="39" customFormat="false" ht="15" hidden="false" customHeight="false" outlineLevel="1" collapsed="false">
      <c r="A39" s="6" t="s">
        <v>302</v>
      </c>
      <c r="B39" s="10" t="s">
        <v>17</v>
      </c>
      <c r="C39" s="28" t="n">
        <f aca="false">C35-C22+C37</f>
        <v>-1.127</v>
      </c>
      <c r="D39" s="28" t="n">
        <f aca="false">D35-D22+D37</f>
        <v>0</v>
      </c>
      <c r="E39" s="28" t="n">
        <f aca="false">E35-E22+E37</f>
        <v>0</v>
      </c>
      <c r="F39" s="28" t="n">
        <f aca="false">F35-F22+F37</f>
        <v>0</v>
      </c>
      <c r="G39" s="28" t="n">
        <f aca="false">G35-G22+G37</f>
        <v>0</v>
      </c>
    </row>
    <row r="40" customFormat="false" ht="15" hidden="false" customHeight="false" outlineLevel="1" collapsed="false">
      <c r="A40" s="9" t="s">
        <v>303</v>
      </c>
      <c r="B40" s="10" t="s">
        <v>17</v>
      </c>
      <c r="C40" s="31" t="n">
        <f aca="false">C13+C39</f>
        <v>2</v>
      </c>
      <c r="D40" s="31" t="n">
        <f aca="false">D13+D39</f>
        <v>2</v>
      </c>
      <c r="E40" s="31" t="n">
        <f aca="false">E13+E39</f>
        <v>2</v>
      </c>
      <c r="F40" s="31" t="n">
        <f aca="false">F13+F39</f>
        <v>2</v>
      </c>
      <c r="G40" s="31" t="n">
        <f aca="false">G13+G39</f>
        <v>2</v>
      </c>
      <c r="I40" s="3"/>
    </row>
    <row r="41" customFormat="false" ht="15" hidden="false" customHeight="false" outlineLevel="0" collapsed="false">
      <c r="A41" s="43" t="s">
        <v>304</v>
      </c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1" collapsed="false">
      <c r="A42" s="6" t="s">
        <v>305</v>
      </c>
      <c r="B42" s="10" t="s">
        <v>17</v>
      </c>
      <c r="C42" s="28" t="n">
        <f aca="false">C8+C11+C12+C17+C18+C19+C20+C21</f>
        <v>50.160896286954</v>
      </c>
      <c r="D42" s="28" t="n">
        <f aca="false">D8+D11+D12+D17+D18+D19+D20+D21</f>
        <v>51.3240067616945</v>
      </c>
      <c r="E42" s="28" t="n">
        <f aca="false">E8+E11+E12+E17+E18+E19+E20+E21</f>
        <v>40.8714495866774</v>
      </c>
      <c r="F42" s="28" t="n">
        <f aca="false">F8+F11+F12+F17+F18+F19+F20+F21</f>
        <v>40.076481499114</v>
      </c>
      <c r="G42" s="28" t="n">
        <f aca="false">G8+G11+G12+G17+G18+G19+G20+G21</f>
        <v>42.5766769812707</v>
      </c>
      <c r="I42" s="3"/>
    </row>
    <row r="43" customFormat="false" ht="15" hidden="false" customHeight="false" outlineLevel="1" collapsed="false">
      <c r="A43" s="6" t="s">
        <v>306</v>
      </c>
      <c r="B43" s="10" t="s">
        <v>17</v>
      </c>
      <c r="C43" s="28" t="n">
        <f aca="false">0</f>
        <v>0</v>
      </c>
      <c r="D43" s="28" t="n">
        <f aca="false">C65</f>
        <v>12.5544958156778</v>
      </c>
      <c r="E43" s="28" t="n">
        <f aca="false">D65</f>
        <v>45.2313373202291</v>
      </c>
      <c r="F43" s="28" t="n">
        <f aca="false">E65</f>
        <v>62.0719096068628</v>
      </c>
      <c r="G43" s="28" t="n">
        <f aca="false">F65</f>
        <v>65.2112285</v>
      </c>
    </row>
    <row r="44" customFormat="false" ht="15" hidden="false" customHeight="false" outlineLevel="1" collapsed="false">
      <c r="A44" s="6" t="s">
        <v>307</v>
      </c>
      <c r="B44" s="10" t="s">
        <v>8</v>
      </c>
      <c r="C44" s="45" t="n">
        <f aca="false">C14*產能與收入!C5</f>
        <v>0.045</v>
      </c>
      <c r="D44" s="45" t="n">
        <f aca="false">D14*產能與收入!D5</f>
        <v>0.09</v>
      </c>
      <c r="E44" s="45" t="n">
        <f aca="false">E14*產能與收入!E5</f>
        <v>0.09</v>
      </c>
      <c r="F44" s="45" t="n">
        <f aca="false">F14*產能與收入!F5</f>
        <v>0.09</v>
      </c>
      <c r="G44" s="45" t="n">
        <f aca="false">G14*產能與收入!G5</f>
        <v>0.09</v>
      </c>
    </row>
    <row r="45" customFormat="false" ht="15" hidden="false" customHeight="false" outlineLevel="1" collapsed="false">
      <c r="A45" s="6" t="s">
        <v>308</v>
      </c>
      <c r="B45" s="10" t="s">
        <v>17</v>
      </c>
      <c r="C45" s="28" t="n">
        <f aca="false">0</f>
        <v>0</v>
      </c>
      <c r="D45" s="28" t="n">
        <f aca="false">C67</f>
        <v>0</v>
      </c>
      <c r="E45" s="28" t="n">
        <f aca="false">D67</f>
        <v>0</v>
      </c>
      <c r="F45" s="28" t="n">
        <f aca="false">E67</f>
        <v>0</v>
      </c>
      <c r="G45" s="28" t="n">
        <f aca="false">F67</f>
        <v>0</v>
      </c>
    </row>
    <row r="46" customFormat="false" ht="15" hidden="false" customHeight="false" outlineLevel="1" collapsed="false">
      <c r="A46" s="6" t="s">
        <v>309</v>
      </c>
      <c r="B46" s="10" t="s">
        <v>8</v>
      </c>
      <c r="C46" s="45" t="n">
        <f aca="false">(輸入與假設!$C$79+IF(輸入與假設!$C$81=1,MAX(0,輸入與假設!$C$80-輸入與假設!$C$82)/10000*輸入與假設!$C$83,0))*產能與收入!C5</f>
        <v>0.06</v>
      </c>
      <c r="D46" s="45" t="n">
        <f aca="false">(輸入與假設!$C$79+IF(輸入與假設!$C$81=1,MAX(0,輸入與假設!$C$80-輸入與假設!$C$82)/10000*輸入與假設!$C$83,0))*產能與收入!D5</f>
        <v>0.12</v>
      </c>
      <c r="E46" s="45" t="n">
        <f aca="false">(輸入與假設!$C$79+IF(輸入與假設!$C$81=1,MAX(0,輸入與假設!$C$80-輸入與假設!$C$82)/10000*輸入與假設!$C$83,0))*產能與收入!E5</f>
        <v>0.12</v>
      </c>
      <c r="F46" s="45" t="n">
        <f aca="false">(輸入與假設!$C$79+IF(輸入與假設!$C$81=1,MAX(0,輸入與假設!$C$80-輸入與假設!$C$82)/10000*輸入與假設!$C$83,0))*產能與收入!F5</f>
        <v>0.12</v>
      </c>
      <c r="G46" s="45" t="n">
        <f aca="false">(輸入與假設!$C$79+IF(輸入與假設!$C$81=1,MAX(0,輸入與假設!$C$80-輸入與假設!$C$82)/10000*輸入與假設!$C$83,0))*產能與收入!G5</f>
        <v>0.12</v>
      </c>
    </row>
    <row r="47" customFormat="false" ht="15" hidden="false" customHeight="false" outlineLevel="1" collapsed="false">
      <c r="A47" s="6" t="s">
        <v>310</v>
      </c>
      <c r="B47" s="10" t="s">
        <v>17</v>
      </c>
      <c r="C47" s="28" t="n">
        <f aca="false">C13+C29+C30+C31+C37-C42-C44*C43-C46*C45</f>
        <v>-9.98954350397226</v>
      </c>
      <c r="D47" s="28" t="n">
        <f aca="false">D13+D29+D30+D31+D37-D42-D44*D43-D46*D45</f>
        <v>-27.7359257691417</v>
      </c>
      <c r="E47" s="28" t="n">
        <f aca="false">E13+E29+E30+E31+E37-E42-E44*E43-E46*E45</f>
        <v>-13.3249207808367</v>
      </c>
      <c r="F47" s="28" t="n">
        <f aca="false">F13+F29+F30+F31+F37-F42-F44*F43-F46*F45</f>
        <v>-9.48998400399466</v>
      </c>
      <c r="G47" s="28" t="n">
        <f aca="false">G13+G29+G30+G31+G37-G42-G44*G43-G46*G45</f>
        <v>-9.80559735589938</v>
      </c>
    </row>
    <row r="48" customFormat="false" ht="15" hidden="false" customHeight="false" outlineLevel="1" collapsed="false">
      <c r="A48" s="9" t="s">
        <v>311</v>
      </c>
      <c r="B48" s="10" t="s">
        <v>17</v>
      </c>
      <c r="C48" s="31" t="n">
        <f aca="false">MAX(0,輸入與假設!$C$74-C47)</f>
        <v>11.9895435039723</v>
      </c>
      <c r="D48" s="31" t="n">
        <f aca="false">MAX(0,輸入與假設!$C$74-D47)</f>
        <v>29.7359257691417</v>
      </c>
      <c r="E48" s="31" t="n">
        <f aca="false">MAX(0,輸入與假設!$C$74-E47)</f>
        <v>15.3249207808367</v>
      </c>
      <c r="F48" s="31" t="n">
        <f aca="false">MAX(0,輸入與假設!$C$74-F47)</f>
        <v>11.4899840039947</v>
      </c>
      <c r="G48" s="31" t="n">
        <f aca="false">MAX(0,輸入與假設!$C$74-G47)</f>
        <v>11.8055973558994</v>
      </c>
    </row>
    <row r="49" customFormat="false" ht="15" hidden="false" customHeight="false" outlineLevel="1" collapsed="false">
      <c r="A49" s="6" t="s">
        <v>312</v>
      </c>
      <c r="B49" s="10" t="s">
        <v>17</v>
      </c>
      <c r="C49" s="28" t="n">
        <f aca="false">輸入與假設!$C$13+輸入與假設!$C$14</f>
        <v>128.7</v>
      </c>
      <c r="D49" s="28" t="n">
        <f aca="false">C51</f>
        <v>115.50825</v>
      </c>
      <c r="E49" s="28" t="n">
        <f aca="false">D51</f>
        <v>89.12475</v>
      </c>
      <c r="F49" s="28" t="n">
        <f aca="false">E51</f>
        <v>99.902412</v>
      </c>
      <c r="G49" s="28" t="n">
        <f aca="false">F51</f>
        <v>87.0282285</v>
      </c>
      <c r="I49" s="10"/>
    </row>
    <row r="50" customFormat="false" ht="15" hidden="false" customHeight="false" outlineLevel="1" collapsed="false">
      <c r="A50" s="6" t="s">
        <v>313</v>
      </c>
      <c r="B50" s="10" t="s">
        <v>17</v>
      </c>
      <c r="C50" s="28" t="n">
        <f aca="false">MAX(0,產能與收入!C18/產能與收入!C5-0)*輸入與假設!$C$73</f>
        <v>0</v>
      </c>
      <c r="D50" s="28" t="n">
        <f aca="false">MAX(0,產能與收入!D18/產能與收入!D5-產能與收入!C18/產能與收入!C5)*輸入與假設!$C$73</f>
        <v>0</v>
      </c>
      <c r="E50" s="28" t="n">
        <f aca="false">MAX(0,產能與收入!E18/產能與收入!E5-產能與收入!D18/產能與收入!D5)*輸入與假設!$C$73</f>
        <v>45.6470775</v>
      </c>
      <c r="F50" s="28" t="n">
        <f aca="false">MAX(0,產能與收入!F18/產能與收入!F5-產能與收入!E18/產能與收入!E5)*輸入與假設!$C$73</f>
        <v>26.689665</v>
      </c>
      <c r="G50" s="28" t="n">
        <f aca="false">MAX(0,產能與收入!G18/產能與收入!G5-產能與收入!F18/產能與收入!F5)*輸入與假設!$C$73</f>
        <v>45.1516575</v>
      </c>
    </row>
    <row r="51" customFormat="false" ht="15" hidden="false" customHeight="false" outlineLevel="1" collapsed="false">
      <c r="A51" s="6" t="s">
        <v>314</v>
      </c>
      <c r="B51" s="10" t="s">
        <v>17</v>
      </c>
      <c r="C51" s="28" t="n">
        <f aca="false">C49-產能與收入!C13-產能與收入!C18+C50</f>
        <v>115.50825</v>
      </c>
      <c r="D51" s="28" t="n">
        <f aca="false">D49-產能與收入!D13-產能與收入!D18+D50</f>
        <v>89.12475</v>
      </c>
      <c r="E51" s="28" t="n">
        <f aca="false">E49-產能與收入!E13-產能與收入!E18+E50</f>
        <v>99.902412</v>
      </c>
      <c r="F51" s="28" t="n">
        <f aca="false">F49-產能與收入!F13-產能與收入!F18+F50</f>
        <v>87.0282285</v>
      </c>
      <c r="G51" s="28" t="n">
        <f aca="false">G49-產能與收入!G13-產能與收入!G18+G50</f>
        <v>90.985956</v>
      </c>
      <c r="I51" s="3"/>
    </row>
    <row r="52" customFormat="false" ht="15" hidden="false" customHeight="false" outlineLevel="1" collapsed="false">
      <c r="A52" s="6" t="s">
        <v>315</v>
      </c>
      <c r="B52" s="10" t="s">
        <v>17</v>
      </c>
      <c r="C52" s="28" t="n">
        <f aca="false">IF(輸入與假設!$C$71=1,收支與融資!C110,35.551)+3.7</f>
        <v>34.838</v>
      </c>
      <c r="D52" s="28" t="n">
        <f aca="false">IF(輸入與假設!$C$71=1,收支與融資!D110,35.551)+3.7</f>
        <v>28.654</v>
      </c>
      <c r="E52" s="28" t="n">
        <f aca="false">IF(輸入與假設!$C$71=1,收支與融資!E110,35.551)+3.7</f>
        <v>24.238</v>
      </c>
      <c r="F52" s="28" t="n">
        <f aca="false">IF(輸入與假設!$C$71=1,收支與融資!F110,35.551)+3.7</f>
        <v>21.817</v>
      </c>
      <c r="G52" s="28" t="n">
        <f aca="false">IF(輸入與假設!$C$71=1,收支與融資!G110,35.551)+3.7</f>
        <v>18.596</v>
      </c>
      <c r="I52" s="3"/>
    </row>
    <row r="53" customFormat="false" ht="15" hidden="false" customHeight="false" outlineLevel="1" collapsed="false">
      <c r="A53" s="6" t="s">
        <v>316</v>
      </c>
      <c r="B53" s="10" t="s">
        <v>17</v>
      </c>
      <c r="C53" s="28" t="n">
        <f aca="false">輸入與假設!$C$72*C51</f>
        <v>115.50825</v>
      </c>
      <c r="D53" s="28" t="n">
        <f aca="false">輸入與假設!$C$72*D51</f>
        <v>89.12475</v>
      </c>
      <c r="E53" s="28" t="n">
        <f aca="false">輸入與假設!$C$72*E51</f>
        <v>99.902412</v>
      </c>
      <c r="F53" s="28" t="n">
        <f aca="false">輸入與假設!$C$72*F51</f>
        <v>87.0282285</v>
      </c>
      <c r="G53" s="28" t="n">
        <f aca="false">輸入與假設!$C$72*G51</f>
        <v>90.985956</v>
      </c>
    </row>
    <row r="54" customFormat="false" ht="15" hidden="false" customHeight="false" outlineLevel="1" collapsed="false">
      <c r="A54" s="6" t="s">
        <v>317</v>
      </c>
      <c r="B54" s="10" t="s">
        <v>17</v>
      </c>
      <c r="C54" s="28" t="n">
        <f aca="false">IF(輸入與假設!$C$70=1,輸入與假設!$C$69,0)</f>
        <v>10</v>
      </c>
      <c r="D54" s="28" t="n">
        <f aca="false">C66</f>
        <v>0</v>
      </c>
      <c r="E54" s="28" t="n">
        <f aca="false">D66</f>
        <v>0</v>
      </c>
      <c r="F54" s="28" t="n">
        <f aca="false">E66</f>
        <v>0</v>
      </c>
      <c r="G54" s="28" t="n">
        <f aca="false">F66</f>
        <v>0</v>
      </c>
    </row>
    <row r="55" customFormat="false" ht="15" hidden="false" customHeight="false" outlineLevel="1" collapsed="false">
      <c r="A55" s="6" t="s">
        <v>318</v>
      </c>
      <c r="B55" s="10" t="s">
        <v>17</v>
      </c>
      <c r="C55" s="28" t="n">
        <f aca="false">MAX(0,C53-(C52+C43),C54)</f>
        <v>80.67025</v>
      </c>
      <c r="D55" s="28" t="n">
        <f aca="false">MAX(0,D53-(D52+D43),D54)</f>
        <v>47.9162541843222</v>
      </c>
      <c r="E55" s="28" t="n">
        <f aca="false">MAX(0,E53-(E52+E43),E54)</f>
        <v>30.4330746797709</v>
      </c>
      <c r="F55" s="28" t="n">
        <f aca="false">MAX(0,F53-(F52+F43),F54)</f>
        <v>3.13931889313726</v>
      </c>
      <c r="G55" s="28" t="n">
        <f aca="false">MAX(0,G53-(G52+G43),G54)</f>
        <v>7.17872749999999</v>
      </c>
      <c r="I55" s="3"/>
    </row>
    <row r="56" customFormat="false" ht="15" hidden="false" customHeight="false" outlineLevel="1" collapsed="false">
      <c r="A56" s="9" t="s">
        <v>319</v>
      </c>
      <c r="B56" s="10" t="s">
        <v>17</v>
      </c>
      <c r="C56" s="31" t="n">
        <f aca="false">MIN(C55,C48/(1-C44))</f>
        <v>12.5544958156778</v>
      </c>
      <c r="D56" s="31" t="n">
        <f aca="false">MIN(D55,D48/(1-D44))</f>
        <v>32.6768415045513</v>
      </c>
      <c r="E56" s="31" t="n">
        <f aca="false">MIN(E55,E48/(1-E44))</f>
        <v>16.8405722866337</v>
      </c>
      <c r="F56" s="31" t="n">
        <f aca="false">MIN(F55,F48/(1-F44))</f>
        <v>3.13931889313726</v>
      </c>
      <c r="G56" s="31" t="n">
        <f aca="false">MIN(G55,G48/(1-G44))</f>
        <v>7.17872749999999</v>
      </c>
      <c r="I56" s="3"/>
    </row>
    <row r="57" customFormat="false" ht="15" hidden="false" customHeight="false" outlineLevel="1" collapsed="false">
      <c r="A57" s="6" t="s">
        <v>320</v>
      </c>
      <c r="B57" s="10" t="s">
        <v>17</v>
      </c>
      <c r="C57" s="28" t="n">
        <f aca="false">MAX(0,C48+C44*C56-C56)</f>
        <v>0</v>
      </c>
      <c r="D57" s="28" t="n">
        <f aca="false">MAX(0,D48+D44*D56-D56)</f>
        <v>0</v>
      </c>
      <c r="E57" s="28" t="n">
        <f aca="false">MAX(0,E48+E44*E56-E56)</f>
        <v>0</v>
      </c>
      <c r="F57" s="28" t="n">
        <f aca="false">MAX(0,F48+F44*F56-F56)</f>
        <v>8.63320381123975</v>
      </c>
      <c r="G57" s="28" t="n">
        <f aca="false">MAX(0,G48+G44*G56-G56)</f>
        <v>5.27295533089938</v>
      </c>
    </row>
    <row r="58" customFormat="false" ht="15" hidden="false" customHeight="false" outlineLevel="1" collapsed="false">
      <c r="A58" s="6" t="s">
        <v>321</v>
      </c>
      <c r="B58" s="10" t="s">
        <v>17</v>
      </c>
      <c r="C58" s="28" t="n">
        <f aca="false">IF(輸入與假設!$C$77&gt;=9,1E+099,輸入與假設!$C$77*輸入與假設!$C$75*輸入與假設!$C$78*產能與收入!C5)</f>
        <v>5.2861245</v>
      </c>
      <c r="D58" s="28" t="n">
        <f aca="false">IF(輸入與假設!$C$77&gt;=9,1E+099,輸入與假設!$C$77*輸入與假設!$C$75*輸入與假設!$C$78*產能與收入!D5)</f>
        <v>10.572249</v>
      </c>
      <c r="E58" s="28" t="n">
        <f aca="false">IF(輸入與假設!$C$77&gt;=9,1E+099,輸入與假設!$C$77*輸入與假設!$C$75*輸入與假設!$C$78*產能與收入!E5)</f>
        <v>10.572249</v>
      </c>
      <c r="F58" s="28" t="n">
        <f aca="false">IF(輸入與假設!$C$77&gt;=9,1E+099,輸入與假設!$C$77*輸入與假設!$C$75*輸入與假設!$C$78*產能與收入!F5)</f>
        <v>10.572249</v>
      </c>
      <c r="G58" s="28" t="n">
        <f aca="false">IF(輸入與假設!$C$77&gt;=9,1E+099,輸入與假設!$C$77*輸入與假設!$C$75*輸入與假設!$C$78*產能與收入!G5)</f>
        <v>10.572249</v>
      </c>
      <c r="I58" s="3"/>
    </row>
    <row r="59" customFormat="false" ht="15" hidden="false" customHeight="false" outlineLevel="1" collapsed="false">
      <c r="A59" s="9" t="s">
        <v>322</v>
      </c>
      <c r="B59" s="10" t="s">
        <v>17</v>
      </c>
      <c r="C59" s="31" t="n">
        <f aca="false">MIN(C57,C58)</f>
        <v>0</v>
      </c>
      <c r="D59" s="31" t="n">
        <f aca="false">MIN(D57,D58)</f>
        <v>0</v>
      </c>
      <c r="E59" s="31" t="n">
        <f aca="false">MIN(E57,E58)</f>
        <v>0</v>
      </c>
      <c r="F59" s="31" t="n">
        <f aca="false">MIN(F57,F58)</f>
        <v>8.63320381123975</v>
      </c>
      <c r="G59" s="31" t="n">
        <f aca="false">MIN(G57,G58)</f>
        <v>5.27295533089938</v>
      </c>
    </row>
    <row r="60" customFormat="false" ht="15" hidden="false" customHeight="false" outlineLevel="1" collapsed="false">
      <c r="A60" s="9" t="s">
        <v>323</v>
      </c>
      <c r="B60" s="10" t="s">
        <v>17</v>
      </c>
      <c r="C60" s="31" t="n">
        <f aca="false">(C57-C59)/(1-C46)</f>
        <v>0</v>
      </c>
      <c r="D60" s="31" t="n">
        <f aca="false">(D57-D59)/(1-D46)</f>
        <v>0</v>
      </c>
      <c r="E60" s="31" t="n">
        <f aca="false">(E57-E59)/(1-E46)</f>
        <v>0</v>
      </c>
      <c r="F60" s="31" t="n">
        <f aca="false">(F57-F59)/(1-F46)</f>
        <v>0</v>
      </c>
      <c r="G60" s="31" t="n">
        <f aca="false">(G57-G59)/(1-G46)</f>
        <v>0</v>
      </c>
    </row>
    <row r="61" customFormat="false" ht="15" hidden="false" customHeight="false" outlineLevel="1" collapsed="false">
      <c r="A61" s="6" t="s">
        <v>324</v>
      </c>
      <c r="B61" s="10" t="s">
        <v>17</v>
      </c>
      <c r="C61" s="28" t="n">
        <f aca="false">C44*(C43+C56)+C46*(C45+C60)</f>
        <v>0.564952311705499</v>
      </c>
      <c r="D61" s="28" t="n">
        <f aca="false">D44*(D43+D56)+D46*(D45+D60)</f>
        <v>4.07082035882062</v>
      </c>
      <c r="E61" s="28" t="n">
        <f aca="false">E44*(E43+E56)+E46*(E45+E60)</f>
        <v>5.58647186461765</v>
      </c>
      <c r="F61" s="28" t="n">
        <f aca="false">F44*(F43+F56)+F46*(F45+F60)</f>
        <v>5.869010565</v>
      </c>
      <c r="G61" s="28" t="n">
        <f aca="false">G44*(G43+G56)+G46*(G45+G60)</f>
        <v>6.51509604</v>
      </c>
    </row>
    <row r="62" customFormat="false" ht="15" hidden="false" customHeight="false" outlineLevel="1" collapsed="false">
      <c r="A62" s="6" t="s">
        <v>325</v>
      </c>
      <c r="B62" s="10" t="s">
        <v>5</v>
      </c>
      <c r="C62" s="46" t="n">
        <f aca="false">輸入與假設!$C$75*(1-輸入與假設!$C$76)</f>
        <v>81.117</v>
      </c>
      <c r="D62" s="46" t="n">
        <f aca="false">輸入與假設!$C$75*(1-輸入與假設!$C$76)</f>
        <v>81.117</v>
      </c>
      <c r="E62" s="46" t="n">
        <f aca="false">輸入與假設!$C$75*(1-輸入與假設!$C$76)</f>
        <v>81.117</v>
      </c>
      <c r="F62" s="46" t="n">
        <f aca="false">輸入與假設!$C$75*(1-輸入與假設!$C$76)</f>
        <v>81.117</v>
      </c>
      <c r="G62" s="46" t="n">
        <f aca="false">輸入與假設!$C$75*(1-輸入與假設!$C$76)</f>
        <v>81.117</v>
      </c>
    </row>
    <row r="63" customFormat="false" ht="15" hidden="false" customHeight="false" outlineLevel="1" collapsed="false">
      <c r="A63" s="6" t="s">
        <v>326</v>
      </c>
      <c r="B63" s="10" t="s">
        <v>162</v>
      </c>
      <c r="C63" s="47" t="n">
        <f aca="false">C59/C62</f>
        <v>0</v>
      </c>
      <c r="D63" s="47" t="n">
        <f aca="false">D59/D62</f>
        <v>0</v>
      </c>
      <c r="E63" s="47" t="n">
        <f aca="false">E59/E62</f>
        <v>0</v>
      </c>
      <c r="F63" s="47" t="n">
        <f aca="false">F59/F62</f>
        <v>0.106429032277325</v>
      </c>
      <c r="G63" s="47" t="n">
        <f aca="false">G59/G62</f>
        <v>0.0650043188345154</v>
      </c>
    </row>
    <row r="64" customFormat="false" ht="15" hidden="false" customHeight="false" outlineLevel="1" collapsed="false">
      <c r="A64" s="9" t="s">
        <v>327</v>
      </c>
      <c r="B64" s="10" t="s">
        <v>162</v>
      </c>
      <c r="C64" s="48" t="n">
        <f aca="false">C63</f>
        <v>0</v>
      </c>
      <c r="D64" s="48" t="n">
        <f aca="false">C64+D63</f>
        <v>0</v>
      </c>
      <c r="E64" s="48" t="n">
        <f aca="false">D64+E63</f>
        <v>0</v>
      </c>
      <c r="F64" s="48" t="n">
        <f aca="false">E64+F63</f>
        <v>0.106429032277325</v>
      </c>
      <c r="G64" s="48" t="n">
        <f aca="false">F64+G63</f>
        <v>0.17143335111184</v>
      </c>
    </row>
    <row r="65" customFormat="false" ht="15" hidden="false" customHeight="false" outlineLevel="1" collapsed="false">
      <c r="A65" s="6" t="s">
        <v>328</v>
      </c>
      <c r="B65" s="10" t="s">
        <v>17</v>
      </c>
      <c r="C65" s="28" t="n">
        <f aca="false">C43+C56</f>
        <v>12.5544958156778</v>
      </c>
      <c r="D65" s="28" t="n">
        <f aca="false">D43+D56</f>
        <v>45.2313373202291</v>
      </c>
      <c r="E65" s="28" t="n">
        <f aca="false">E43+E56</f>
        <v>62.0719096068628</v>
      </c>
      <c r="F65" s="28" t="n">
        <f aca="false">F43+F56</f>
        <v>65.2112285</v>
      </c>
      <c r="G65" s="28" t="n">
        <f aca="false">G43+G56</f>
        <v>72.389956</v>
      </c>
    </row>
    <row r="66" customFormat="false" ht="15" hidden="false" customHeight="false" outlineLevel="1" collapsed="false">
      <c r="A66" s="6" t="s">
        <v>329</v>
      </c>
      <c r="B66" s="10" t="s">
        <v>17</v>
      </c>
      <c r="C66" s="28" t="n">
        <f aca="false">C54-MIN(C54,C56)</f>
        <v>0</v>
      </c>
      <c r="D66" s="28" t="n">
        <f aca="false">D54-MIN(D54,D56)</f>
        <v>0</v>
      </c>
      <c r="E66" s="28" t="n">
        <f aca="false">E54-MIN(E54,E56)</f>
        <v>0</v>
      </c>
      <c r="F66" s="28" t="n">
        <f aca="false">F54-MIN(F54,F56)</f>
        <v>0</v>
      </c>
      <c r="G66" s="28" t="n">
        <f aca="false">G54-MIN(G54,G56)</f>
        <v>0</v>
      </c>
    </row>
    <row r="67" customFormat="false" ht="15" hidden="false" customHeight="false" outlineLevel="1" collapsed="false">
      <c r="A67" s="6" t="s">
        <v>330</v>
      </c>
      <c r="B67" s="10" t="s">
        <v>17</v>
      </c>
      <c r="C67" s="28" t="n">
        <f aca="false">C45+C60</f>
        <v>0</v>
      </c>
      <c r="D67" s="28" t="n">
        <f aca="false">D45+D60</f>
        <v>0</v>
      </c>
      <c r="E67" s="28" t="n">
        <f aca="false">E45+E60</f>
        <v>0</v>
      </c>
      <c r="F67" s="28" t="n">
        <f aca="false">F45+F60</f>
        <v>0</v>
      </c>
      <c r="G67" s="28" t="n">
        <f aca="false">G45+G60</f>
        <v>0</v>
      </c>
    </row>
    <row r="68" customFormat="false" ht="15" hidden="false" customHeight="false" outlineLevel="1" collapsed="false">
      <c r="A68" s="9" t="s">
        <v>331</v>
      </c>
      <c r="B68" s="10" t="s">
        <v>17</v>
      </c>
      <c r="C68" s="31" t="n">
        <f aca="false">C52+C65+C67</f>
        <v>47.3924958156778</v>
      </c>
      <c r="D68" s="31" t="n">
        <f aca="false">D52+D65+D67</f>
        <v>73.8853373202291</v>
      </c>
      <c r="E68" s="31" t="n">
        <f aca="false">E52+E65+E67</f>
        <v>86.3099096068628</v>
      </c>
      <c r="F68" s="31" t="n">
        <f aca="false">F52+F65+F67</f>
        <v>87.0282285</v>
      </c>
      <c r="G68" s="31" t="n">
        <f aca="false">G52+G65+G67</f>
        <v>90.985956</v>
      </c>
    </row>
    <row r="69" customFormat="false" ht="15" hidden="false" customHeight="false" outlineLevel="1" collapsed="false">
      <c r="A69" s="9" t="s">
        <v>332</v>
      </c>
      <c r="B69" s="10" t="s">
        <v>17</v>
      </c>
      <c r="C69" s="31" t="n">
        <f aca="false">C13+C29+C30+C31+C37-C42</f>
        <v>-9.98954350397226</v>
      </c>
      <c r="D69" s="31" t="n">
        <f aca="false">C69+D29+D30-D42</f>
        <v>-38.5955646497029</v>
      </c>
      <c r="E69" s="31" t="n">
        <f aca="false">D69+E29+E30-E42</f>
        <v>-49.849665071719</v>
      </c>
      <c r="F69" s="31" t="n">
        <f aca="false">E69+F29+F30-F42</f>
        <v>-55.753177211096</v>
      </c>
      <c r="G69" s="31" t="n">
        <f aca="false">F69+G29+G30-G42</f>
        <v>-61.6897640019954</v>
      </c>
      <c r="I69" s="3"/>
    </row>
    <row r="70" customFormat="false" ht="15" hidden="false" customHeight="false" outlineLevel="0" collapsed="true">
      <c r="A70" s="43" t="s">
        <v>333</v>
      </c>
      <c r="B70" s="5"/>
      <c r="C70" s="5"/>
      <c r="D70" s="5"/>
      <c r="E70" s="5"/>
      <c r="F70" s="5"/>
      <c r="G70" s="5"/>
      <c r="H70" s="5"/>
    </row>
    <row r="71" customFormat="false" ht="15" hidden="true" customHeight="false" outlineLevel="1" collapsed="false">
      <c r="A71" s="6" t="s">
        <v>334</v>
      </c>
      <c r="C71" s="49" t="n">
        <f aca="false">輸入與假設!$C$119</f>
        <v>3.127</v>
      </c>
    </row>
    <row r="72" customFormat="false" ht="15" hidden="true" customHeight="false" outlineLevel="1" collapsed="false">
      <c r="A72" s="6" t="s">
        <v>335</v>
      </c>
      <c r="C72" s="49" t="n">
        <f aca="false">SUM(C38:G38)</f>
        <v>-86.4831151421392</v>
      </c>
    </row>
    <row r="73" customFormat="false" ht="15" hidden="true" customHeight="false" outlineLevel="1" collapsed="false">
      <c r="A73" s="6" t="s">
        <v>336</v>
      </c>
      <c r="C73" s="49" t="n">
        <f aca="false">SUM(C30:G30)</f>
        <v>9.182</v>
      </c>
    </row>
    <row r="74" customFormat="false" ht="15" hidden="true" customHeight="false" outlineLevel="1" collapsed="false">
      <c r="A74" s="6" t="s">
        <v>337</v>
      </c>
      <c r="C74" s="49" t="n">
        <f aca="false">SUM(C31:G31)</f>
        <v>16.747</v>
      </c>
    </row>
    <row r="75" customFormat="false" ht="15" hidden="true" customHeight="false" outlineLevel="1" collapsed="false">
      <c r="A75" s="16" t="s">
        <v>338</v>
      </c>
      <c r="C75" s="49" t="n">
        <f aca="false">-SUM(C21:G21)</f>
        <v>-0.492</v>
      </c>
    </row>
    <row r="76" customFormat="false" ht="15" hidden="true" customHeight="false" outlineLevel="1" collapsed="false">
      <c r="A76" s="6" t="s">
        <v>339</v>
      </c>
      <c r="C76" s="49" t="n">
        <f aca="false">SUM(C37:G37)</f>
        <v>-0.502999999999997</v>
      </c>
    </row>
    <row r="77" customFormat="false" ht="15" hidden="true" customHeight="false" outlineLevel="1" collapsed="false">
      <c r="A77" s="6" t="s">
        <v>340</v>
      </c>
      <c r="C77" s="49" t="n">
        <f aca="false">SUM(C32:G32)+SUM(C33:G33)+SUM(C34:G34)</f>
        <v>86.2961151421391</v>
      </c>
    </row>
    <row r="78" customFormat="false" ht="15" hidden="true" customHeight="false" outlineLevel="1" collapsed="false">
      <c r="A78" s="6" t="s">
        <v>341</v>
      </c>
      <c r="C78" s="49" t="n">
        <f aca="false">-SUM(C20:G20)</f>
        <v>-25.874</v>
      </c>
    </row>
    <row r="79" customFormat="false" ht="15" hidden="true" customHeight="false" outlineLevel="1" collapsed="false">
      <c r="A79" s="9" t="s">
        <v>342</v>
      </c>
      <c r="C79" s="50" t="n">
        <f aca="false">SUM(C71:C78)</f>
        <v>1.99999999999998</v>
      </c>
    </row>
    <row r="80" customFormat="false" ht="15" hidden="true" customHeight="false" outlineLevel="1" collapsed="false">
      <c r="A80" s="6" t="s">
        <v>343</v>
      </c>
      <c r="C80" s="49" t="n">
        <f aca="false">G40</f>
        <v>2</v>
      </c>
    </row>
    <row r="81" customFormat="false" ht="15" hidden="true" customHeight="false" outlineLevel="1" collapsed="false">
      <c r="A81" s="9" t="s">
        <v>344</v>
      </c>
      <c r="C81" s="49" t="n">
        <f aca="false">C79-C80</f>
        <v>-2.57571741713036E-014</v>
      </c>
      <c r="I81" s="3"/>
    </row>
    <row r="82" customFormat="false" ht="15" hidden="false" customHeight="false" outlineLevel="0" collapsed="true">
      <c r="A82" s="4" t="s">
        <v>345</v>
      </c>
      <c r="B82" s="5"/>
      <c r="C82" s="5"/>
      <c r="D82" s="5"/>
      <c r="E82" s="5"/>
      <c r="F82" s="5"/>
      <c r="G82" s="5"/>
      <c r="H82" s="5"/>
    </row>
    <row r="84" customFormat="false" ht="19.4" hidden="false" customHeight="false" outlineLevel="0" collapsed="false">
      <c r="A84" s="2" t="s">
        <v>346</v>
      </c>
      <c r="H84" s="1"/>
    </row>
    <row r="85" customFormat="false" ht="15" hidden="false" customHeight="false" outlineLevel="0" collapsed="false">
      <c r="A85" s="3" t="s">
        <v>347</v>
      </c>
      <c r="H85" s="1"/>
    </row>
    <row r="86" customFormat="false" ht="15" hidden="false" customHeight="false" outlineLevel="0" collapsed="false">
      <c r="H86" s="1"/>
    </row>
    <row r="87" customFormat="false" ht="15" hidden="false" customHeight="false" outlineLevel="0" collapsed="false">
      <c r="A87" s="15" t="s">
        <v>348</v>
      </c>
      <c r="B87" s="15" t="s">
        <v>349</v>
      </c>
      <c r="C87" s="15" t="s">
        <v>350</v>
      </c>
      <c r="D87" s="15" t="s">
        <v>351</v>
      </c>
      <c r="E87" s="51" t="s">
        <v>352</v>
      </c>
      <c r="F87" s="15" t="s">
        <v>353</v>
      </c>
      <c r="H87" s="1"/>
      <c r="I87" s="15"/>
    </row>
    <row r="88" customFormat="false" ht="15" hidden="false" customHeight="false" outlineLevel="0" collapsed="false">
      <c r="A88" s="16" t="s">
        <v>354</v>
      </c>
      <c r="B88" s="3" t="s">
        <v>355</v>
      </c>
      <c r="C88" s="10" t="s">
        <v>356</v>
      </c>
      <c r="D88" s="21" t="n">
        <v>0.15</v>
      </c>
      <c r="E88" s="22" t="n">
        <v>1.3</v>
      </c>
      <c r="F88" s="52" t="n">
        <f aca="false">D88*E88</f>
        <v>0.195</v>
      </c>
      <c r="H88" s="1"/>
      <c r="I88" s="3"/>
    </row>
    <row r="89" customFormat="false" ht="15" hidden="false" customHeight="false" outlineLevel="0" collapsed="false">
      <c r="A89" s="16" t="s">
        <v>357</v>
      </c>
      <c r="B89" s="3" t="s">
        <v>355</v>
      </c>
      <c r="C89" s="10" t="s">
        <v>358</v>
      </c>
      <c r="D89" s="21" t="n">
        <v>0.11</v>
      </c>
      <c r="E89" s="22" t="n">
        <v>3.19</v>
      </c>
      <c r="F89" s="52" t="n">
        <f aca="false">D89*E89</f>
        <v>0.3509</v>
      </c>
      <c r="H89" s="1"/>
      <c r="I89" s="10"/>
    </row>
    <row r="90" customFormat="false" ht="15" hidden="false" customHeight="false" outlineLevel="0" collapsed="false">
      <c r="A90" s="16" t="s">
        <v>359</v>
      </c>
      <c r="B90" s="3" t="s">
        <v>355</v>
      </c>
      <c r="C90" s="10" t="s">
        <v>360</v>
      </c>
      <c r="D90" s="21" t="n">
        <v>0.09</v>
      </c>
      <c r="E90" s="22" t="n">
        <v>3</v>
      </c>
      <c r="F90" s="52" t="n">
        <f aca="false">D90*E90</f>
        <v>0.27</v>
      </c>
      <c r="H90" s="1"/>
      <c r="I90" s="10"/>
    </row>
    <row r="91" customFormat="false" ht="15" hidden="false" customHeight="false" outlineLevel="0" collapsed="false">
      <c r="A91" s="16" t="s">
        <v>361</v>
      </c>
      <c r="B91" s="3" t="s">
        <v>355</v>
      </c>
      <c r="C91" s="10" t="s">
        <v>358</v>
      </c>
      <c r="D91" s="21" t="n">
        <v>0.09</v>
      </c>
      <c r="E91" s="22" t="n">
        <v>2.215</v>
      </c>
      <c r="F91" s="52" t="n">
        <f aca="false">D91*E91</f>
        <v>0.19935</v>
      </c>
      <c r="H91" s="1"/>
      <c r="I91" s="10"/>
    </row>
    <row r="92" customFormat="false" ht="15" hidden="false" customHeight="false" outlineLevel="0" collapsed="false">
      <c r="A92" s="16" t="s">
        <v>362</v>
      </c>
      <c r="B92" s="3" t="s">
        <v>355</v>
      </c>
      <c r="C92" s="10" t="s">
        <v>363</v>
      </c>
      <c r="D92" s="21" t="n">
        <v>0.09</v>
      </c>
      <c r="E92" s="22" t="n">
        <v>1.101</v>
      </c>
      <c r="F92" s="52" t="n">
        <f aca="false">D92*E92</f>
        <v>0.09909</v>
      </c>
      <c r="H92" s="1"/>
      <c r="I92" s="10"/>
    </row>
    <row r="93" customFormat="false" ht="15" hidden="false" customHeight="false" outlineLevel="0" collapsed="false">
      <c r="A93" s="16" t="s">
        <v>364</v>
      </c>
      <c r="B93" s="3" t="s">
        <v>355</v>
      </c>
      <c r="C93" s="10" t="s">
        <v>365</v>
      </c>
      <c r="D93" s="21" t="n">
        <v>0.1</v>
      </c>
      <c r="E93" s="22" t="n">
        <v>2</v>
      </c>
      <c r="F93" s="52" t="n">
        <f aca="false">D93*E93</f>
        <v>0.2</v>
      </c>
      <c r="H93" s="1"/>
      <c r="I93" s="3"/>
    </row>
    <row r="94" customFormat="false" ht="15" hidden="false" customHeight="false" outlineLevel="0" collapsed="false">
      <c r="A94" s="16" t="s">
        <v>366</v>
      </c>
      <c r="B94" s="3" t="s">
        <v>355</v>
      </c>
      <c r="C94" s="10" t="s">
        <v>367</v>
      </c>
      <c r="D94" s="21" t="n">
        <v>0.1</v>
      </c>
      <c r="E94" s="22" t="n">
        <v>1.75</v>
      </c>
      <c r="F94" s="52" t="n">
        <f aca="false">D94*E94</f>
        <v>0.175</v>
      </c>
      <c r="H94" s="1"/>
      <c r="I94" s="10"/>
    </row>
    <row r="95" customFormat="false" ht="15" hidden="false" customHeight="false" outlineLevel="0" collapsed="false">
      <c r="A95" s="16" t="s">
        <v>368</v>
      </c>
      <c r="B95" s="3" t="s">
        <v>355</v>
      </c>
      <c r="C95" s="10" t="s">
        <v>369</v>
      </c>
      <c r="D95" s="21" t="n">
        <v>0.1</v>
      </c>
      <c r="E95" s="22" t="n">
        <v>2.75</v>
      </c>
      <c r="F95" s="52" t="n">
        <f aca="false">D95*E95</f>
        <v>0.275</v>
      </c>
      <c r="H95" s="1"/>
      <c r="I95" s="10"/>
    </row>
    <row r="96" customFormat="false" ht="15" hidden="false" customHeight="false" outlineLevel="0" collapsed="false">
      <c r="A96" s="16" t="s">
        <v>370</v>
      </c>
      <c r="B96" s="3" t="s">
        <v>355</v>
      </c>
      <c r="C96" s="10" t="s">
        <v>371</v>
      </c>
      <c r="D96" s="21" t="n">
        <v>0.1</v>
      </c>
      <c r="E96" s="22" t="n">
        <v>1.25</v>
      </c>
      <c r="F96" s="52" t="n">
        <f aca="false">D96*E96</f>
        <v>0.125</v>
      </c>
      <c r="H96" s="1"/>
      <c r="I96" s="10"/>
    </row>
    <row r="97" customFormat="false" ht="15" hidden="false" customHeight="false" outlineLevel="0" collapsed="false">
      <c r="A97" s="16" t="s">
        <v>372</v>
      </c>
      <c r="B97" s="3" t="s">
        <v>355</v>
      </c>
      <c r="C97" s="10" t="s">
        <v>371</v>
      </c>
      <c r="D97" s="21" t="n">
        <v>0.09</v>
      </c>
      <c r="E97" s="22" t="n">
        <v>2.279</v>
      </c>
      <c r="F97" s="52" t="n">
        <f aca="false">D97*E97</f>
        <v>0.20511</v>
      </c>
      <c r="H97" s="1"/>
      <c r="I97" s="3"/>
    </row>
    <row r="98" customFormat="false" ht="15" hidden="false" customHeight="false" outlineLevel="0" collapsed="false">
      <c r="A98" s="16" t="s">
        <v>373</v>
      </c>
      <c r="B98" s="3" t="s">
        <v>355</v>
      </c>
      <c r="C98" s="10" t="s">
        <v>374</v>
      </c>
      <c r="D98" s="21" t="n">
        <v>0.02</v>
      </c>
      <c r="E98" s="22" t="n">
        <v>2.588</v>
      </c>
      <c r="F98" s="52" t="n">
        <f aca="false">D98*E98</f>
        <v>0.05176</v>
      </c>
      <c r="H98" s="1"/>
      <c r="I98" s="10"/>
    </row>
    <row r="99" customFormat="false" ht="15" hidden="false" customHeight="false" outlineLevel="0" collapsed="false">
      <c r="A99" s="16" t="s">
        <v>375</v>
      </c>
      <c r="B99" s="3" t="s">
        <v>355</v>
      </c>
      <c r="C99" s="10" t="s">
        <v>376</v>
      </c>
      <c r="D99" s="21" t="n">
        <v>0.02</v>
      </c>
      <c r="E99" s="22" t="n">
        <v>4</v>
      </c>
      <c r="F99" s="52" t="n">
        <f aca="false">D99*E99</f>
        <v>0.08</v>
      </c>
      <c r="H99" s="1"/>
      <c r="I99" s="3"/>
    </row>
    <row r="100" customFormat="false" ht="15" hidden="false" customHeight="false" outlineLevel="0" collapsed="false">
      <c r="A100" s="16" t="s">
        <v>377</v>
      </c>
      <c r="B100" s="3" t="s">
        <v>355</v>
      </c>
      <c r="C100" s="10" t="s">
        <v>378</v>
      </c>
      <c r="D100" s="21" t="n">
        <v>0.11</v>
      </c>
      <c r="E100" s="22" t="n">
        <v>4.22</v>
      </c>
      <c r="F100" s="52" t="n">
        <f aca="false">D100*E100</f>
        <v>0.4642</v>
      </c>
      <c r="H100" s="1"/>
      <c r="I100" s="3"/>
    </row>
    <row r="101" customFormat="false" ht="15" hidden="false" customHeight="false" outlineLevel="0" collapsed="false">
      <c r="A101" s="16" t="s">
        <v>379</v>
      </c>
      <c r="B101" s="3" t="s">
        <v>355</v>
      </c>
      <c r="C101" s="10" t="s">
        <v>380</v>
      </c>
      <c r="D101" s="21" t="n">
        <v>0.12</v>
      </c>
      <c r="E101" s="22" t="n">
        <v>0.189</v>
      </c>
      <c r="F101" s="52" t="n">
        <f aca="false">D101*E101</f>
        <v>0.02268</v>
      </c>
      <c r="H101" s="1"/>
      <c r="I101" s="10"/>
    </row>
    <row r="102" customFormat="false" ht="15" hidden="false" customHeight="false" outlineLevel="0" collapsed="false">
      <c r="A102" s="16" t="s">
        <v>381</v>
      </c>
      <c r="B102" s="3" t="s">
        <v>382</v>
      </c>
      <c r="C102" s="10" t="s">
        <v>383</v>
      </c>
      <c r="D102" s="21" t="n">
        <v>0.07</v>
      </c>
      <c r="E102" s="22" t="n">
        <v>2.837</v>
      </c>
      <c r="F102" s="52" t="n">
        <f aca="false">D102*E102</f>
        <v>0.19859</v>
      </c>
      <c r="H102" s="1"/>
      <c r="I102" s="10"/>
    </row>
    <row r="103" customFormat="false" ht="15" hidden="false" customHeight="false" outlineLevel="0" collapsed="false">
      <c r="A103" s="16" t="s">
        <v>384</v>
      </c>
      <c r="B103" s="3" t="s">
        <v>382</v>
      </c>
      <c r="C103" s="10" t="s">
        <v>385</v>
      </c>
      <c r="D103" s="21" t="n">
        <v>0.09</v>
      </c>
      <c r="E103" s="22" t="n">
        <v>0.882</v>
      </c>
      <c r="F103" s="52" t="n">
        <f aca="false">D103*E103</f>
        <v>0.07938</v>
      </c>
      <c r="H103" s="1"/>
      <c r="I103" s="10"/>
    </row>
    <row r="104" customFormat="false" ht="15" hidden="false" customHeight="false" outlineLevel="0" collapsed="false">
      <c r="A104" s="9" t="s">
        <v>386</v>
      </c>
      <c r="E104" s="50" t="n">
        <f aca="false">SUM(E88:E103)</f>
        <v>35.551</v>
      </c>
      <c r="F104" s="50" t="n">
        <f aca="false">SUM(F88:F103)</f>
        <v>2.99106</v>
      </c>
      <c r="H104" s="1"/>
      <c r="I104" s="3"/>
    </row>
    <row r="105" customFormat="false" ht="15" hidden="false" customHeight="false" outlineLevel="0" collapsed="false">
      <c r="A105" s="9" t="s">
        <v>387</v>
      </c>
      <c r="D105" s="53" t="n">
        <f aca="false">F104/E104</f>
        <v>0.084134342212596</v>
      </c>
      <c r="H105" s="1"/>
      <c r="I105" s="3"/>
    </row>
    <row r="106" customFormat="false" ht="15" hidden="false" customHeight="false" outlineLevel="0" collapsed="false">
      <c r="A106" s="16" t="s">
        <v>388</v>
      </c>
      <c r="D106" s="54" t="n">
        <v>0.02875</v>
      </c>
      <c r="E106" s="22" t="n">
        <v>3.7</v>
      </c>
      <c r="F106" s="8" t="n">
        <f aca="false">D106*E106</f>
        <v>0.106375</v>
      </c>
      <c r="H106" s="1"/>
      <c r="I106" s="3"/>
    </row>
    <row r="107" customFormat="false" ht="15" hidden="false" customHeight="false" outlineLevel="0" collapsed="false">
      <c r="A107" s="43" t="s">
        <v>389</v>
      </c>
      <c r="B107" s="5"/>
      <c r="C107" s="5"/>
      <c r="D107" s="5"/>
      <c r="E107" s="5"/>
      <c r="F107" s="5"/>
      <c r="G107" s="5"/>
      <c r="H107" s="5"/>
    </row>
    <row r="108" customFormat="false" ht="15" hidden="false" customHeight="false" outlineLevel="0" collapsed="false">
      <c r="A108" s="6" t="s">
        <v>390</v>
      </c>
      <c r="B108" s="10" t="s">
        <v>17</v>
      </c>
      <c r="C108" s="52" t="n">
        <f aca="false">E104</f>
        <v>35.551</v>
      </c>
      <c r="D108" s="52" t="n">
        <f aca="false">C110</f>
        <v>31.138</v>
      </c>
      <c r="E108" s="52" t="n">
        <f aca="false">D110</f>
        <v>24.954</v>
      </c>
      <c r="F108" s="52" t="n">
        <f aca="false">E110</f>
        <v>20.538</v>
      </c>
      <c r="G108" s="52" t="n">
        <f aca="false">F110</f>
        <v>18.117</v>
      </c>
      <c r="H108" s="1"/>
      <c r="I108" s="10"/>
    </row>
    <row r="109" customFormat="false" ht="15" hidden="false" customHeight="false" outlineLevel="0" collapsed="false">
      <c r="A109" s="6" t="s">
        <v>391</v>
      </c>
      <c r="B109" s="10" t="s">
        <v>17</v>
      </c>
      <c r="C109" s="34" t="n">
        <f aca="false">輸入與假設!C$84</f>
        <v>4.413</v>
      </c>
      <c r="D109" s="34" t="n">
        <f aca="false">輸入與假設!D$84</f>
        <v>6.184</v>
      </c>
      <c r="E109" s="34" t="n">
        <f aca="false">輸入與假設!E$84</f>
        <v>4.416</v>
      </c>
      <c r="F109" s="34" t="n">
        <f aca="false">輸入與假設!F$84</f>
        <v>2.421</v>
      </c>
      <c r="G109" s="34" t="n">
        <f aca="false">輸入與假設!G$84</f>
        <v>3.221</v>
      </c>
      <c r="H109" s="1"/>
      <c r="I109" s="10"/>
    </row>
    <row r="110" customFormat="false" ht="15" hidden="false" customHeight="false" outlineLevel="0" collapsed="false">
      <c r="A110" s="6" t="s">
        <v>392</v>
      </c>
      <c r="B110" s="10" t="s">
        <v>17</v>
      </c>
      <c r="C110" s="52" t="n">
        <f aca="false">C108-C109</f>
        <v>31.138</v>
      </c>
      <c r="D110" s="52" t="n">
        <f aca="false">D108-D109</f>
        <v>24.954</v>
      </c>
      <c r="E110" s="52" t="n">
        <f aca="false">E108-E109</f>
        <v>20.538</v>
      </c>
      <c r="F110" s="52" t="n">
        <f aca="false">F108-F109</f>
        <v>18.117</v>
      </c>
      <c r="G110" s="52" t="n">
        <f aca="false">G108-G109</f>
        <v>14.896</v>
      </c>
      <c r="H110" s="1"/>
    </row>
    <row r="111" customFormat="false" ht="15" hidden="false" customHeight="false" outlineLevel="0" collapsed="false">
      <c r="A111" s="6" t="s">
        <v>393</v>
      </c>
      <c r="B111" s="10" t="s">
        <v>17</v>
      </c>
      <c r="C111" s="52" t="n">
        <f aca="false">(C108+C110)/2</f>
        <v>33.3445</v>
      </c>
      <c r="D111" s="52" t="n">
        <f aca="false">(D108+D110)/2</f>
        <v>28.046</v>
      </c>
      <c r="E111" s="52" t="n">
        <f aca="false">(E108+E110)/2</f>
        <v>22.746</v>
      </c>
      <c r="F111" s="52" t="n">
        <f aca="false">(F108+F110)/2</f>
        <v>19.3275</v>
      </c>
      <c r="G111" s="52" t="n">
        <f aca="false">(G108+G110)/2</f>
        <v>16.5065</v>
      </c>
      <c r="H111" s="1"/>
    </row>
    <row r="112" customFormat="false" ht="15" hidden="false" customHeight="false" outlineLevel="0" collapsed="false">
      <c r="A112" s="6" t="s">
        <v>394</v>
      </c>
      <c r="B112" s="10" t="s">
        <v>17</v>
      </c>
      <c r="C112" s="52" t="n">
        <f aca="false">C111*收支與融資!$D$105*輸入與假設!C$21</f>
        <v>1.40270878695395</v>
      </c>
      <c r="D112" s="52" t="n">
        <f aca="false">D111*收支與融資!$D$105*輸入與假設!D$21</f>
        <v>2.35963176169447</v>
      </c>
      <c r="E112" s="52" t="n">
        <f aca="false">E111*收支與融資!$D$105*輸入與假設!E$21</f>
        <v>1.91371974796771</v>
      </c>
      <c r="F112" s="52" t="n">
        <f aca="false">F111*收支與融資!$D$105*輸入與假設!F$21</f>
        <v>1.62610649911395</v>
      </c>
      <c r="G112" s="52" t="n">
        <f aca="false">G111*收支與融資!$D$105*輸入與假設!G$21</f>
        <v>1.38876351973222</v>
      </c>
      <c r="H112" s="1"/>
      <c r="I112" s="3"/>
    </row>
    <row r="113" customFormat="false" ht="15" hidden="false" customHeight="false" outlineLevel="0" collapsed="false">
      <c r="A113" s="16" t="s">
        <v>395</v>
      </c>
      <c r="B113" s="10" t="s">
        <v>17</v>
      </c>
      <c r="C113" s="52" t="n">
        <f aca="false">收支與融資!$F$106*輸入與假設!C$21</f>
        <v>0.0531875</v>
      </c>
      <c r="D113" s="52" t="n">
        <f aca="false">收支與融資!$F$106*輸入與假設!D$21</f>
        <v>0.106375</v>
      </c>
      <c r="E113" s="52" t="n">
        <f aca="false">收支與融資!$F$106*輸入與假設!E$21</f>
        <v>0.106375</v>
      </c>
      <c r="F113" s="52" t="n">
        <f aca="false">收支與融資!$F$106*輸入與假設!F$21</f>
        <v>0.106375</v>
      </c>
      <c r="G113" s="52" t="n">
        <f aca="false">收支與融資!$F$106*輸入與假設!G$21</f>
        <v>0.106375</v>
      </c>
      <c r="H113" s="1"/>
    </row>
    <row r="114" customFormat="false" ht="15" hidden="false" customHeight="false" outlineLevel="0" collapsed="false">
      <c r="A114" s="16" t="s">
        <v>396</v>
      </c>
      <c r="B114" s="10" t="s">
        <v>17</v>
      </c>
      <c r="C114" s="22" t="n">
        <f aca="false">0.35</f>
        <v>0.35</v>
      </c>
      <c r="D114" s="22" t="n">
        <f aca="false">0</f>
        <v>0</v>
      </c>
      <c r="E114" s="22" t="n">
        <f aca="false">0</f>
        <v>0</v>
      </c>
      <c r="F114" s="22" t="n">
        <f aca="false">0</f>
        <v>0</v>
      </c>
      <c r="G114" s="22" t="n">
        <f aca="false">0</f>
        <v>0</v>
      </c>
      <c r="H114" s="1"/>
      <c r="I114" s="10"/>
    </row>
    <row r="115" customFormat="false" ht="15" hidden="false" customHeight="false" outlineLevel="0" collapsed="false">
      <c r="A115" s="9" t="s">
        <v>397</v>
      </c>
      <c r="B115" s="10" t="s">
        <v>17</v>
      </c>
      <c r="C115" s="31" t="n">
        <f aca="false">C112+C113+C114</f>
        <v>1.80589628695395</v>
      </c>
      <c r="D115" s="31" t="n">
        <f aca="false">D112+D113+D114</f>
        <v>2.46600676169447</v>
      </c>
      <c r="E115" s="31" t="n">
        <f aca="false">E112+E113+E114</f>
        <v>2.02009474796771</v>
      </c>
      <c r="F115" s="31" t="n">
        <f aca="false">F112+F113+F114</f>
        <v>1.73248149911395</v>
      </c>
      <c r="G115" s="31" t="n">
        <f aca="false">G112+G113+G114</f>
        <v>1.49513851973222</v>
      </c>
      <c r="H115" s="1"/>
      <c r="I115" s="10"/>
    </row>
    <row r="117" customFormat="false" ht="17.35" hidden="false" customHeight="false" outlineLevel="0" collapsed="false">
      <c r="A117" s="2" t="s">
        <v>398</v>
      </c>
    </row>
    <row r="118" customFormat="false" ht="15" hidden="false" customHeight="false" outlineLevel="0" collapsed="false">
      <c r="A118" s="3" t="s">
        <v>399</v>
      </c>
    </row>
    <row r="120" customFormat="false" ht="15" hidden="false" customHeight="false" outlineLevel="0" collapsed="false">
      <c r="A120" s="15" t="s">
        <v>261</v>
      </c>
      <c r="B120" s="15" t="s">
        <v>262</v>
      </c>
      <c r="C120" s="42" t="s">
        <v>263</v>
      </c>
      <c r="D120" s="42" t="s">
        <v>264</v>
      </c>
      <c r="E120" s="42" t="s">
        <v>265</v>
      </c>
      <c r="F120" s="42" t="s">
        <v>266</v>
      </c>
      <c r="G120" s="42" t="s">
        <v>267</v>
      </c>
      <c r="I120" s="15"/>
    </row>
    <row r="121" customFormat="false" ht="15" hidden="false" customHeight="false" outlineLevel="0" collapsed="false">
      <c r="A121" s="43" t="s">
        <v>400</v>
      </c>
      <c r="B121" s="5"/>
      <c r="C121" s="5"/>
      <c r="D121" s="5"/>
      <c r="E121" s="5"/>
      <c r="F121" s="5"/>
      <c r="G121" s="5"/>
      <c r="H121" s="5"/>
    </row>
    <row r="122" customFormat="false" ht="15" hidden="false" customHeight="false" outlineLevel="0" collapsed="false">
      <c r="A122" s="6" t="s">
        <v>401</v>
      </c>
      <c r="B122" s="10" t="s">
        <v>17</v>
      </c>
      <c r="C122" s="52" t="n">
        <f aca="false">輸入與假設!$C$66</f>
        <v>5.5</v>
      </c>
      <c r="D122" s="52" t="n">
        <f aca="false">收支與融資!C40</f>
        <v>2</v>
      </c>
      <c r="E122" s="52" t="n">
        <f aca="false">收支與融資!D40</f>
        <v>2</v>
      </c>
      <c r="F122" s="52" t="n">
        <f aca="false">收支與融資!E40</f>
        <v>2</v>
      </c>
      <c r="G122" s="52" t="n">
        <f aca="false">收支與融資!F40</f>
        <v>2</v>
      </c>
      <c r="I122" s="10"/>
    </row>
    <row r="123" customFormat="false" ht="15" hidden="false" customHeight="false" outlineLevel="0" collapsed="false">
      <c r="A123" s="6" t="s">
        <v>402</v>
      </c>
      <c r="B123" s="10" t="s">
        <v>17</v>
      </c>
      <c r="C123" s="52" t="n">
        <f aca="false">收支與融資!C69-輸入與假設!$C$66</f>
        <v>-15.4895435039723</v>
      </c>
      <c r="D123" s="52" t="n">
        <f aca="false">收支與融資!D69-收支與融資!C69</f>
        <v>-28.6060211457307</v>
      </c>
      <c r="E123" s="52" t="n">
        <f aca="false">收支與融資!E69-收支與融資!D69</f>
        <v>-11.2541004220161</v>
      </c>
      <c r="F123" s="52" t="n">
        <f aca="false">收支與融資!F69-收支與融資!E69</f>
        <v>-5.90351213937701</v>
      </c>
      <c r="G123" s="52" t="n">
        <f aca="false">收支與融資!G69-收支與融資!F69</f>
        <v>-5.93658679089938</v>
      </c>
      <c r="I123" s="3"/>
    </row>
    <row r="124" customFormat="false" ht="15" hidden="false" customHeight="false" outlineLevel="0" collapsed="false">
      <c r="A124" s="6" t="s">
        <v>403</v>
      </c>
      <c r="B124" s="10" t="s">
        <v>17</v>
      </c>
      <c r="C124" s="52" t="n">
        <f aca="false">收支與融資!C56</f>
        <v>12.5544958156778</v>
      </c>
      <c r="D124" s="52" t="n">
        <f aca="false">收支與融資!D56</f>
        <v>32.6768415045513</v>
      </c>
      <c r="E124" s="52" t="n">
        <f aca="false">收支與融資!E56</f>
        <v>16.8405722866337</v>
      </c>
      <c r="F124" s="52" t="n">
        <f aca="false">收支與融資!F56</f>
        <v>3.13931889313726</v>
      </c>
      <c r="G124" s="52" t="n">
        <f aca="false">收支與融資!G56</f>
        <v>7.17872749999999</v>
      </c>
    </row>
    <row r="125" customFormat="false" ht="15" hidden="false" customHeight="false" outlineLevel="0" collapsed="false">
      <c r="A125" s="6" t="s">
        <v>404</v>
      </c>
      <c r="B125" s="10" t="s">
        <v>17</v>
      </c>
      <c r="C125" s="52" t="n">
        <f aca="false">收支與融資!C60</f>
        <v>0</v>
      </c>
      <c r="D125" s="52" t="n">
        <f aca="false">收支與融資!D60</f>
        <v>0</v>
      </c>
      <c r="E125" s="52" t="n">
        <f aca="false">收支與融資!E60</f>
        <v>0</v>
      </c>
      <c r="F125" s="52" t="n">
        <f aca="false">收支與融資!F60</f>
        <v>0</v>
      </c>
      <c r="G125" s="52" t="n">
        <f aca="false">收支與融資!G60</f>
        <v>0</v>
      </c>
    </row>
    <row r="126" customFormat="false" ht="15" hidden="false" customHeight="false" outlineLevel="0" collapsed="false">
      <c r="A126" s="6" t="s">
        <v>405</v>
      </c>
      <c r="B126" s="10" t="s">
        <v>17</v>
      </c>
      <c r="C126" s="52" t="n">
        <f aca="false">收支與融資!C59</f>
        <v>0</v>
      </c>
      <c r="D126" s="52" t="n">
        <f aca="false">收支與融資!D59</f>
        <v>0</v>
      </c>
      <c r="E126" s="52" t="n">
        <f aca="false">收支與融資!E59</f>
        <v>0</v>
      </c>
      <c r="F126" s="52" t="n">
        <f aca="false">收支與融資!F59</f>
        <v>8.63320381123975</v>
      </c>
      <c r="G126" s="52" t="n">
        <f aca="false">收支與融資!G59</f>
        <v>5.27295533089938</v>
      </c>
    </row>
    <row r="127" customFormat="false" ht="15" hidden="false" customHeight="false" outlineLevel="0" collapsed="false">
      <c r="A127" s="6" t="s">
        <v>406</v>
      </c>
      <c r="B127" s="10" t="s">
        <v>17</v>
      </c>
      <c r="C127" s="52" t="n">
        <f aca="false">-收支與融資!C61</f>
        <v>-0.564952311705499</v>
      </c>
      <c r="D127" s="52" t="n">
        <f aca="false">-收支與融資!D61</f>
        <v>-4.07082035882062</v>
      </c>
      <c r="E127" s="52" t="n">
        <f aca="false">-收支與融資!E61</f>
        <v>-5.58647186461765</v>
      </c>
      <c r="F127" s="52" t="n">
        <f aca="false">-收支與融資!F61</f>
        <v>-5.869010565</v>
      </c>
      <c r="G127" s="52" t="n">
        <f aca="false">-收支與融資!G61</f>
        <v>-6.51509604</v>
      </c>
    </row>
    <row r="128" customFormat="false" ht="15" hidden="false" customHeight="false" outlineLevel="0" collapsed="false">
      <c r="A128" s="9" t="s">
        <v>407</v>
      </c>
      <c r="B128" s="10" t="s">
        <v>17</v>
      </c>
      <c r="C128" s="31" t="n">
        <f aca="false">SUM(C122:C127)</f>
        <v>2</v>
      </c>
      <c r="D128" s="31" t="n">
        <f aca="false">SUM(D122:D127)</f>
        <v>2</v>
      </c>
      <c r="E128" s="31" t="n">
        <f aca="false">SUM(E122:E127)</f>
        <v>2</v>
      </c>
      <c r="F128" s="31" t="n">
        <f aca="false">SUM(F122:F127)</f>
        <v>2</v>
      </c>
      <c r="G128" s="31" t="n">
        <f aca="false">SUM(G122:G127)</f>
        <v>2</v>
      </c>
      <c r="I128" s="3"/>
    </row>
    <row r="129" customFormat="false" ht="15" hidden="false" customHeight="false" outlineLevel="0" collapsed="false">
      <c r="A129" s="43" t="s">
        <v>408</v>
      </c>
      <c r="B129" s="5"/>
      <c r="C129" s="5"/>
      <c r="D129" s="5"/>
      <c r="E129" s="5"/>
      <c r="F129" s="5"/>
      <c r="G129" s="5"/>
      <c r="H129" s="5"/>
    </row>
    <row r="130" customFormat="false" ht="15" hidden="false" customHeight="false" outlineLevel="0" collapsed="false">
      <c r="A130" s="6" t="s">
        <v>409</v>
      </c>
      <c r="B130" s="10" t="s">
        <v>17</v>
      </c>
      <c r="C130" s="52" t="n">
        <f aca="false">收支與融資!C52-3.7</f>
        <v>31.138</v>
      </c>
      <c r="D130" s="52" t="n">
        <f aca="false">收支與融資!D52-3.7</f>
        <v>24.954</v>
      </c>
      <c r="E130" s="52" t="n">
        <f aca="false">收支與融資!E52-3.7</f>
        <v>20.538</v>
      </c>
      <c r="F130" s="52" t="n">
        <f aca="false">收支與融資!F52-3.7</f>
        <v>18.117</v>
      </c>
      <c r="G130" s="52" t="n">
        <f aca="false">收支與融資!G52-3.7</f>
        <v>14.896</v>
      </c>
      <c r="I130" s="3"/>
    </row>
    <row r="131" customFormat="false" ht="15" hidden="false" customHeight="false" outlineLevel="0" collapsed="false">
      <c r="A131" s="6" t="s">
        <v>410</v>
      </c>
      <c r="B131" s="10" t="s">
        <v>17</v>
      </c>
      <c r="C131" s="52" t="n">
        <f aca="false">3.7</f>
        <v>3.7</v>
      </c>
      <c r="D131" s="52" t="n">
        <f aca="false">3.7</f>
        <v>3.7</v>
      </c>
      <c r="E131" s="52" t="n">
        <f aca="false">3.7</f>
        <v>3.7</v>
      </c>
      <c r="F131" s="52" t="n">
        <f aca="false">3.7</f>
        <v>3.7</v>
      </c>
      <c r="G131" s="52" t="n">
        <f aca="false">3.7</f>
        <v>3.7</v>
      </c>
    </row>
    <row r="132" customFormat="false" ht="15" hidden="false" customHeight="false" outlineLevel="0" collapsed="false">
      <c r="A132" s="6" t="s">
        <v>411</v>
      </c>
      <c r="B132" s="10" t="s">
        <v>17</v>
      </c>
      <c r="C132" s="52" t="n">
        <f aca="false">收支與融資!C65</f>
        <v>12.5544958156778</v>
      </c>
      <c r="D132" s="52" t="n">
        <f aca="false">收支與融資!D65</f>
        <v>45.2313373202291</v>
      </c>
      <c r="E132" s="52" t="n">
        <f aca="false">收支與融資!E65</f>
        <v>62.0719096068628</v>
      </c>
      <c r="F132" s="52" t="n">
        <f aca="false">收支與融資!F65</f>
        <v>65.2112285</v>
      </c>
      <c r="G132" s="52" t="n">
        <f aca="false">收支與融資!G65</f>
        <v>72.389956</v>
      </c>
    </row>
    <row r="133" customFormat="false" ht="15" hidden="false" customHeight="false" outlineLevel="0" collapsed="false">
      <c r="A133" s="6" t="s">
        <v>412</v>
      </c>
      <c r="B133" s="10" t="s">
        <v>17</v>
      </c>
      <c r="C133" s="52" t="n">
        <f aca="false">收支與融資!C67</f>
        <v>0</v>
      </c>
      <c r="D133" s="52" t="n">
        <f aca="false">收支與融資!D67</f>
        <v>0</v>
      </c>
      <c r="E133" s="52" t="n">
        <f aca="false">收支與融資!E67</f>
        <v>0</v>
      </c>
      <c r="F133" s="52" t="n">
        <f aca="false">收支與融資!F67</f>
        <v>0</v>
      </c>
      <c r="G133" s="52" t="n">
        <f aca="false">收支與融資!G67</f>
        <v>0</v>
      </c>
    </row>
    <row r="134" customFormat="false" ht="15" hidden="false" customHeight="false" outlineLevel="0" collapsed="false">
      <c r="A134" s="9" t="s">
        <v>413</v>
      </c>
      <c r="B134" s="10" t="s">
        <v>17</v>
      </c>
      <c r="C134" s="31" t="n">
        <f aca="false">SUM(C130:C133)</f>
        <v>47.3924958156778</v>
      </c>
      <c r="D134" s="31" t="n">
        <f aca="false">SUM(D130:D133)</f>
        <v>73.8853373202291</v>
      </c>
      <c r="E134" s="31" t="n">
        <f aca="false">SUM(E130:E133)</f>
        <v>86.3099096068628</v>
      </c>
      <c r="F134" s="31" t="n">
        <f aca="false">SUM(F130:F133)</f>
        <v>87.0282285</v>
      </c>
      <c r="G134" s="31" t="n">
        <f aca="false">SUM(G130:G133)</f>
        <v>90.985956</v>
      </c>
      <c r="I134" s="3"/>
    </row>
    <row r="135" customFormat="false" ht="15" hidden="false" customHeight="false" outlineLevel="0" collapsed="false">
      <c r="A135" s="9" t="s">
        <v>414</v>
      </c>
      <c r="B135" s="10" t="s">
        <v>17</v>
      </c>
      <c r="C135" s="31" t="n">
        <f aca="false">C134-C128</f>
        <v>45.3924958156778</v>
      </c>
      <c r="D135" s="31" t="n">
        <f aca="false">D134-D128</f>
        <v>71.8853373202291</v>
      </c>
      <c r="E135" s="31" t="n">
        <f aca="false">E134-E128</f>
        <v>84.3099096068628</v>
      </c>
      <c r="F135" s="31" t="n">
        <f aca="false">F134-F128</f>
        <v>85.0282285</v>
      </c>
      <c r="G135" s="31" t="n">
        <f aca="false">G134-G128</f>
        <v>88.985956</v>
      </c>
    </row>
    <row r="136" customFormat="false" ht="15" hidden="false" customHeight="false" outlineLevel="0" collapsed="false">
      <c r="A136" s="43" t="s">
        <v>415</v>
      </c>
      <c r="B136" s="5"/>
      <c r="C136" s="5"/>
      <c r="D136" s="5"/>
      <c r="E136" s="5"/>
      <c r="F136" s="5"/>
      <c r="G136" s="5"/>
      <c r="H136" s="5"/>
    </row>
    <row r="137" customFormat="false" ht="15" hidden="false" customHeight="false" outlineLevel="0" collapsed="false">
      <c r="A137" s="43" t="s">
        <v>416</v>
      </c>
      <c r="B137" s="5"/>
      <c r="C137" s="5"/>
      <c r="D137" s="5"/>
      <c r="E137" s="5"/>
      <c r="F137" s="5"/>
      <c r="G137" s="5"/>
      <c r="H137" s="5"/>
    </row>
    <row r="138" customFormat="false" ht="15" hidden="false" customHeight="false" outlineLevel="0" collapsed="false">
      <c r="A138" s="6" t="s">
        <v>417</v>
      </c>
      <c r="B138" s="10" t="s">
        <v>50</v>
      </c>
      <c r="C138" s="55" t="n">
        <f aca="false">C134/MAX(0.01,損益與評價!C11/輸入與假設!C$21)</f>
        <v>4.77393700786694</v>
      </c>
      <c r="D138" s="55" t="n">
        <f aca="false">D134/MAX(0.01,損益與評價!D11/輸入與假設!D$21)</f>
        <v>4.67417565768812</v>
      </c>
      <c r="E138" s="55" t="n">
        <f aca="false">E134/MAX(0.01,損益與評價!E11/輸入與假設!E$21)</f>
        <v>3.79633898511342</v>
      </c>
      <c r="F138" s="55" t="n">
        <f aca="false">F134/MAX(0.01,損益與評價!F11/輸入與假設!F$21)</f>
        <v>3.2351245979566</v>
      </c>
      <c r="G138" s="55" t="n">
        <f aca="false">G134/MAX(0.01,損益與評價!G11/輸入與假設!G$21)</f>
        <v>3.11105062052045</v>
      </c>
      <c r="I138" s="10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1" width="44"/>
    <col collapsed="false" customWidth="true" hidden="false" outlineLevel="0" max="2" min="2" style="1" width="8"/>
    <col collapsed="false" customWidth="true" hidden="false" outlineLevel="0" max="12" min="3" style="1" width="14"/>
    <col collapsed="false" customWidth="true" hidden="false" outlineLevel="0" max="13" min="13" style="1" width="60"/>
  </cols>
  <sheetData>
    <row r="1" customFormat="false" ht="17.35" hidden="false" customHeight="false" outlineLevel="0" collapsed="false">
      <c r="A1" s="2" t="s">
        <v>418</v>
      </c>
    </row>
    <row r="2" customFormat="false" ht="15" hidden="false" customHeight="false" outlineLevel="0" collapsed="false">
      <c r="A2" s="3" t="s">
        <v>419</v>
      </c>
    </row>
    <row r="4" customFormat="false" ht="15" hidden="false" customHeight="false" outlineLevel="0" collapsed="false">
      <c r="A4" s="4" t="s">
        <v>420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15" hidden="false" customHeight="false" outlineLevel="1" collapsed="false">
      <c r="A5" s="6" t="s">
        <v>421</v>
      </c>
      <c r="B5" s="10" t="s">
        <v>17</v>
      </c>
      <c r="C5" s="56" t="n">
        <f aca="false">INDEX($C$20:$H$20,輸入與假設!$C$154)</f>
        <v>3.66266666666667</v>
      </c>
      <c r="D5" s="56" t="n">
        <f aca="false">INDEX($C$39:$H$39,輸入與假設!$C$154)</f>
        <v>3.541</v>
      </c>
      <c r="E5" s="57" t="n">
        <f aca="false">INDEX($C$49:$H$49,輸入與假設!$C$154)</f>
        <v>0.0343594088298973</v>
      </c>
      <c r="F5" s="56" t="n">
        <f aca="false">IF(ISNUMBER(INDEX($C$29:$H$29,輸入與假設!$C$154)),INDEX($C$29:$H$29,輸入與假設!$C$154),"不適用")</f>
        <v>3.45</v>
      </c>
      <c r="G5" s="56" t="n">
        <f aca="false">INDEX($C$30:$H$30,輸入與假設!$C$154)</f>
        <v>3.6</v>
      </c>
      <c r="H5" s="57" t="n">
        <f aca="false">INDEX($C$50:$H$50,輸入與假設!$C$154)</f>
        <v>0.0390543735224584</v>
      </c>
      <c r="I5" s="56" t="str">
        <f aca="false">IF(ISNUMBER(INDEX($C$43:$H$43,輸入與假設!$C$154)),INDEX($C$43:$H$43,輸入與假設!$C$154),"待公布")</f>
        <v>待公布</v>
      </c>
      <c r="J5" s="57" t="str">
        <f aca="false">INDEX($C$51:$H$51,輸入與假設!$C$154)</f>
        <v/>
      </c>
      <c r="K5" s="57" t="str">
        <f aca="false">INDEX($C$52:$H$52,輸入與假設!$C$154)</f>
        <v/>
      </c>
      <c r="L5" s="57" t="str">
        <f aca="false">INDEX($C$53:$H$53,輸入與假設!$C$154)</f>
        <v/>
      </c>
      <c r="M5" s="57"/>
      <c r="N5" s="57"/>
      <c r="O5" s="57"/>
      <c r="P5" s="57"/>
      <c r="Q5" s="57"/>
    </row>
    <row r="6" customFormat="false" ht="15" hidden="false" customHeight="false" outlineLevel="1" collapsed="false">
      <c r="A6" s="6" t="s">
        <v>422</v>
      </c>
      <c r="B6" s="10" t="s">
        <v>17</v>
      </c>
      <c r="C6" s="56" t="n">
        <f aca="false">INDEX($C$26:$H$26,輸入與假設!$C$154)</f>
        <v>2.15096125673708</v>
      </c>
      <c r="D6" s="56" t="n">
        <f aca="false">INDEX($C$40:$H$40,輸入與假設!$C$154)</f>
        <v>2.047</v>
      </c>
      <c r="E6" s="56" t="n">
        <f aca="false">INDEX($C$54:$H$54,輸入與假設!$C$154)</f>
        <v>0.103961256737079</v>
      </c>
      <c r="F6" s="58" t="s">
        <v>423</v>
      </c>
      <c r="G6" s="58" t="s">
        <v>423</v>
      </c>
      <c r="H6" s="56" t="str">
        <f aca="false">INDEX($C$55:$H$55,輸入與假設!$C$154)</f>
        <v>不適用</v>
      </c>
      <c r="I6" s="56" t="str">
        <f aca="false">IF(ISNUMBER(INDEX($C$44:$H$44,輸入與假設!$C$154)),INDEX($C$44:$H$44,輸入與假設!$C$154),"待公布")</f>
        <v>待公布</v>
      </c>
      <c r="J6" s="56" t="str">
        <f aca="false">INDEX($C$56:$H$56,輸入與假設!$C$154)</f>
        <v/>
      </c>
      <c r="K6" s="56" t="str">
        <f aca="false">INDEX($C$57:$H$57,輸入與假設!$C$154)</f>
        <v/>
      </c>
      <c r="L6" s="56" t="str">
        <f aca="false">INDEX($C$58:$H$58,輸入與假設!$C$154)</f>
        <v/>
      </c>
      <c r="M6" s="57" t="n">
        <f aca="false">INDEX($C$59:$H$59,輸入與假設!$C$154)</f>
        <v>0.00918116496057853</v>
      </c>
      <c r="N6" s="57" t="str">
        <f aca="false">INDEX($C$60:$H$60,輸入與假設!$C$154)</f>
        <v>不適用</v>
      </c>
      <c r="O6" s="57" t="str">
        <f aca="false">INDEX($C$61:$H$61,輸入與假設!$C$154)</f>
        <v/>
      </c>
      <c r="P6" s="57" t="str">
        <f aca="false">INDEX($C$62:$H$62,輸入與假設!$C$154)</f>
        <v/>
      </c>
      <c r="Q6" s="57" t="str">
        <f aca="false">INDEX($C$63:$H$63,輸入與假設!$C$154)</f>
        <v/>
      </c>
    </row>
    <row r="7" customFormat="false" ht="15" hidden="false" customHeight="false" outlineLevel="1" collapsed="false">
      <c r="A7" s="6" t="s">
        <v>424</v>
      </c>
      <c r="B7" s="10" t="s">
        <v>8</v>
      </c>
      <c r="C7" s="57" t="n">
        <f aca="false">INDEX($C$25:$H$25,輸入與假設!$C$154)</f>
        <v>0.58726645160277</v>
      </c>
      <c r="D7" s="57" t="n">
        <f aca="false">INDEX($C$41:$H$41,輸入與假設!$C$154)</f>
        <v>0.578085286642192</v>
      </c>
      <c r="E7" s="57" t="n">
        <f aca="false">INDEX($C$64:$H$64,輸入與假設!$C$154)</f>
        <v>0.00918116496057853</v>
      </c>
      <c r="F7" s="59" t="s">
        <v>423</v>
      </c>
      <c r="G7" s="59" t="s">
        <v>423</v>
      </c>
      <c r="H7" s="57" t="str">
        <f aca="false">INDEX($C$65:$H$65,輸入與假設!$C$154)</f>
        <v>不適用</v>
      </c>
      <c r="I7" s="57" t="str">
        <f aca="false">IF(ISNUMBER(INDEX($C$45:$H$45,輸入與假設!$C$154)),INDEX($C$45:$H$45,輸入與假設!$C$154),"待公布")</f>
        <v>待公布</v>
      </c>
      <c r="J7" s="57" t="str">
        <f aca="false">INDEX($C$66:$H$66,輸入與假設!$C$154)</f>
        <v/>
      </c>
      <c r="K7" s="57" t="str">
        <f aca="false">INDEX($C$67:$H$67,輸入與假設!$C$154)</f>
        <v/>
      </c>
      <c r="L7" s="57" t="str">
        <f aca="false">INDEX($C$68:$H$68,輸入與假設!$C$154)</f>
        <v/>
      </c>
      <c r="M7" s="57"/>
      <c r="N7" s="57"/>
      <c r="O7" s="57"/>
      <c r="P7" s="57"/>
      <c r="Q7" s="57"/>
    </row>
    <row r="8" customFormat="false" ht="15" hidden="false" customHeight="false" outlineLevel="1" collapsed="false">
      <c r="A8" s="6" t="s">
        <v>425</v>
      </c>
      <c r="B8" s="10" t="s">
        <v>17</v>
      </c>
      <c r="C8" s="56" t="n">
        <f aca="false">INDEX($C$28:$H$28,輸入與假設!$C$154)</f>
        <v>-0.0134137432629213</v>
      </c>
      <c r="D8" s="58" t="s">
        <v>423</v>
      </c>
      <c r="E8" s="56" t="str">
        <f aca="false">INDEX($C$69:$H$69,輸入與假設!$C$154)</f>
        <v>不適用</v>
      </c>
      <c r="F8" s="56" t="n">
        <f aca="false">IF(ISNUMBER(INDEX($C$31:$H$31,輸入與假設!$C$154)),INDEX($C$31:$H$31,輸入與假設!$C$154),IF(INDEX($C$33:$H$33,輸入與假設!$C$154)&lt;&gt;"",INDEX($C$33:$H$33,輸入與假設!$C$154),"不適用"))</f>
        <v>0.2</v>
      </c>
      <c r="G8" s="56" t="n">
        <f aca="false">INDEX($C$32:$H$32,輸入與假設!$C$154)</f>
        <v>0.26</v>
      </c>
      <c r="H8" s="56" t="n">
        <f aca="false">INDEX($C$70:$H$70,輸入與假設!$C$154)</f>
        <v>-0.243413743262921</v>
      </c>
      <c r="I8" s="56" t="str">
        <f aca="false">IF(ISNUMBER(INDEX($C$46:$H$46,輸入與假設!$C$154)),INDEX($C$46:$H$46,輸入與假設!$C$154),"待公布")</f>
        <v>待公布</v>
      </c>
      <c r="J8" s="56" t="str">
        <f aca="false">INDEX($C$71:$H$71,輸入與假設!$C$154)</f>
        <v/>
      </c>
      <c r="K8" s="56" t="str">
        <f aca="false">INDEX($C$72:$H$72,輸入與假設!$C$154)</f>
        <v/>
      </c>
      <c r="L8" s="56" t="str">
        <f aca="false">INDEX($C$73:$H$73,輸入與假設!$C$154)</f>
        <v/>
      </c>
      <c r="M8" s="57" t="str">
        <f aca="false">INDEX($C$74:$H$74,輸入與假設!$C$154)</f>
        <v>不適用</v>
      </c>
      <c r="N8" s="57" t="n">
        <f aca="false">INDEX($C$75:$H$75,輸入與假設!$C$154)</f>
        <v>-0.0689105157917055</v>
      </c>
      <c r="O8" s="57" t="str">
        <f aca="false">INDEX($C$76:$H$76,輸入與假設!$C$154)</f>
        <v/>
      </c>
      <c r="P8" s="57" t="str">
        <f aca="false">INDEX($C$77:$H$77,輸入與假設!$C$154)</f>
        <v/>
      </c>
      <c r="Q8" s="57" t="str">
        <f aca="false">INDEX($C$78:$H$78,輸入與假設!$C$154)</f>
        <v/>
      </c>
    </row>
    <row r="9" customFormat="false" ht="15" hidden="false" customHeight="false" outlineLevel="1" collapsed="false">
      <c r="A9" s="6" t="s">
        <v>426</v>
      </c>
      <c r="B9" s="10" t="s">
        <v>17</v>
      </c>
      <c r="C9" s="56" t="n">
        <f aca="false">INDEX($C$38:$H$38,輸入與假設!$C$154)</f>
        <v>12.5</v>
      </c>
      <c r="D9" s="58" t="s">
        <v>423</v>
      </c>
      <c r="E9" s="57" t="str">
        <f aca="false">INDEX($C$79:$H$79,輸入與假設!$C$154)</f>
        <v>不適用</v>
      </c>
      <c r="F9" s="56" t="n">
        <f aca="false">IF(ISNUMBER(INDEX($C$34:$H$34,輸入與假設!$C$154)),INDEX($C$34:$H$34,輸入與假設!$C$154),"不適用")</f>
        <v>11.5</v>
      </c>
      <c r="G9" s="56" t="n">
        <f aca="false">INDEX($C$35:$H$35,輸入與假設!$C$154)</f>
        <v>13.5</v>
      </c>
      <c r="H9" s="57" t="n">
        <f aca="false">INDEX($C$80:$H$80,輸入與假設!$C$154)</f>
        <v>0</v>
      </c>
      <c r="I9" s="56" t="str">
        <f aca="false">IF(ISNUMBER(INDEX($C$47:$H$47,輸入與假設!$C$154)),INDEX($C$47:$H$47,輸入與假設!$C$154),"待公布")</f>
        <v>待公布</v>
      </c>
      <c r="J9" s="57" t="str">
        <f aca="false">INDEX($C$81:$H$81,輸入與假設!$C$154)</f>
        <v/>
      </c>
      <c r="K9" s="57" t="str">
        <f aca="false">INDEX($C$82:$H$82,輸入與假設!$C$154)</f>
        <v/>
      </c>
      <c r="L9" s="57" t="str">
        <f aca="false">INDEX($C$83:$H$83,輸入與假設!$C$154)</f>
        <v/>
      </c>
      <c r="M9" s="57"/>
      <c r="N9" s="57"/>
      <c r="O9" s="57"/>
      <c r="P9" s="57"/>
      <c r="Q9" s="57"/>
    </row>
    <row r="10" customFormat="false" ht="15" hidden="false" customHeight="false" outlineLevel="1" collapsed="false">
      <c r="A10" s="6" t="s">
        <v>427</v>
      </c>
      <c r="B10" s="10" t="s">
        <v>86</v>
      </c>
      <c r="C10" s="60" t="n">
        <f aca="false">INDEX($C$17:$H$17,輸入與假設!$C$154)</f>
        <v>1675</v>
      </c>
      <c r="D10" s="61" t="s">
        <v>423</v>
      </c>
      <c r="E10" s="60" t="str">
        <f aca="false">INDEX($C$84:$H$84,輸入與假設!$C$154)</f>
        <v>不適用</v>
      </c>
      <c r="F10" s="61" t="s">
        <v>423</v>
      </c>
      <c r="G10" s="61" t="s">
        <v>423</v>
      </c>
      <c r="H10" s="60" t="str">
        <f aca="false">INDEX($C$85:$H$85,輸入與假設!$C$154)</f>
        <v>不適用</v>
      </c>
      <c r="I10" s="60" t="str">
        <f aca="false">IF(ISNUMBER(INDEX($C$48:$H$48,輸入與假設!$C$154)),INDEX($C$48:$H$48,輸入與假設!$C$154),"待公布")</f>
        <v>待公布</v>
      </c>
      <c r="J10" s="60" t="str">
        <f aca="false">INDEX($C$86:$H$86,輸入與假設!$C$154)</f>
        <v/>
      </c>
      <c r="K10" s="60" t="str">
        <f aca="false">INDEX($C$87:$H$87,輸入與假設!$C$154)</f>
        <v/>
      </c>
      <c r="L10" s="60" t="str">
        <f aca="false">INDEX($C$88:$H$88,輸入與假設!$C$154)</f>
        <v/>
      </c>
      <c r="M10" s="57"/>
      <c r="N10" s="57"/>
      <c r="O10" s="57"/>
      <c r="P10" s="57"/>
      <c r="Q10" s="57"/>
    </row>
    <row r="11" customFormat="false" ht="15" hidden="false" customHeight="false" outlineLevel="1" collapsed="false">
      <c r="A11" s="9" t="s">
        <v>428</v>
      </c>
      <c r="C11" s="9" t="str">
        <f aca="false">INDEX($C$14:$H$14,輸入與假設!$C$154)</f>
        <v>Q3'26</v>
      </c>
    </row>
    <row r="12" customFormat="false" ht="15" hidden="false" customHeight="false" outlineLevel="1" collapsed="false">
      <c r="A12" s="9" t="s">
        <v>429</v>
      </c>
      <c r="C12" s="1" t="str">
        <f aca="false">IF(INDEX($C$131:$H$131,輸入與假設!$C$154)="","無（差距皆在 "&amp;IF(ROUND(ABS(輸入與假設!$C$150)*100,4)=INT(ROUND(ABS(輸入與假設!$C$150)*100,4)),TEXT(ROUND(ABS(輸入與假設!$C$150)*100,4),"0"),TEXT(ROUND(ABS(輸入與假設!$C$150)*100,4),"0.0"))&amp;"%"&amp;" 以內）",INDEX($C$131:$H$131,輸入與假設!$C$154))</f>
        <v>營收 vs 指引中點 +3.9%：觀點（水準 +$0.115bn（2H26 模型 $8.413bn，指引隱含 $8.147bn）；分配 +$0.023bn）；調整後營業利益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</row>
    <row r="13" customFormat="false" ht="15" hidden="false" customHeight="false" outlineLevel="0" collapsed="true">
      <c r="A13" s="4" t="s">
        <v>430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5" hidden="true" customHeight="false" outlineLevel="1" collapsed="false">
      <c r="A14" s="15" t="s">
        <v>261</v>
      </c>
      <c r="B14" s="15" t="s">
        <v>262</v>
      </c>
      <c r="C14" s="51" t="s">
        <v>431</v>
      </c>
      <c r="D14" s="51" t="s">
        <v>432</v>
      </c>
      <c r="E14" s="51" t="s">
        <v>433</v>
      </c>
      <c r="F14" s="51" t="s">
        <v>434</v>
      </c>
      <c r="G14" s="51" t="s">
        <v>435</v>
      </c>
      <c r="H14" s="51" t="s">
        <v>436</v>
      </c>
    </row>
    <row r="15" customFormat="false" ht="15" hidden="true" customHeight="false" outlineLevel="1" collapsed="false">
      <c r="A15" s="6" t="s">
        <v>437</v>
      </c>
      <c r="C15" s="62" t="n">
        <f aca="false">輸入與假設!C$153</f>
        <v>1</v>
      </c>
      <c r="D15" s="62" t="n">
        <f aca="false">輸入與假設!D$153</f>
        <v>1</v>
      </c>
      <c r="E15" s="62" t="n">
        <f aca="false">輸入與假設!E$153</f>
        <v>2</v>
      </c>
      <c r="F15" s="62" t="n">
        <f aca="false">輸入與假設!F$153</f>
        <v>2</v>
      </c>
      <c r="G15" s="62" t="n">
        <f aca="false">輸入與假設!G$153</f>
        <v>2</v>
      </c>
      <c r="H15" s="62" t="n">
        <f aca="false">輸入與假設!H$153</f>
        <v>2</v>
      </c>
      <c r="J15" s="10"/>
    </row>
    <row r="16" customFormat="false" ht="15" hidden="true" customHeight="false" outlineLevel="1" collapsed="false">
      <c r="A16" s="6" t="s">
        <v>438</v>
      </c>
      <c r="C16" s="25" t="n">
        <v>1</v>
      </c>
      <c r="D16" s="25" t="n">
        <v>2</v>
      </c>
      <c r="E16" s="25" t="n">
        <v>3</v>
      </c>
      <c r="F16" s="25" t="n">
        <v>4</v>
      </c>
      <c r="G16" s="25" t="n">
        <v>5</v>
      </c>
      <c r="H16" s="25" t="n">
        <v>6</v>
      </c>
      <c r="J16" s="10"/>
    </row>
    <row r="17" customFormat="false" ht="15" hidden="true" customHeight="false" outlineLevel="1" collapsed="false">
      <c r="A17" s="6" t="s">
        <v>439</v>
      </c>
      <c r="B17" s="10" t="s">
        <v>86</v>
      </c>
      <c r="C17" s="25" t="n">
        <f aca="false">輸入與假設!$C$156+(輸入與假設!C$23-輸入與假設!$C$156)*1/2</f>
        <v>1675</v>
      </c>
      <c r="D17" s="25" t="n">
        <f aca="false">輸入與假設!$C$156+(輸入與假設!C$23-輸入與假設!$C$156)*2/2</f>
        <v>1850</v>
      </c>
      <c r="E17" s="25" t="n">
        <f aca="false">輸入與假設!C$23+(輸入與假設!D$23-輸入與假設!C$23)*1/4</f>
        <v>2162.5</v>
      </c>
      <c r="F17" s="25" t="n">
        <f aca="false">輸入與假設!C$23+(輸入與假設!D$23-輸入與假設!C$23)*2/4</f>
        <v>2475</v>
      </c>
      <c r="G17" s="25" t="n">
        <f aca="false">輸入與假設!C$23+(輸入與假設!D$23-輸入與假設!C$23)*3/4</f>
        <v>2787.5</v>
      </c>
      <c r="H17" s="25" t="n">
        <f aca="false">輸入與假設!C$23+(輸入與假設!D$23-輸入與假設!C$23)*4/4</f>
        <v>3100</v>
      </c>
      <c r="J17" s="3"/>
    </row>
    <row r="18" customFormat="false" ht="15" hidden="true" customHeight="false" outlineLevel="1" collapsed="false">
      <c r="A18" s="6" t="s">
        <v>440</v>
      </c>
      <c r="B18" s="10" t="s">
        <v>86</v>
      </c>
      <c r="C18" s="25" t="n">
        <f aca="false">輸入與假設!$C$18+(輸入與假設!C$24-輸入與假設!$C$18)*1/4</f>
        <v>1437.5</v>
      </c>
      <c r="D18" s="25" t="n">
        <f aca="false">輸入與假設!$C$18+(輸入與假設!C$24-輸入與假設!$C$18)*3/4</f>
        <v>1612.5</v>
      </c>
      <c r="E18" s="25" t="n">
        <f aca="false">輸入與假設!C$24+(輸入與假設!D$24-輸入與假設!C$24)*1/8</f>
        <v>1850</v>
      </c>
      <c r="F18" s="25" t="n">
        <f aca="false">輸入與假設!C$24+(輸入與假設!D$24-輸入與假設!C$24)*3/8</f>
        <v>2150</v>
      </c>
      <c r="G18" s="25" t="n">
        <f aca="false">輸入與假設!C$24+(輸入與假設!D$24-輸入與假設!C$24)*5/8</f>
        <v>2450</v>
      </c>
      <c r="H18" s="25" t="n">
        <f aca="false">輸入與假設!C$24+(輸入與假設!D$24-輸入與假設!C$24)*7/8</f>
        <v>2750</v>
      </c>
      <c r="J18" s="3"/>
    </row>
    <row r="19" customFormat="false" ht="15" hidden="true" customHeight="false" outlineLevel="1" collapsed="false">
      <c r="A19" s="6" t="s">
        <v>441</v>
      </c>
      <c r="B19" s="10" t="s">
        <v>86</v>
      </c>
      <c r="C19" s="25" t="n">
        <f aca="false">C17-輸入與假設!$C$156</f>
        <v>175</v>
      </c>
      <c r="D19" s="25" t="n">
        <f aca="false">D17-C17</f>
        <v>175</v>
      </c>
      <c r="E19" s="25" t="n">
        <f aca="false">E17-輸入與假設!C$23</f>
        <v>312.5</v>
      </c>
      <c r="F19" s="25" t="n">
        <f aca="false">F17-E17</f>
        <v>312.5</v>
      </c>
      <c r="G19" s="25" t="n">
        <f aca="false">G17-F17</f>
        <v>312.5</v>
      </c>
      <c r="H19" s="25" t="n">
        <f aca="false">H17-G17</f>
        <v>312.5</v>
      </c>
      <c r="J19" s="10"/>
    </row>
    <row r="20" customFormat="false" ht="15" hidden="true" customHeight="false" outlineLevel="1" collapsed="false">
      <c r="A20" s="6" t="s">
        <v>442</v>
      </c>
      <c r="B20" s="10" t="s">
        <v>17</v>
      </c>
      <c r="C20" s="28" t="n">
        <f aca="false">輸入與假設!$C$155+1*(損益與評價!C8-2*輸入與假設!$C$155)/3</f>
        <v>3.66266666666667</v>
      </c>
      <c r="D20" s="28" t="n">
        <f aca="false">輸入與假設!$C$155+2*(損益與評價!C8-2*輸入與假設!$C$155)/3</f>
        <v>4.75033333333333</v>
      </c>
      <c r="E20" s="28" t="n">
        <f aca="false">損益與評價!D8*E18/(E18+F18+G18+H18)</f>
        <v>5.25389945652174</v>
      </c>
      <c r="F20" s="28" t="n">
        <f aca="false">損益與評價!D8*F18/(E18+F18+G18+H18)</f>
        <v>6.10588315217391</v>
      </c>
      <c r="G20" s="28" t="n">
        <f aca="false">損益與評價!D8*G18/(E18+F18+G18+H18)</f>
        <v>6.95786684782609</v>
      </c>
      <c r="H20" s="28" t="n">
        <f aca="false">損益與評價!D8*H18/(E18+F18+G18+H18)</f>
        <v>7.80985054347826</v>
      </c>
      <c r="J20" s="3"/>
    </row>
    <row r="21" customFormat="false" ht="15" hidden="true" customHeight="false" outlineLevel="1" collapsed="false">
      <c r="A21" s="16" t="s">
        <v>443</v>
      </c>
      <c r="C21" s="56" t="n">
        <f aca="false">C20+D20</f>
        <v>8.413</v>
      </c>
      <c r="D21" s="56" t="n">
        <f aca="false">E20+F20+G20+H20</f>
        <v>26.1275</v>
      </c>
      <c r="J21" s="3"/>
    </row>
    <row r="22" customFormat="false" ht="15" hidden="true" customHeight="false" outlineLevel="1" collapsed="false">
      <c r="A22" s="16" t="s">
        <v>444</v>
      </c>
      <c r="C22" s="56" t="n">
        <f aca="false">C20*C16+D20*D16</f>
        <v>13.1633333333333</v>
      </c>
      <c r="D22" s="56" t="n">
        <f aca="false">E20*E16+F20*F16+G20*G16+H20*H16</f>
        <v>121.833668478261</v>
      </c>
      <c r="J22" s="3"/>
    </row>
    <row r="23" customFormat="false" ht="15" hidden="true" customHeight="false" outlineLevel="1" collapsed="false">
      <c r="A23" s="16" t="s">
        <v>445</v>
      </c>
      <c r="C23" s="56" t="n">
        <f aca="false">損益與評價!C11</f>
        <v>4.96367</v>
      </c>
      <c r="D23" s="56" t="n">
        <f aca="false">損益與評價!D11</f>
        <v>15.8071375</v>
      </c>
      <c r="J23" s="3"/>
    </row>
    <row r="24" customFormat="false" ht="15" hidden="true" customHeight="false" outlineLevel="1" collapsed="false">
      <c r="A24" s="16" t="s">
        <v>446</v>
      </c>
      <c r="C24" s="63" t="n">
        <f aca="false">(C23*D22-C22*D23)/(C21*D22-C22*D21)</f>
        <v>0.582425245512132</v>
      </c>
      <c r="D24" s="63" t="n">
        <f aca="false">(C21*D23-D21*C23)/(C21*D22-C22*D21)</f>
        <v>0.0048412060906385</v>
      </c>
      <c r="J24" s="3"/>
    </row>
    <row r="25" customFormat="false" ht="15" hidden="true" customHeight="false" outlineLevel="1" collapsed="false">
      <c r="A25" s="16" t="s">
        <v>447</v>
      </c>
      <c r="B25" s="10" t="s">
        <v>8</v>
      </c>
      <c r="C25" s="27" t="n">
        <f aca="false">$C$24+$D$24*C16</f>
        <v>0.58726645160277</v>
      </c>
      <c r="D25" s="27" t="n">
        <f aca="false">$C$24+$D$24*D16</f>
        <v>0.592107657693409</v>
      </c>
      <c r="E25" s="27" t="n">
        <f aca="false">$C$24+$D$24*E16</f>
        <v>0.596948863784047</v>
      </c>
      <c r="F25" s="27" t="n">
        <f aca="false">$C$24+$D$24*F16</f>
        <v>0.601790069874686</v>
      </c>
      <c r="G25" s="27" t="n">
        <f aca="false">$C$24+$D$24*G16</f>
        <v>0.606631275965324</v>
      </c>
      <c r="H25" s="27" t="n">
        <f aca="false">$C$24+$D$24*H16</f>
        <v>0.611472482055963</v>
      </c>
      <c r="J25" s="3"/>
    </row>
    <row r="26" customFormat="false" ht="15" hidden="true" customHeight="false" outlineLevel="1" collapsed="false">
      <c r="A26" s="6" t="s">
        <v>448</v>
      </c>
      <c r="B26" s="10" t="s">
        <v>17</v>
      </c>
      <c r="C26" s="28" t="n">
        <f aca="false">C20*C25</f>
        <v>2.15096125673708</v>
      </c>
      <c r="D26" s="28" t="n">
        <f aca="false">D20*D25</f>
        <v>2.81270874326292</v>
      </c>
      <c r="E26" s="28" t="n">
        <f aca="false">E20*E25</f>
        <v>3.13630931100627</v>
      </c>
      <c r="F26" s="28" t="n">
        <f aca="false">F20*F25</f>
        <v>3.6744598487934</v>
      </c>
      <c r="G26" s="28" t="n">
        <f aca="false">G20*G25</f>
        <v>4.22085964389357</v>
      </c>
      <c r="H26" s="28" t="n">
        <f aca="false">H20*H25</f>
        <v>4.77550869630676</v>
      </c>
    </row>
    <row r="27" customFormat="false" ht="15" hidden="true" customHeight="false" outlineLevel="1" collapsed="false">
      <c r="A27" s="6" t="s">
        <v>449</v>
      </c>
      <c r="B27" s="10" t="s">
        <v>17</v>
      </c>
      <c r="C27" s="28" t="n">
        <f aca="false">(輸入與假設!C$62+輸入與假設!C$60*1/4)/輸入與假設!$C$44*輸入與假設!C$21/2</f>
        <v>2.164375</v>
      </c>
      <c r="D27" s="28" t="n">
        <f aca="false">(輸入與假設!C$62+輸入與假設!C$60*3/4)/輸入與假設!$C$44*輸入與假設!C$21/2</f>
        <v>2.59845833333333</v>
      </c>
      <c r="E27" s="28" t="n">
        <f aca="false">(輸入與假設!D$62+輸入與假設!D$60*1/8)/輸入與假設!$C$44*輸入與假設!D$21/4</f>
        <v>3.01516145833333</v>
      </c>
      <c r="F27" s="28" t="n">
        <f aca="false">(輸入與假設!D$62+輸入與假設!D$60*3/8)/輸入與假設!$C$44*輸入與假設!D$21/4</f>
        <v>3.414484375</v>
      </c>
      <c r="G27" s="28" t="n">
        <f aca="false">(輸入與假設!D$62+輸入與假設!D$60*5/8)/輸入與假設!$C$44*輸入與假設!D$21/4</f>
        <v>3.81380729166667</v>
      </c>
      <c r="H27" s="28" t="n">
        <f aca="false">(輸入與假設!D$62+輸入與假設!D$60*7/8)/輸入與假設!$C$44*輸入與假設!D$21/4</f>
        <v>4.21313020833333</v>
      </c>
      <c r="J27" s="3"/>
    </row>
    <row r="28" customFormat="false" ht="15" hidden="true" customHeight="false" outlineLevel="1" collapsed="false">
      <c r="A28" s="6" t="s">
        <v>450</v>
      </c>
      <c r="B28" s="10" t="s">
        <v>17</v>
      </c>
      <c r="C28" s="28" t="n">
        <f aca="false">C26-C27</f>
        <v>-0.0134137432629213</v>
      </c>
      <c r="D28" s="28" t="n">
        <f aca="false">D26-D27</f>
        <v>0.214250409929588</v>
      </c>
      <c r="E28" s="28" t="n">
        <f aca="false">E26-E27</f>
        <v>0.12114785267294</v>
      </c>
      <c r="F28" s="28" t="n">
        <f aca="false">F26-F27</f>
        <v>0.259975473793403</v>
      </c>
      <c r="G28" s="28" t="n">
        <f aca="false">G26-G27</f>
        <v>0.407052352226899</v>
      </c>
      <c r="H28" s="28" t="n">
        <f aca="false">H26-H27</f>
        <v>0.562378487973426</v>
      </c>
      <c r="J28" s="3"/>
    </row>
    <row r="29" customFormat="false" ht="15" hidden="true" customHeight="false" outlineLevel="1" collapsed="false">
      <c r="A29" s="6" t="s">
        <v>451</v>
      </c>
      <c r="B29" s="10" t="s">
        <v>17</v>
      </c>
      <c r="C29" s="28" t="n">
        <f aca="false">IF(ISNUMBER(輸入與假設!C$162),輸入與假設!C$162,"不適用")</f>
        <v>3.45</v>
      </c>
      <c r="D29" s="28" t="str">
        <f aca="false">IF(ISNUMBER(輸入與假設!D$162),輸入與假設!D$162,"不適用")</f>
        <v>不適用</v>
      </c>
      <c r="E29" s="28" t="str">
        <f aca="false">IF(ISNUMBER(輸入與假設!E$162),輸入與假設!E$162,"不適用")</f>
        <v>不適用</v>
      </c>
      <c r="F29" s="28" t="str">
        <f aca="false">IF(ISNUMBER(輸入與假設!F$162),輸入與假設!F$162,"不適用")</f>
        <v>不適用</v>
      </c>
      <c r="G29" s="28" t="str">
        <f aca="false">IF(ISNUMBER(輸入與假設!G$162),輸入與假設!G$162,"不適用")</f>
        <v>不適用</v>
      </c>
      <c r="H29" s="28" t="str">
        <f aca="false">IF(ISNUMBER(輸入與假設!H$162),輸入與假設!H$162,"不適用")</f>
        <v>不適用</v>
      </c>
    </row>
    <row r="30" customFormat="false" ht="15" hidden="true" customHeight="false" outlineLevel="1" collapsed="false">
      <c r="A30" s="6" t="s">
        <v>452</v>
      </c>
      <c r="B30" s="10" t="s">
        <v>17</v>
      </c>
      <c r="C30" s="28" t="n">
        <f aca="false">IF(ISNUMBER(輸入與假設!C$163),輸入與假設!C$163,"不適用")</f>
        <v>3.6</v>
      </c>
      <c r="D30" s="28" t="str">
        <f aca="false">IF(ISNUMBER(輸入與假設!D$163),輸入與假設!D$163,"不適用")</f>
        <v>不適用</v>
      </c>
      <c r="E30" s="28" t="str">
        <f aca="false">IF(ISNUMBER(輸入與假設!E$163),輸入與假設!E$163,"不適用")</f>
        <v>不適用</v>
      </c>
      <c r="F30" s="28" t="str">
        <f aca="false">IF(ISNUMBER(輸入與假設!F$163),輸入與假設!F$163,"不適用")</f>
        <v>不適用</v>
      </c>
      <c r="G30" s="28" t="str">
        <f aca="false">IF(ISNUMBER(輸入與假設!G$163),輸入與假設!G$163,"不適用")</f>
        <v>不適用</v>
      </c>
      <c r="H30" s="28" t="str">
        <f aca="false">IF(ISNUMBER(輸入與假設!H$163),輸入與假設!H$163,"不適用")</f>
        <v>不適用</v>
      </c>
    </row>
    <row r="31" customFormat="false" ht="15" hidden="true" customHeight="false" outlineLevel="1" collapsed="false">
      <c r="A31" s="6" t="s">
        <v>453</v>
      </c>
      <c r="B31" s="10" t="s">
        <v>17</v>
      </c>
      <c r="C31" s="28" t="n">
        <f aca="false">IF(ISNUMBER(輸入與假設!C$164),輸入與假設!C$164,"不適用")</f>
        <v>0.2</v>
      </c>
      <c r="D31" s="28" t="str">
        <f aca="false">IF(ISNUMBER(輸入與假設!D$164),輸入與假設!D$164,"不適用")</f>
        <v>不適用</v>
      </c>
      <c r="E31" s="28" t="str">
        <f aca="false">IF(ISNUMBER(輸入與假設!E$164),輸入與假設!E$164,"不適用")</f>
        <v>不適用</v>
      </c>
      <c r="F31" s="28" t="str">
        <f aca="false">IF(ISNUMBER(輸入與假設!F$164),輸入與假設!F$164,"不適用")</f>
        <v>不適用</v>
      </c>
      <c r="G31" s="28" t="str">
        <f aca="false">IF(ISNUMBER(輸入與假設!G$164),輸入與假設!G$164,"不適用")</f>
        <v>不適用</v>
      </c>
      <c r="H31" s="28" t="str">
        <f aca="false">IF(ISNUMBER(輸入與假設!H$164),輸入與假設!H$164,"不適用")</f>
        <v>不適用</v>
      </c>
    </row>
    <row r="32" customFormat="false" ht="15" hidden="true" customHeight="false" outlineLevel="1" collapsed="false">
      <c r="A32" s="6" t="s">
        <v>454</v>
      </c>
      <c r="B32" s="10" t="s">
        <v>17</v>
      </c>
      <c r="C32" s="28" t="n">
        <f aca="false">IF(ISNUMBER(輸入與假設!C$165),輸入與假設!C$165,"不適用")</f>
        <v>0.26</v>
      </c>
      <c r="D32" s="28" t="str">
        <f aca="false">IF(ISNUMBER(輸入與假設!D$165),輸入與假設!D$165,"不適用")</f>
        <v>不適用</v>
      </c>
      <c r="E32" s="28" t="str">
        <f aca="false">IF(ISNUMBER(輸入與假設!E$165),輸入與假設!E$165,"不適用")</f>
        <v>不適用</v>
      </c>
      <c r="F32" s="28" t="str">
        <f aca="false">IF(ISNUMBER(輸入與假設!F$165),輸入與假設!F$165,"不適用")</f>
        <v>不適用</v>
      </c>
      <c r="G32" s="28" t="str">
        <f aca="false">IF(ISNUMBER(輸入與假設!G$165),輸入與假設!G$165,"不適用")</f>
        <v>不適用</v>
      </c>
      <c r="H32" s="28" t="str">
        <f aca="false">IF(ISNUMBER(輸入與假設!H$165),輸入與假設!H$165,"不適用")</f>
        <v>不適用</v>
      </c>
    </row>
    <row r="33" customFormat="false" ht="15" hidden="true" customHeight="false" outlineLevel="1" collapsed="false">
      <c r="A33" s="6" t="s">
        <v>455</v>
      </c>
      <c r="C33" s="64" t="str">
        <f aca="false">IF(ISTEXT(輸入與假設!C$168),輸入與假設!C$168,"")</f>
        <v/>
      </c>
      <c r="D33" s="64" t="str">
        <f aca="false">IF(ISTEXT(輸入與假設!D$168),輸入與假設!D$168,"")</f>
        <v>調整後營業利益率 low teens</v>
      </c>
      <c r="E33" s="64" t="str">
        <f aca="false">IF(ISTEXT(輸入與假設!E$168),輸入與假設!E$168,"")</f>
        <v/>
      </c>
      <c r="F33" s="64" t="str">
        <f aca="false">IF(ISTEXT(輸入與假設!F$168),輸入與假設!F$168,"")</f>
        <v/>
      </c>
      <c r="G33" s="64" t="str">
        <f aca="false">IF(ISTEXT(輸入與假設!G$168),輸入與假設!G$168,"")</f>
        <v/>
      </c>
      <c r="H33" s="64" t="str">
        <f aca="false">IF(ISTEXT(輸入與假設!H$168),輸入與假設!H$168,"")</f>
        <v/>
      </c>
      <c r="J33" s="3"/>
    </row>
    <row r="34" customFormat="false" ht="15" hidden="true" customHeight="false" outlineLevel="1" collapsed="false">
      <c r="A34" s="6" t="s">
        <v>456</v>
      </c>
      <c r="B34" s="10" t="s">
        <v>17</v>
      </c>
      <c r="C34" s="28" t="n">
        <f aca="false">IF(ISNUMBER(輸入與假設!C$166),輸入與假設!C$166,"不適用")</f>
        <v>11.5</v>
      </c>
      <c r="D34" s="28" t="str">
        <f aca="false">IF(ISNUMBER(輸入與假設!D$166),輸入與假設!D$166,"不適用")</f>
        <v>不適用</v>
      </c>
      <c r="E34" s="28" t="str">
        <f aca="false">IF(ISNUMBER(輸入與假設!E$166),輸入與假設!E$166,"不適用")</f>
        <v>不適用</v>
      </c>
      <c r="F34" s="28" t="str">
        <f aca="false">IF(ISNUMBER(輸入與假設!F$166),輸入與假設!F$166,"不適用")</f>
        <v>不適用</v>
      </c>
      <c r="G34" s="28" t="str">
        <f aca="false">IF(ISNUMBER(輸入與假設!G$166),輸入與假設!G$166,"不適用")</f>
        <v>不適用</v>
      </c>
      <c r="H34" s="28" t="str">
        <f aca="false">IF(ISNUMBER(輸入與假設!H$166),輸入與假設!H$166,"不適用")</f>
        <v>不適用</v>
      </c>
    </row>
    <row r="35" customFormat="false" ht="15" hidden="true" customHeight="false" outlineLevel="1" collapsed="false">
      <c r="A35" s="6" t="s">
        <v>457</v>
      </c>
      <c r="B35" s="10" t="s">
        <v>17</v>
      </c>
      <c r="C35" s="28" t="n">
        <f aca="false">IF(ISNUMBER(輸入與假設!C$167),輸入與假設!C$167,"不適用")</f>
        <v>13.5</v>
      </c>
      <c r="D35" s="28" t="str">
        <f aca="false">IF(ISNUMBER(輸入與假設!D$167),輸入與假設!D$167,"不適用")</f>
        <v>不適用</v>
      </c>
      <c r="E35" s="28" t="str">
        <f aca="false">IF(ISNUMBER(輸入與假設!E$167),輸入與假設!E$167,"不適用")</f>
        <v>不適用</v>
      </c>
      <c r="F35" s="28" t="str">
        <f aca="false">IF(ISNUMBER(輸入與假設!F$167),輸入與假設!F$167,"不適用")</f>
        <v>不適用</v>
      </c>
      <c r="G35" s="28" t="str">
        <f aca="false">IF(ISNUMBER(輸入與假設!G$167),輸入與假設!G$167,"不適用")</f>
        <v>不適用</v>
      </c>
      <c r="H35" s="28" t="str">
        <f aca="false">IF(ISNUMBER(輸入與假設!H$167),輸入與假設!H$167,"不適用")</f>
        <v>不適用</v>
      </c>
    </row>
    <row r="36" customFormat="false" ht="15" hidden="true" customHeight="false" outlineLevel="1" collapsed="false">
      <c r="A36" s="16" t="s">
        <v>458</v>
      </c>
      <c r="B36" s="10" t="s">
        <v>17</v>
      </c>
      <c r="C36" s="28" t="n">
        <f aca="false">IF(AND(ISNUMBER(C34),ISNUMBER(C35)),((C34+C35)/2),"")</f>
        <v>12.5</v>
      </c>
      <c r="D36" s="28" t="str">
        <f aca="false">IF(AND(ISNUMBER(D34),ISNUMBER(D35)),((D34+D35)/2),"")</f>
        <v/>
      </c>
      <c r="E36" s="28" t="str">
        <f aca="false">IF(AND(ISNUMBER(E34),ISNUMBER(E35)),((E34+E35)/2),"")</f>
        <v/>
      </c>
      <c r="F36" s="28" t="str">
        <f aca="false">IF(AND(ISNUMBER(F34),ISNUMBER(F35)),((F34+F35)/2),"")</f>
        <v/>
      </c>
      <c r="G36" s="28" t="str">
        <f aca="false">IF(AND(ISNUMBER(G34),ISNUMBER(G35)),((G34+G35)/2),"")</f>
        <v/>
      </c>
      <c r="H36" s="28" t="str">
        <f aca="false">IF(AND(ISNUMBER(H34),ISNUMBER(H35)),((H34+H35)/2),"")</f>
        <v/>
      </c>
      <c r="J36" s="3"/>
    </row>
    <row r="37" customFormat="false" ht="15" hidden="true" customHeight="false" outlineLevel="1" collapsed="false">
      <c r="A37" s="16" t="s">
        <v>459</v>
      </c>
      <c r="B37" s="10" t="s">
        <v>86</v>
      </c>
      <c r="C37" s="25" t="n">
        <f aca="false">IF(ISNUMBER(C36),0,C19)</f>
        <v>0</v>
      </c>
      <c r="D37" s="25" t="n">
        <f aca="false">IF(ISNUMBER(D36),0,D19)</f>
        <v>175</v>
      </c>
      <c r="E37" s="25" t="n">
        <f aca="false">IF(ISNUMBER(E36),0,E19)</f>
        <v>312.5</v>
      </c>
      <c r="F37" s="25" t="n">
        <f aca="false">IF(ISNUMBER(F36),0,F19)</f>
        <v>312.5</v>
      </c>
      <c r="G37" s="25" t="n">
        <f aca="false">IF(ISNUMBER(G36),0,G19)</f>
        <v>312.5</v>
      </c>
      <c r="H37" s="25" t="n">
        <f aca="false">IF(ISNUMBER(H36),0,H19)</f>
        <v>312.5</v>
      </c>
      <c r="J37" s="3"/>
    </row>
    <row r="38" customFormat="false" ht="15" hidden="true" customHeight="false" outlineLevel="1" collapsed="false">
      <c r="A38" s="16" t="s">
        <v>460</v>
      </c>
      <c r="B38" s="10" t="s">
        <v>17</v>
      </c>
      <c r="C38" s="28" t="n">
        <f aca="false">IF(ISNUMBER(C36),C36,IF((C37+D37)&gt;0,(輸入與假設!C$63-SUM(C36,D36))*C37/(C37+D37),(輸入與假設!C$63-SUM(C36,D36))/(2-COUNT(C36,D36))))</f>
        <v>12.5</v>
      </c>
      <c r="D38" s="28" t="n">
        <f aca="false">IF(ISNUMBER(D36),D36,IF((C37+D37)&gt;0,(輸入與假設!C$63-SUM(C36,D36))*D37/(C37+D37),(輸入與假設!C$63-SUM(C36,D36))/(2-COUNT(C36,D36))))</f>
        <v>8.336</v>
      </c>
      <c r="E38" s="28" t="n">
        <f aca="false">IF(ISNUMBER(E36),E36,IF((E37+F37+G37+H37)&gt;0,(輸入與假設!D$63-SUM(E36,F36,G36,H36))*E37/(E37+F37+G37+H37),(輸入與假設!D$63-SUM(E36,F36,G36,H36))/(4-COUNT(E36,F36,G36,H36))))</f>
        <v>9.58375</v>
      </c>
      <c r="F38" s="28" t="n">
        <f aca="false">IF(ISNUMBER(F36),F36,IF((E37+F37+G37+H37)&gt;0,(輸入與假設!D$63-SUM(E36,F36,G36,H36))*F37/(E37+F37+G37+H37),(輸入與假設!D$63-SUM(E36,F36,G36,H36))/(4-COUNT(E36,F36,G36,H36))))</f>
        <v>9.58375</v>
      </c>
      <c r="G38" s="28" t="n">
        <f aca="false">IF(ISNUMBER(G36),G36,IF((E37+F37+G37+H37)&gt;0,(輸入與假設!D$63-SUM(E36,F36,G36,H36))*G37/(E37+F37+G37+H37),(輸入與假設!D$63-SUM(E36,F36,G36,H36))/(4-COUNT(E36,F36,G36,H36))))</f>
        <v>9.58375</v>
      </c>
      <c r="H38" s="28" t="n">
        <f aca="false">IF(ISNUMBER(H36),H36,IF((E37+F37+G37+H37)&gt;0,(輸入與假設!D$63-SUM(E36,F36,G36,H36))*H37/(E37+F37+G37+H37),(輸入與假設!D$63-SUM(E36,F36,G36,H36))/(4-COUNT(E36,F36,G36,H36))))</f>
        <v>9.58375</v>
      </c>
      <c r="J38" s="3"/>
    </row>
    <row r="39" customFormat="false" ht="15" hidden="true" customHeight="false" outlineLevel="1" collapsed="false">
      <c r="A39" s="6" t="s">
        <v>461</v>
      </c>
      <c r="B39" s="10" t="s">
        <v>17</v>
      </c>
      <c r="C39" s="28" t="n">
        <f aca="false">IF(ISNUMBER(輸入與假設!$C$147),輸入與假設!$C$147,"不適用")</f>
        <v>3.541</v>
      </c>
      <c r="D39" s="28" t="n">
        <f aca="false">IF(ISNUMBER(輸入與假設!$D$147),輸入與假設!$D$147,"不適用")</f>
        <v>4.706</v>
      </c>
      <c r="E39" s="52" t="s">
        <v>423</v>
      </c>
      <c r="F39" s="52" t="s">
        <v>423</v>
      </c>
      <c r="G39" s="52" t="s">
        <v>423</v>
      </c>
      <c r="H39" s="52" t="s">
        <v>423</v>
      </c>
      <c r="J39" s="10"/>
    </row>
    <row r="40" customFormat="false" ht="15" hidden="true" customHeight="false" outlineLevel="1" collapsed="false">
      <c r="A40" s="6" t="s">
        <v>462</v>
      </c>
      <c r="B40" s="10" t="s">
        <v>17</v>
      </c>
      <c r="C40" s="52" t="n">
        <f aca="false">IF(ISNUMBER(輸入與假設!$C$148),輸入與假設!$C$148,"不適用")</f>
        <v>2.047</v>
      </c>
      <c r="D40" s="52" t="n">
        <f aca="false">IF(ISNUMBER(輸入與假設!$D$148),輸入與假設!$D$148,"不適用")</f>
        <v>2.897</v>
      </c>
      <c r="E40" s="52" t="s">
        <v>423</v>
      </c>
      <c r="F40" s="52" t="s">
        <v>423</v>
      </c>
      <c r="G40" s="52" t="s">
        <v>423</v>
      </c>
      <c r="H40" s="52" t="s">
        <v>423</v>
      </c>
      <c r="J40" s="10"/>
    </row>
    <row r="41" customFormat="false" ht="15" hidden="true" customHeight="false" outlineLevel="1" collapsed="false">
      <c r="A41" s="6" t="s">
        <v>463</v>
      </c>
      <c r="B41" s="10" t="s">
        <v>8</v>
      </c>
      <c r="C41" s="27" t="n">
        <f aca="false">IF(AND(ISNUMBER(輸入與假設!$C$148),ISNUMBER(輸入與假設!$C$147)),輸入與假設!$C$148/輸入與假設!$C$147,"不適用")</f>
        <v>0.578085286642192</v>
      </c>
      <c r="D41" s="27" t="n">
        <f aca="false">IF(AND(ISNUMBER(輸入與假設!$D$148),ISNUMBER(輸入與假設!$D$147)),輸入與假設!$D$148/輸入與假設!$D$147,"不適用")</f>
        <v>0.615597110072248</v>
      </c>
      <c r="E41" s="65" t="s">
        <v>423</v>
      </c>
      <c r="F41" s="65" t="s">
        <v>423</v>
      </c>
      <c r="G41" s="65" t="s">
        <v>423</v>
      </c>
      <c r="H41" s="65" t="s">
        <v>423</v>
      </c>
      <c r="J41" s="3"/>
    </row>
    <row r="42" customFormat="false" ht="15" hidden="true" customHeight="false" outlineLevel="1" collapsed="false">
      <c r="A42" s="6" t="s">
        <v>464</v>
      </c>
      <c r="B42" s="10" t="s">
        <v>17</v>
      </c>
      <c r="C42" s="52" t="n">
        <f aca="false">IF(ISNUMBER(輸入與假設!$C$149),輸入與假設!$C$149,"不適用")</f>
        <v>0.2408</v>
      </c>
      <c r="D42" s="52" t="n">
        <f aca="false">IF(ISNUMBER(輸入與假設!$D$149),輸入與假設!$D$149,"不適用")</f>
        <v>0.6805</v>
      </c>
      <c r="E42" s="52" t="s">
        <v>423</v>
      </c>
      <c r="F42" s="52" t="s">
        <v>423</v>
      </c>
      <c r="G42" s="52" t="s">
        <v>423</v>
      </c>
      <c r="H42" s="52" t="s">
        <v>423</v>
      </c>
      <c r="J42" s="3"/>
    </row>
    <row r="43" customFormat="false" ht="15" hidden="true" customHeight="false" outlineLevel="1" collapsed="false">
      <c r="A43" s="6" t="s">
        <v>465</v>
      </c>
      <c r="B43" s="10" t="s">
        <v>17</v>
      </c>
      <c r="C43" s="34" t="str">
        <f aca="false">IF(ISNUMBER(輸入與假設!C$157),輸入與假設!C$157,"")</f>
        <v/>
      </c>
      <c r="D43" s="34" t="str">
        <f aca="false">IF(ISNUMBER(輸入與假設!D$157),輸入與假設!D$157,"")</f>
        <v/>
      </c>
      <c r="E43" s="34" t="str">
        <f aca="false">IF(ISNUMBER(輸入與假設!E$157),輸入與假設!E$157,"")</f>
        <v/>
      </c>
      <c r="F43" s="34" t="str">
        <f aca="false">IF(ISNUMBER(輸入與假設!F$157),輸入與假設!F$157,"")</f>
        <v/>
      </c>
      <c r="G43" s="34" t="str">
        <f aca="false">IF(ISNUMBER(輸入與假設!G$157),輸入與假設!G$157,"")</f>
        <v/>
      </c>
      <c r="H43" s="34" t="str">
        <f aca="false">IF(ISNUMBER(輸入與假設!H$157),輸入與假設!H$157,"")</f>
        <v/>
      </c>
    </row>
    <row r="44" customFormat="false" ht="15" hidden="true" customHeight="false" outlineLevel="1" collapsed="false">
      <c r="A44" s="6" t="s">
        <v>466</v>
      </c>
      <c r="B44" s="10" t="s">
        <v>17</v>
      </c>
      <c r="C44" s="34" t="str">
        <f aca="false">IF(ISNUMBER(輸入與假設!C$158),輸入與假設!C$158,"")</f>
        <v/>
      </c>
      <c r="D44" s="34" t="str">
        <f aca="false">IF(ISNUMBER(輸入與假設!D$158),輸入與假設!D$158,"")</f>
        <v/>
      </c>
      <c r="E44" s="34" t="str">
        <f aca="false">IF(ISNUMBER(輸入與假設!E$158),輸入與假設!E$158,"")</f>
        <v/>
      </c>
      <c r="F44" s="34" t="str">
        <f aca="false">IF(ISNUMBER(輸入與假設!F$158),輸入與假設!F$158,"")</f>
        <v/>
      </c>
      <c r="G44" s="34" t="str">
        <f aca="false">IF(ISNUMBER(輸入與假設!G$158),輸入與假設!G$158,"")</f>
        <v/>
      </c>
      <c r="H44" s="34" t="str">
        <f aca="false">IF(ISNUMBER(輸入與假設!H$158),輸入與假設!H$158,"")</f>
        <v/>
      </c>
    </row>
    <row r="45" customFormat="false" ht="15" hidden="true" customHeight="false" outlineLevel="1" collapsed="false">
      <c r="A45" s="6" t="s">
        <v>467</v>
      </c>
      <c r="B45" s="10" t="s">
        <v>8</v>
      </c>
      <c r="C45" s="65" t="str">
        <f aca="false">IF(AND(ISNUMBER(輸入與假設!C$158),ISNUMBER(輸入與假設!C$157)),輸入與假設!C$158/輸入與假設!C$157,"")</f>
        <v/>
      </c>
      <c r="D45" s="65" t="str">
        <f aca="false">IF(AND(ISNUMBER(輸入與假設!D$158),ISNUMBER(輸入與假設!D$157)),輸入與假設!D$158/輸入與假設!D$157,"")</f>
        <v/>
      </c>
      <c r="E45" s="65" t="str">
        <f aca="false">IF(AND(ISNUMBER(輸入與假設!E$158),ISNUMBER(輸入與假設!E$157)),輸入與假設!E$158/輸入與假設!E$157,"")</f>
        <v/>
      </c>
      <c r="F45" s="65" t="str">
        <f aca="false">IF(AND(ISNUMBER(輸入與假設!F$158),ISNUMBER(輸入與假設!F$157)),輸入與假設!F$158/輸入與假設!F$157,"")</f>
        <v/>
      </c>
      <c r="G45" s="65" t="str">
        <f aca="false">IF(AND(ISNUMBER(輸入與假設!G$158),ISNUMBER(輸入與假設!G$157)),輸入與假設!G$158/輸入與假設!G$157,"")</f>
        <v/>
      </c>
      <c r="H45" s="65" t="str">
        <f aca="false">IF(AND(ISNUMBER(輸入與假設!H$158),ISNUMBER(輸入與假設!H$157)),輸入與假設!H$158/輸入與假設!H$157,"")</f>
        <v/>
      </c>
      <c r="J45" s="3"/>
    </row>
    <row r="46" customFormat="false" ht="15" hidden="true" customHeight="false" outlineLevel="1" collapsed="false">
      <c r="A46" s="6" t="s">
        <v>468</v>
      </c>
      <c r="B46" s="10" t="s">
        <v>17</v>
      </c>
      <c r="C46" s="34" t="str">
        <f aca="false">IF(ISNUMBER(輸入與假設!C$159),輸入與假設!C$159,"")</f>
        <v/>
      </c>
      <c r="D46" s="34" t="str">
        <f aca="false">IF(ISNUMBER(輸入與假設!D$159),輸入與假設!D$159,"")</f>
        <v/>
      </c>
      <c r="E46" s="34" t="str">
        <f aca="false">IF(ISNUMBER(輸入與假設!E$159),輸入與假設!E$159,"")</f>
        <v/>
      </c>
      <c r="F46" s="34" t="str">
        <f aca="false">IF(ISNUMBER(輸入與假設!F$159),輸入與假設!F$159,"")</f>
        <v/>
      </c>
      <c r="G46" s="34" t="str">
        <f aca="false">IF(ISNUMBER(輸入與假設!G$159),輸入與假設!G$159,"")</f>
        <v/>
      </c>
      <c r="H46" s="34" t="str">
        <f aca="false">IF(ISNUMBER(輸入與假設!H$159),輸入與假設!H$159,"")</f>
        <v/>
      </c>
    </row>
    <row r="47" customFormat="false" ht="15" hidden="true" customHeight="false" outlineLevel="1" collapsed="false">
      <c r="A47" s="6" t="s">
        <v>469</v>
      </c>
      <c r="B47" s="10" t="s">
        <v>17</v>
      </c>
      <c r="C47" s="34" t="str">
        <f aca="false">IF(ISNUMBER(輸入與假設!C$160),輸入與假設!C$160,"")</f>
        <v/>
      </c>
      <c r="D47" s="34" t="str">
        <f aca="false">IF(ISNUMBER(輸入與假設!D$160),輸入與假設!D$160,"")</f>
        <v/>
      </c>
      <c r="E47" s="34" t="str">
        <f aca="false">IF(ISNUMBER(輸入與假設!E$160),輸入與假設!E$160,"")</f>
        <v/>
      </c>
      <c r="F47" s="34" t="str">
        <f aca="false">IF(ISNUMBER(輸入與假設!F$160),輸入與假設!F$160,"")</f>
        <v/>
      </c>
      <c r="G47" s="34" t="str">
        <f aca="false">IF(ISNUMBER(輸入與假設!G$160),輸入與假設!G$160,"")</f>
        <v/>
      </c>
      <c r="H47" s="34" t="str">
        <f aca="false">IF(ISNUMBER(輸入與假設!H$160),輸入與假設!H$160,"")</f>
        <v/>
      </c>
    </row>
    <row r="48" customFormat="false" ht="15" hidden="true" customHeight="false" outlineLevel="1" collapsed="false">
      <c r="A48" s="6" t="s">
        <v>470</v>
      </c>
      <c r="B48" s="10" t="s">
        <v>86</v>
      </c>
      <c r="C48" s="34" t="str">
        <f aca="false">IF(ISNUMBER(輸入與假設!C$161),輸入與假設!C$161,"")</f>
        <v/>
      </c>
      <c r="D48" s="34" t="str">
        <f aca="false">IF(ISNUMBER(輸入與假設!D$161),輸入與假設!D$161,"")</f>
        <v/>
      </c>
      <c r="E48" s="34" t="str">
        <f aca="false">IF(ISNUMBER(輸入與假設!E$161),輸入與假設!E$161,"")</f>
        <v/>
      </c>
      <c r="F48" s="34" t="str">
        <f aca="false">IF(ISNUMBER(輸入與假設!F$161),輸入與假設!F$161,"")</f>
        <v/>
      </c>
      <c r="G48" s="34" t="str">
        <f aca="false">IF(ISNUMBER(輸入與假設!G$161),輸入與假設!G$161,"")</f>
        <v/>
      </c>
      <c r="H48" s="34" t="str">
        <f aca="false">IF(ISNUMBER(輸入與假設!H$161),輸入與假設!H$161,"")</f>
        <v/>
      </c>
    </row>
    <row r="49" customFormat="false" ht="15" hidden="true" customHeight="false" outlineLevel="1" collapsed="false">
      <c r="A49" s="6" t="s">
        <v>471</v>
      </c>
      <c r="B49" s="10" t="s">
        <v>8</v>
      </c>
      <c r="C49" s="65" t="n">
        <f aca="false">IF(AND(ISNUMBER(C20),ISNUMBER(C39),C39&lt;&gt;0),C20/(C39)-1,"不適用")</f>
        <v>0.0343594088298973</v>
      </c>
      <c r="D49" s="65" t="n">
        <f aca="false">IF(AND(ISNUMBER(D20),ISNUMBER(D39),D39&lt;&gt;0),D20/(D39)-1,"不適用")</f>
        <v>0.00942059781838789</v>
      </c>
      <c r="E49" s="65" t="str">
        <f aca="false">IF(AND(ISNUMBER(E20),ISNUMBER(E39),E39&lt;&gt;0),E20/(E39)-1,"不適用")</f>
        <v>不適用</v>
      </c>
      <c r="F49" s="65" t="str">
        <f aca="false">IF(AND(ISNUMBER(F20),ISNUMBER(F39),F39&lt;&gt;0),F20/(F39)-1,"不適用")</f>
        <v>不適用</v>
      </c>
      <c r="G49" s="65" t="str">
        <f aca="false">IF(AND(ISNUMBER(G20),ISNUMBER(G39),G39&lt;&gt;0),G20/(G39)-1,"不適用")</f>
        <v>不適用</v>
      </c>
      <c r="H49" s="65" t="str">
        <f aca="false">IF(AND(ISNUMBER(H20),ISNUMBER(H39),H39&lt;&gt;0),H20/(H39)-1,"不適用")</f>
        <v>不適用</v>
      </c>
    </row>
    <row r="50" customFormat="false" ht="15" hidden="true" customHeight="false" outlineLevel="1" collapsed="false">
      <c r="A50" s="6" t="s">
        <v>472</v>
      </c>
      <c r="B50" s="10" t="s">
        <v>8</v>
      </c>
      <c r="C50" s="65" t="n">
        <f aca="false">IF(AND(ISNUMBER(C20),ISNUMBER(C29),ISNUMBER(C30)),C20/(((C29+C30)/2))-1,"不適用")</f>
        <v>0.0390543735224584</v>
      </c>
      <c r="D50" s="65" t="str">
        <f aca="false">IF(AND(ISNUMBER(D20),ISNUMBER(D29),ISNUMBER(D30)),D20/(((D29+D30)/2))-1,"不適用")</f>
        <v>不適用</v>
      </c>
      <c r="E50" s="65" t="str">
        <f aca="false">IF(AND(ISNUMBER(E20),ISNUMBER(E29),ISNUMBER(E30)),E20/(((E29+E30)/2))-1,"不適用")</f>
        <v>不適用</v>
      </c>
      <c r="F50" s="65" t="str">
        <f aca="false">IF(AND(ISNUMBER(F20),ISNUMBER(F29),ISNUMBER(F30)),F20/(((F29+F30)/2))-1,"不適用")</f>
        <v>不適用</v>
      </c>
      <c r="G50" s="65" t="str">
        <f aca="false">IF(AND(ISNUMBER(G20),ISNUMBER(G29),ISNUMBER(G30)),G20/(((G29+G30)/2))-1,"不適用")</f>
        <v>不適用</v>
      </c>
      <c r="H50" s="65" t="str">
        <f aca="false">IF(AND(ISNUMBER(H20),ISNUMBER(H29),ISNUMBER(H30)),H20/(((H29+H30)/2))-1,"不適用")</f>
        <v>不適用</v>
      </c>
    </row>
    <row r="51" customFormat="false" ht="15" hidden="true" customHeight="false" outlineLevel="1" collapsed="false">
      <c r="A51" s="6" t="s">
        <v>473</v>
      </c>
      <c r="B51" s="10" t="s">
        <v>8</v>
      </c>
      <c r="C51" s="65" t="str">
        <f aca="false">IF(ISNUMBER(C43),IF(AND(ISNUMBER(C20),C20&lt;&gt;0),C43/(C20)-1,"不適用"),"")</f>
        <v/>
      </c>
      <c r="D51" s="65" t="str">
        <f aca="false">IF(ISNUMBER(D43),IF(AND(ISNUMBER(D20),D20&lt;&gt;0),D43/(D20)-1,"不適用"),"")</f>
        <v/>
      </c>
      <c r="E51" s="65" t="str">
        <f aca="false">IF(ISNUMBER(E43),IF(AND(ISNUMBER(E20),E20&lt;&gt;0),E43/(E20)-1,"不適用"),"")</f>
        <v/>
      </c>
      <c r="F51" s="65" t="str">
        <f aca="false">IF(ISNUMBER(F43),IF(AND(ISNUMBER(F20),F20&lt;&gt;0),F43/(F20)-1,"不適用"),"")</f>
        <v/>
      </c>
      <c r="G51" s="65" t="str">
        <f aca="false">IF(ISNUMBER(G43),IF(AND(ISNUMBER(G20),G20&lt;&gt;0),G43/(G20)-1,"不適用"),"")</f>
        <v/>
      </c>
      <c r="H51" s="65" t="str">
        <f aca="false">IF(ISNUMBER(H43),IF(AND(ISNUMBER(H20),H20&lt;&gt;0),H43/(H20)-1,"不適用"),"")</f>
        <v/>
      </c>
    </row>
    <row r="52" customFormat="false" ht="15" hidden="true" customHeight="false" outlineLevel="1" collapsed="false">
      <c r="A52" s="6" t="s">
        <v>474</v>
      </c>
      <c r="B52" s="10" t="s">
        <v>8</v>
      </c>
      <c r="C52" s="65" t="str">
        <f aca="false">IF(ISNUMBER(C43),IF(AND(ISNUMBER(C39),C39&lt;&gt;0),C43/(C39)-1,"不適用"),"")</f>
        <v/>
      </c>
      <c r="D52" s="65" t="str">
        <f aca="false">IF(ISNUMBER(D43),IF(AND(ISNUMBER(D39),D39&lt;&gt;0),D43/(D39)-1,"不適用"),"")</f>
        <v/>
      </c>
      <c r="E52" s="65" t="str">
        <f aca="false">IF(ISNUMBER(E43),IF(AND(ISNUMBER(E39),E39&lt;&gt;0),E43/(E39)-1,"不適用"),"")</f>
        <v/>
      </c>
      <c r="F52" s="65" t="str">
        <f aca="false">IF(ISNUMBER(F43),IF(AND(ISNUMBER(F39),F39&lt;&gt;0),F43/(F39)-1,"不適用"),"")</f>
        <v/>
      </c>
      <c r="G52" s="65" t="str">
        <f aca="false">IF(ISNUMBER(G43),IF(AND(ISNUMBER(G39),G39&lt;&gt;0),G43/(G39)-1,"不適用"),"")</f>
        <v/>
      </c>
      <c r="H52" s="65" t="str">
        <f aca="false">IF(ISNUMBER(H43),IF(AND(ISNUMBER(H39),H39&lt;&gt;0),H43/(H39)-1,"不適用"),"")</f>
        <v/>
      </c>
    </row>
    <row r="53" customFormat="false" ht="15" hidden="true" customHeight="false" outlineLevel="1" collapsed="false">
      <c r="A53" s="6" t="s">
        <v>475</v>
      </c>
      <c r="B53" s="10" t="s">
        <v>8</v>
      </c>
      <c r="C53" s="65" t="str">
        <f aca="false">IF(ISNUMBER(C43),IF(AND(ISNUMBER(C29),ISNUMBER(C30)),C43/(((C29+C30)/2))-1,"不適用"),"")</f>
        <v/>
      </c>
      <c r="D53" s="65" t="str">
        <f aca="false">IF(ISNUMBER(D43),IF(AND(ISNUMBER(D29),ISNUMBER(D30)),D43/(((D29+D30)/2))-1,"不適用"),"")</f>
        <v/>
      </c>
      <c r="E53" s="65" t="str">
        <f aca="false">IF(ISNUMBER(E43),IF(AND(ISNUMBER(E29),ISNUMBER(E30)),E43/(((E29+E30)/2))-1,"不適用"),"")</f>
        <v/>
      </c>
      <c r="F53" s="65" t="str">
        <f aca="false">IF(ISNUMBER(F43),IF(AND(ISNUMBER(F29),ISNUMBER(F30)),F43/(((F29+F30)/2))-1,"不適用"),"")</f>
        <v/>
      </c>
      <c r="G53" s="65" t="str">
        <f aca="false">IF(ISNUMBER(G43),IF(AND(ISNUMBER(G29),ISNUMBER(G30)),G43/(((G29+G30)/2))-1,"不適用"),"")</f>
        <v/>
      </c>
      <c r="H53" s="65" t="str">
        <f aca="false">IF(ISNUMBER(H43),IF(AND(ISNUMBER(H29),ISNUMBER(H30)),H43/(((H29+H30)/2))-1,"不適用"),"")</f>
        <v/>
      </c>
    </row>
    <row r="54" customFormat="false" ht="15" hidden="true" customHeight="false" outlineLevel="1" collapsed="false">
      <c r="A54" s="6" t="s">
        <v>476</v>
      </c>
      <c r="B54" s="10" t="s">
        <v>17</v>
      </c>
      <c r="C54" s="52" t="n">
        <f aca="false">IF(AND(ISNUMBER(C26),ISNUMBER(C40)),C26-(C40),"不適用")</f>
        <v>0.103961256737079</v>
      </c>
      <c r="D54" s="52" t="n">
        <f aca="false">IF(AND(ISNUMBER(D26),ISNUMBER(D40)),D26-(D40),"不適用")</f>
        <v>-0.0842912567370782</v>
      </c>
      <c r="E54" s="52" t="str">
        <f aca="false">IF(AND(ISNUMBER(E26),ISNUMBER(E40)),E26-(E40),"不適用")</f>
        <v>不適用</v>
      </c>
      <c r="F54" s="52" t="str">
        <f aca="false">IF(AND(ISNUMBER(F26),ISNUMBER(F40)),F26-(F40),"不適用")</f>
        <v>不適用</v>
      </c>
      <c r="G54" s="52" t="str">
        <f aca="false">IF(AND(ISNUMBER(G26),ISNUMBER(G40)),G26-(G40),"不適用")</f>
        <v>不適用</v>
      </c>
      <c r="H54" s="52" t="str">
        <f aca="false">IF(AND(ISNUMBER(H26),ISNUMBER(H40)),H26-(H40),"不適用")</f>
        <v>不適用</v>
      </c>
    </row>
    <row r="55" customFormat="false" ht="15" hidden="true" customHeight="false" outlineLevel="1" collapsed="false">
      <c r="A55" s="6" t="s">
        <v>477</v>
      </c>
      <c r="B55" s="10" t="s">
        <v>17</v>
      </c>
      <c r="C55" s="52" t="s">
        <v>423</v>
      </c>
      <c r="D55" s="52" t="s">
        <v>423</v>
      </c>
      <c r="E55" s="52" t="s">
        <v>423</v>
      </c>
      <c r="F55" s="52" t="s">
        <v>423</v>
      </c>
      <c r="G55" s="52" t="s">
        <v>423</v>
      </c>
      <c r="H55" s="52" t="s">
        <v>423</v>
      </c>
    </row>
    <row r="56" customFormat="false" ht="15" hidden="true" customHeight="false" outlineLevel="1" collapsed="false">
      <c r="A56" s="6" t="s">
        <v>478</v>
      </c>
      <c r="B56" s="10" t="s">
        <v>17</v>
      </c>
      <c r="C56" s="52" t="str">
        <f aca="false">IF(ISNUMBER(C44),IF(AND(ISNUMBER(C26)),C44-(C26),"不適用"),"")</f>
        <v/>
      </c>
      <c r="D56" s="52" t="str">
        <f aca="false">IF(ISNUMBER(D44),IF(AND(ISNUMBER(D26)),D44-(D26),"不適用"),"")</f>
        <v/>
      </c>
      <c r="E56" s="52" t="str">
        <f aca="false">IF(ISNUMBER(E44),IF(AND(ISNUMBER(E26)),E44-(E26),"不適用"),"")</f>
        <v/>
      </c>
      <c r="F56" s="52" t="str">
        <f aca="false">IF(ISNUMBER(F44),IF(AND(ISNUMBER(F26)),F44-(F26),"不適用"),"")</f>
        <v/>
      </c>
      <c r="G56" s="52" t="str">
        <f aca="false">IF(ISNUMBER(G44),IF(AND(ISNUMBER(G26)),G44-(G26),"不適用"),"")</f>
        <v/>
      </c>
      <c r="H56" s="52" t="str">
        <f aca="false">IF(ISNUMBER(H44),IF(AND(ISNUMBER(H26)),H44-(H26),"不適用"),"")</f>
        <v/>
      </c>
    </row>
    <row r="57" customFormat="false" ht="15" hidden="true" customHeight="false" outlineLevel="1" collapsed="false">
      <c r="A57" s="6" t="s">
        <v>479</v>
      </c>
      <c r="B57" s="10" t="s">
        <v>17</v>
      </c>
      <c r="C57" s="52" t="str">
        <f aca="false">IF(ISNUMBER(C44),IF(AND(ISNUMBER(C40)),C44-(C40),"不適用"),"")</f>
        <v/>
      </c>
      <c r="D57" s="52" t="str">
        <f aca="false">IF(ISNUMBER(D44),IF(AND(ISNUMBER(D40)),D44-(D40),"不適用"),"")</f>
        <v/>
      </c>
      <c r="E57" s="52" t="str">
        <f aca="false">IF(ISNUMBER(E44),IF(AND(ISNUMBER(E40)),E44-(E40),"不適用"),"")</f>
        <v/>
      </c>
      <c r="F57" s="52" t="str">
        <f aca="false">IF(ISNUMBER(F44),IF(AND(ISNUMBER(F40)),F44-(F40),"不適用"),"")</f>
        <v/>
      </c>
      <c r="G57" s="52" t="str">
        <f aca="false">IF(ISNUMBER(G44),IF(AND(ISNUMBER(G40)),G44-(G40),"不適用"),"")</f>
        <v/>
      </c>
      <c r="H57" s="52" t="str">
        <f aca="false">IF(ISNUMBER(H44),IF(AND(ISNUMBER(H40)),H44-(H40),"不適用"),"")</f>
        <v/>
      </c>
    </row>
    <row r="58" customFormat="false" ht="15" hidden="true" customHeight="false" outlineLevel="1" collapsed="false">
      <c r="A58" s="6" t="s">
        <v>480</v>
      </c>
      <c r="B58" s="10" t="s">
        <v>17</v>
      </c>
      <c r="C58" s="52" t="str">
        <f aca="false">IF(ISNUMBER(C44),"不適用","")</f>
        <v/>
      </c>
      <c r="D58" s="52" t="str">
        <f aca="false">IF(ISNUMBER(D44),"不適用","")</f>
        <v/>
      </c>
      <c r="E58" s="52" t="str">
        <f aca="false">IF(ISNUMBER(E44),"不適用","")</f>
        <v/>
      </c>
      <c r="F58" s="52" t="str">
        <f aca="false">IF(ISNUMBER(F44),"不適用","")</f>
        <v/>
      </c>
      <c r="G58" s="52" t="str">
        <f aca="false">IF(ISNUMBER(G44),"不適用","")</f>
        <v/>
      </c>
      <c r="H58" s="52" t="str">
        <f aca="false">IF(ISNUMBER(H44),"不適用","")</f>
        <v/>
      </c>
    </row>
    <row r="59" customFormat="false" ht="15" hidden="true" customHeight="false" outlineLevel="1" collapsed="false">
      <c r="A59" s="6" t="s">
        <v>481</v>
      </c>
      <c r="B59" s="10" t="s">
        <v>27</v>
      </c>
      <c r="C59" s="65" t="n">
        <f aca="false">IF(AND(ISNUMBER(C26),ISNUMBER(C20),C20&lt;&gt;0,ISNUMBER(C40),ISNUMBER(C39),C39&lt;&gt;0),C26/C20-C40/C39,"不適用")</f>
        <v>0.00918116496057853</v>
      </c>
      <c r="D59" s="65" t="n">
        <f aca="false">IF(AND(ISNUMBER(D26),ISNUMBER(D20),D20&lt;&gt;0,ISNUMBER(D40),ISNUMBER(D39),D39&lt;&gt;0),D26/D20-D40/D39,"不適用")</f>
        <v>-0.0234894523788396</v>
      </c>
      <c r="E59" s="65" t="str">
        <f aca="false">IF(AND(ISNUMBER(E26),ISNUMBER(E20),E20&lt;&gt;0,ISNUMBER(E40),ISNUMBER(E39),E39&lt;&gt;0),E26/E20-E40/E39,"不適用")</f>
        <v>不適用</v>
      </c>
      <c r="F59" s="65" t="str">
        <f aca="false">IF(AND(ISNUMBER(F26),ISNUMBER(F20),F20&lt;&gt;0,ISNUMBER(F40),ISNUMBER(F39),F39&lt;&gt;0),F26/F20-F40/F39,"不適用")</f>
        <v>不適用</v>
      </c>
      <c r="G59" s="65" t="str">
        <f aca="false">IF(AND(ISNUMBER(G26),ISNUMBER(G20),G20&lt;&gt;0,ISNUMBER(G40),ISNUMBER(G39),G39&lt;&gt;0),G26/G20-G40/G39,"不適用")</f>
        <v>不適用</v>
      </c>
      <c r="H59" s="65" t="str">
        <f aca="false">IF(AND(ISNUMBER(H26),ISNUMBER(H20),H20&lt;&gt;0,ISNUMBER(H40),ISNUMBER(H39),H39&lt;&gt;0),H26/H20-H40/H39,"不適用")</f>
        <v>不適用</v>
      </c>
    </row>
    <row r="60" customFormat="false" ht="15" hidden="true" customHeight="false" outlineLevel="1" collapsed="false">
      <c r="A60" s="6" t="s">
        <v>482</v>
      </c>
      <c r="B60" s="10" t="s">
        <v>27</v>
      </c>
      <c r="C60" s="65" t="s">
        <v>423</v>
      </c>
      <c r="D60" s="65" t="s">
        <v>423</v>
      </c>
      <c r="E60" s="65" t="s">
        <v>423</v>
      </c>
      <c r="F60" s="65" t="s">
        <v>423</v>
      </c>
      <c r="G60" s="65" t="s">
        <v>423</v>
      </c>
      <c r="H60" s="65" t="s">
        <v>423</v>
      </c>
    </row>
    <row r="61" customFormat="false" ht="15" hidden="true" customHeight="false" outlineLevel="1" collapsed="false">
      <c r="A61" s="6" t="s">
        <v>483</v>
      </c>
      <c r="B61" s="10" t="s">
        <v>27</v>
      </c>
      <c r="C61" s="65" t="str">
        <f aca="false">IF(ISNUMBER(C44),IF(AND(ISNUMBER(C44),ISNUMBER(C43),C43&lt;&gt;0,ISNUMBER(C26),ISNUMBER(C20),C20&lt;&gt;0),C44/C43-C26/C20,"不適用"),"")</f>
        <v/>
      </c>
      <c r="D61" s="65" t="str">
        <f aca="false">IF(ISNUMBER(D44),IF(AND(ISNUMBER(D44),ISNUMBER(D43),D43&lt;&gt;0,ISNUMBER(D26),ISNUMBER(D20),D20&lt;&gt;0),D44/D43-D26/D20,"不適用"),"")</f>
        <v/>
      </c>
      <c r="E61" s="65" t="str">
        <f aca="false">IF(ISNUMBER(E44),IF(AND(ISNUMBER(E44),ISNUMBER(E43),E43&lt;&gt;0,ISNUMBER(E26),ISNUMBER(E20),E20&lt;&gt;0),E44/E43-E26/E20,"不適用"),"")</f>
        <v/>
      </c>
      <c r="F61" s="65" t="str">
        <f aca="false">IF(ISNUMBER(F44),IF(AND(ISNUMBER(F44),ISNUMBER(F43),F43&lt;&gt;0,ISNUMBER(F26),ISNUMBER(F20),F20&lt;&gt;0),F44/F43-F26/F20,"不適用"),"")</f>
        <v/>
      </c>
      <c r="G61" s="65" t="str">
        <f aca="false">IF(ISNUMBER(G44),IF(AND(ISNUMBER(G44),ISNUMBER(G43),G43&lt;&gt;0,ISNUMBER(G26),ISNUMBER(G20),G20&lt;&gt;0),G44/G43-G26/G20,"不適用"),"")</f>
        <v/>
      </c>
      <c r="H61" s="65" t="str">
        <f aca="false">IF(ISNUMBER(H44),IF(AND(ISNUMBER(H44),ISNUMBER(H43),H43&lt;&gt;0,ISNUMBER(H26),ISNUMBER(H20),H20&lt;&gt;0),H44/H43-H26/H20,"不適用"),"")</f>
        <v/>
      </c>
    </row>
    <row r="62" customFormat="false" ht="15" hidden="true" customHeight="false" outlineLevel="1" collapsed="false">
      <c r="A62" s="6" t="s">
        <v>484</v>
      </c>
      <c r="B62" s="10" t="s">
        <v>27</v>
      </c>
      <c r="C62" s="65" t="str">
        <f aca="false">IF(ISNUMBER(C44),IF(AND(ISNUMBER(C44),ISNUMBER(C43),C43&lt;&gt;0,ISNUMBER(C40),ISNUMBER(C39),C39&lt;&gt;0),C44/C43-C40/C39,"不適用"),"")</f>
        <v/>
      </c>
      <c r="D62" s="65" t="str">
        <f aca="false">IF(ISNUMBER(D44),IF(AND(ISNUMBER(D44),ISNUMBER(D43),D43&lt;&gt;0,ISNUMBER(D40),ISNUMBER(D39),D39&lt;&gt;0),D44/D43-D40/D39,"不適用"),"")</f>
        <v/>
      </c>
      <c r="E62" s="65" t="str">
        <f aca="false">IF(ISNUMBER(E44),IF(AND(ISNUMBER(E44),ISNUMBER(E43),E43&lt;&gt;0,ISNUMBER(E40),ISNUMBER(E39),E39&lt;&gt;0),E44/E43-E40/E39,"不適用"),"")</f>
        <v/>
      </c>
      <c r="F62" s="65" t="str">
        <f aca="false">IF(ISNUMBER(F44),IF(AND(ISNUMBER(F44),ISNUMBER(F43),F43&lt;&gt;0,ISNUMBER(F40),ISNUMBER(F39),F39&lt;&gt;0),F44/F43-F40/F39,"不適用"),"")</f>
        <v/>
      </c>
      <c r="G62" s="65" t="str">
        <f aca="false">IF(ISNUMBER(G44),IF(AND(ISNUMBER(G44),ISNUMBER(G43),G43&lt;&gt;0,ISNUMBER(G40),ISNUMBER(G39),G39&lt;&gt;0),G44/G43-G40/G39,"不適用"),"")</f>
        <v/>
      </c>
      <c r="H62" s="65" t="str">
        <f aca="false">IF(ISNUMBER(H44),IF(AND(ISNUMBER(H44),ISNUMBER(H43),H43&lt;&gt;0,ISNUMBER(H40),ISNUMBER(H39),H39&lt;&gt;0),H44/H43-H40/H39,"不適用"),"")</f>
        <v/>
      </c>
    </row>
    <row r="63" customFormat="false" ht="15" hidden="true" customHeight="false" outlineLevel="1" collapsed="false">
      <c r="A63" s="6" t="s">
        <v>485</v>
      </c>
      <c r="B63" s="10" t="s">
        <v>27</v>
      </c>
      <c r="C63" s="65" t="str">
        <f aca="false">IF(ISNUMBER(C44),"不適用","")</f>
        <v/>
      </c>
      <c r="D63" s="65" t="str">
        <f aca="false">IF(ISNUMBER(D44),"不適用","")</f>
        <v/>
      </c>
      <c r="E63" s="65" t="str">
        <f aca="false">IF(ISNUMBER(E44),"不適用","")</f>
        <v/>
      </c>
      <c r="F63" s="65" t="str">
        <f aca="false">IF(ISNUMBER(F44),"不適用","")</f>
        <v/>
      </c>
      <c r="G63" s="65" t="str">
        <f aca="false">IF(ISNUMBER(G44),"不適用","")</f>
        <v/>
      </c>
      <c r="H63" s="65" t="str">
        <f aca="false">IF(ISNUMBER(H44),"不適用","")</f>
        <v/>
      </c>
    </row>
    <row r="64" customFormat="false" ht="15" hidden="true" customHeight="false" outlineLevel="1" collapsed="false">
      <c r="A64" s="6" t="s">
        <v>486</v>
      </c>
      <c r="B64" s="10" t="s">
        <v>27</v>
      </c>
      <c r="C64" s="65" t="n">
        <f aca="false">IF(AND(ISNUMBER(C25),ISNUMBER(C41)),C25-(C41),"不適用")</f>
        <v>0.00918116496057853</v>
      </c>
      <c r="D64" s="65" t="n">
        <f aca="false">IF(AND(ISNUMBER(D25),ISNUMBER(D41)),D25-(D41),"不適用")</f>
        <v>-0.0234894523788396</v>
      </c>
      <c r="E64" s="65" t="str">
        <f aca="false">IF(AND(ISNUMBER(E25),ISNUMBER(E41)),E25-(E41),"不適用")</f>
        <v>不適用</v>
      </c>
      <c r="F64" s="65" t="str">
        <f aca="false">IF(AND(ISNUMBER(F25),ISNUMBER(F41)),F25-(F41),"不適用")</f>
        <v>不適用</v>
      </c>
      <c r="G64" s="65" t="str">
        <f aca="false">IF(AND(ISNUMBER(G25),ISNUMBER(G41)),G25-(G41),"不適用")</f>
        <v>不適用</v>
      </c>
      <c r="H64" s="65" t="str">
        <f aca="false">IF(AND(ISNUMBER(H25),ISNUMBER(H41)),H25-(H41),"不適用")</f>
        <v>不適用</v>
      </c>
    </row>
    <row r="65" customFormat="false" ht="15" hidden="true" customHeight="false" outlineLevel="1" collapsed="false">
      <c r="A65" s="6" t="s">
        <v>487</v>
      </c>
      <c r="B65" s="10" t="s">
        <v>27</v>
      </c>
      <c r="C65" s="65" t="s">
        <v>423</v>
      </c>
      <c r="D65" s="65" t="s">
        <v>423</v>
      </c>
      <c r="E65" s="65" t="s">
        <v>423</v>
      </c>
      <c r="F65" s="65" t="s">
        <v>423</v>
      </c>
      <c r="G65" s="65" t="s">
        <v>423</v>
      </c>
      <c r="H65" s="65" t="s">
        <v>423</v>
      </c>
    </row>
    <row r="66" customFormat="false" ht="15" hidden="true" customHeight="false" outlineLevel="1" collapsed="false">
      <c r="A66" s="6" t="s">
        <v>488</v>
      </c>
      <c r="B66" s="10" t="s">
        <v>27</v>
      </c>
      <c r="C66" s="65" t="str">
        <f aca="false">IF(ISNUMBER(C45),IF(AND(ISNUMBER(C25)),C45-(C25),"不適用"),"")</f>
        <v/>
      </c>
      <c r="D66" s="65" t="str">
        <f aca="false">IF(ISNUMBER(D45),IF(AND(ISNUMBER(D25)),D45-(D25),"不適用"),"")</f>
        <v/>
      </c>
      <c r="E66" s="65" t="str">
        <f aca="false">IF(ISNUMBER(E45),IF(AND(ISNUMBER(E25)),E45-(E25),"不適用"),"")</f>
        <v/>
      </c>
      <c r="F66" s="65" t="str">
        <f aca="false">IF(ISNUMBER(F45),IF(AND(ISNUMBER(F25)),F45-(F25),"不適用"),"")</f>
        <v/>
      </c>
      <c r="G66" s="65" t="str">
        <f aca="false">IF(ISNUMBER(G45),IF(AND(ISNUMBER(G25)),G45-(G25),"不適用"),"")</f>
        <v/>
      </c>
      <c r="H66" s="65" t="str">
        <f aca="false">IF(ISNUMBER(H45),IF(AND(ISNUMBER(H25)),H45-(H25),"不適用"),"")</f>
        <v/>
      </c>
    </row>
    <row r="67" customFormat="false" ht="15" hidden="true" customHeight="false" outlineLevel="1" collapsed="false">
      <c r="A67" s="6" t="s">
        <v>489</v>
      </c>
      <c r="B67" s="10" t="s">
        <v>27</v>
      </c>
      <c r="C67" s="65" t="str">
        <f aca="false">IF(ISNUMBER(C45),IF(AND(ISNUMBER(C41)),C45-(C41),"不適用"),"")</f>
        <v/>
      </c>
      <c r="D67" s="65" t="str">
        <f aca="false">IF(ISNUMBER(D45),IF(AND(ISNUMBER(D41)),D45-(D41),"不適用"),"")</f>
        <v/>
      </c>
      <c r="E67" s="65" t="str">
        <f aca="false">IF(ISNUMBER(E45),IF(AND(ISNUMBER(E41)),E45-(E41),"不適用"),"")</f>
        <v/>
      </c>
      <c r="F67" s="65" t="str">
        <f aca="false">IF(ISNUMBER(F45),IF(AND(ISNUMBER(F41)),F45-(F41),"不適用"),"")</f>
        <v/>
      </c>
      <c r="G67" s="65" t="str">
        <f aca="false">IF(ISNUMBER(G45),IF(AND(ISNUMBER(G41)),G45-(G41),"不適用"),"")</f>
        <v/>
      </c>
      <c r="H67" s="65" t="str">
        <f aca="false">IF(ISNUMBER(H45),IF(AND(ISNUMBER(H41)),H45-(H41),"不適用"),"")</f>
        <v/>
      </c>
    </row>
    <row r="68" customFormat="false" ht="15" hidden="true" customHeight="false" outlineLevel="1" collapsed="false">
      <c r="A68" s="6" t="s">
        <v>490</v>
      </c>
      <c r="B68" s="10" t="s">
        <v>27</v>
      </c>
      <c r="C68" s="65" t="str">
        <f aca="false">IF(ISNUMBER(C45),"不適用","")</f>
        <v/>
      </c>
      <c r="D68" s="65" t="str">
        <f aca="false">IF(ISNUMBER(D45),"不適用","")</f>
        <v/>
      </c>
      <c r="E68" s="65" t="str">
        <f aca="false">IF(ISNUMBER(E45),"不適用","")</f>
        <v/>
      </c>
      <c r="F68" s="65" t="str">
        <f aca="false">IF(ISNUMBER(F45),"不適用","")</f>
        <v/>
      </c>
      <c r="G68" s="65" t="str">
        <f aca="false">IF(ISNUMBER(G45),"不適用","")</f>
        <v/>
      </c>
      <c r="H68" s="65" t="str">
        <f aca="false">IF(ISNUMBER(H45),"不適用","")</f>
        <v/>
      </c>
    </row>
    <row r="69" customFormat="false" ht="15" hidden="true" customHeight="false" outlineLevel="1" collapsed="false">
      <c r="A69" s="6" t="s">
        <v>491</v>
      </c>
      <c r="B69" s="10" t="s">
        <v>17</v>
      </c>
      <c r="C69" s="52" t="s">
        <v>423</v>
      </c>
      <c r="D69" s="52" t="s">
        <v>423</v>
      </c>
      <c r="E69" s="52" t="s">
        <v>423</v>
      </c>
      <c r="F69" s="52" t="s">
        <v>423</v>
      </c>
      <c r="G69" s="52" t="s">
        <v>423</v>
      </c>
      <c r="H69" s="52" t="s">
        <v>423</v>
      </c>
    </row>
    <row r="70" customFormat="false" ht="15" hidden="true" customHeight="false" outlineLevel="1" collapsed="false">
      <c r="A70" s="6" t="s">
        <v>492</v>
      </c>
      <c r="B70" s="10" t="s">
        <v>17</v>
      </c>
      <c r="C70" s="52" t="n">
        <f aca="false">IF(AND(ISNUMBER(C28),ISNUMBER(C31),ISNUMBER(C32)),C28-(((C31+C32)/2)),"不適用")</f>
        <v>-0.243413743262921</v>
      </c>
      <c r="D70" s="52" t="str">
        <f aca="false">IF(AND(ISNUMBER(D28),ISNUMBER(D31),ISNUMBER(D32)),D28-(((D31+D32)/2)),"不適用")</f>
        <v>不適用</v>
      </c>
      <c r="E70" s="52" t="str">
        <f aca="false">IF(AND(ISNUMBER(E28),ISNUMBER(E31),ISNUMBER(E32)),E28-(((E31+E32)/2)),"不適用")</f>
        <v>不適用</v>
      </c>
      <c r="F70" s="52" t="str">
        <f aca="false">IF(AND(ISNUMBER(F28),ISNUMBER(F31),ISNUMBER(F32)),F28-(((F31+F32)/2)),"不適用")</f>
        <v>不適用</v>
      </c>
      <c r="G70" s="52" t="str">
        <f aca="false">IF(AND(ISNUMBER(G28),ISNUMBER(G31),ISNUMBER(G32)),G28-(((G31+G32)/2)),"不適用")</f>
        <v>不適用</v>
      </c>
      <c r="H70" s="52" t="str">
        <f aca="false">IF(AND(ISNUMBER(H28),ISNUMBER(H31),ISNUMBER(H32)),H28-(((H31+H32)/2)),"不適用")</f>
        <v>不適用</v>
      </c>
    </row>
    <row r="71" customFormat="false" ht="15" hidden="true" customHeight="false" outlineLevel="1" collapsed="false">
      <c r="A71" s="6" t="s">
        <v>493</v>
      </c>
      <c r="B71" s="10" t="s">
        <v>17</v>
      </c>
      <c r="C71" s="52" t="str">
        <f aca="false">IF(ISNUMBER(C46),IF(AND(ISNUMBER(C28)),C46-(C28),"不適用"),"")</f>
        <v/>
      </c>
      <c r="D71" s="52" t="str">
        <f aca="false">IF(ISNUMBER(D46),IF(AND(ISNUMBER(D28)),D46-(D28),"不適用"),"")</f>
        <v/>
      </c>
      <c r="E71" s="52" t="str">
        <f aca="false">IF(ISNUMBER(E46),IF(AND(ISNUMBER(E28)),E46-(E28),"不適用"),"")</f>
        <v/>
      </c>
      <c r="F71" s="52" t="str">
        <f aca="false">IF(ISNUMBER(F46),IF(AND(ISNUMBER(F28)),F46-(F28),"不適用"),"")</f>
        <v/>
      </c>
      <c r="G71" s="52" t="str">
        <f aca="false">IF(ISNUMBER(G46),IF(AND(ISNUMBER(G28)),G46-(G28),"不適用"),"")</f>
        <v/>
      </c>
      <c r="H71" s="52" t="str">
        <f aca="false">IF(ISNUMBER(H46),IF(AND(ISNUMBER(H28)),H46-(H28),"不適用"),"")</f>
        <v/>
      </c>
    </row>
    <row r="72" customFormat="false" ht="15" hidden="true" customHeight="false" outlineLevel="1" collapsed="false">
      <c r="A72" s="6" t="s">
        <v>494</v>
      </c>
      <c r="B72" s="10" t="s">
        <v>17</v>
      </c>
      <c r="C72" s="52" t="str">
        <f aca="false">IF(ISNUMBER(C46),"不適用","")</f>
        <v/>
      </c>
      <c r="D72" s="52" t="str">
        <f aca="false">IF(ISNUMBER(D46),"不適用","")</f>
        <v/>
      </c>
      <c r="E72" s="52" t="str">
        <f aca="false">IF(ISNUMBER(E46),"不適用","")</f>
        <v/>
      </c>
      <c r="F72" s="52" t="str">
        <f aca="false">IF(ISNUMBER(F46),"不適用","")</f>
        <v/>
      </c>
      <c r="G72" s="52" t="str">
        <f aca="false">IF(ISNUMBER(G46),"不適用","")</f>
        <v/>
      </c>
      <c r="H72" s="52" t="str">
        <f aca="false">IF(ISNUMBER(H46),"不適用","")</f>
        <v/>
      </c>
    </row>
    <row r="73" customFormat="false" ht="15" hidden="true" customHeight="false" outlineLevel="1" collapsed="false">
      <c r="A73" s="6" t="s">
        <v>495</v>
      </c>
      <c r="B73" s="10" t="s">
        <v>17</v>
      </c>
      <c r="C73" s="52" t="str">
        <f aca="false">IF(ISNUMBER(C46),IF(AND(ISNUMBER(C31),ISNUMBER(C32)),C46-(((C31+C32)/2)),"不適用"),"")</f>
        <v/>
      </c>
      <c r="D73" s="52" t="str">
        <f aca="false">IF(ISNUMBER(D46),IF(AND(ISNUMBER(D31),ISNUMBER(D32)),D46-(((D31+D32)/2)),"不適用"),"")</f>
        <v/>
      </c>
      <c r="E73" s="52" t="str">
        <f aca="false">IF(ISNUMBER(E46),IF(AND(ISNUMBER(E31),ISNUMBER(E32)),E46-(((E31+E32)/2)),"不適用"),"")</f>
        <v/>
      </c>
      <c r="F73" s="52" t="str">
        <f aca="false">IF(ISNUMBER(F46),IF(AND(ISNUMBER(F31),ISNUMBER(F32)),F46-(((F31+F32)/2)),"不適用"),"")</f>
        <v/>
      </c>
      <c r="G73" s="52" t="str">
        <f aca="false">IF(ISNUMBER(G46),IF(AND(ISNUMBER(G31),ISNUMBER(G32)),G46-(((G31+G32)/2)),"不適用"),"")</f>
        <v/>
      </c>
      <c r="H73" s="52" t="str">
        <f aca="false">IF(ISNUMBER(H46),IF(AND(ISNUMBER(H31),ISNUMBER(H32)),H46-(((H31+H32)/2)),"不適用"),"")</f>
        <v/>
      </c>
    </row>
    <row r="74" customFormat="false" ht="15" hidden="true" customHeight="false" outlineLevel="1" collapsed="false">
      <c r="A74" s="6" t="s">
        <v>496</v>
      </c>
      <c r="B74" s="10" t="s">
        <v>27</v>
      </c>
      <c r="C74" s="65" t="s">
        <v>423</v>
      </c>
      <c r="D74" s="65" t="s">
        <v>423</v>
      </c>
      <c r="E74" s="65" t="s">
        <v>423</v>
      </c>
      <c r="F74" s="65" t="s">
        <v>423</v>
      </c>
      <c r="G74" s="65" t="s">
        <v>423</v>
      </c>
      <c r="H74" s="65" t="s">
        <v>423</v>
      </c>
    </row>
    <row r="75" customFormat="false" ht="15" hidden="true" customHeight="false" outlineLevel="1" collapsed="false">
      <c r="A75" s="6" t="s">
        <v>497</v>
      </c>
      <c r="B75" s="10" t="s">
        <v>27</v>
      </c>
      <c r="C75" s="65" t="n">
        <f aca="false">IF(AND(ISNUMBER(C28),ISNUMBER(C20),C20&lt;&gt;0,ISNUMBER(C31),ISNUMBER(C32),ISNUMBER(C29),ISNUMBER(C30)),C28/C20-((C31+C32)/2)/((C29+C30)/2),"不適用")</f>
        <v>-0.0689105157917055</v>
      </c>
      <c r="D75" s="65" t="str">
        <f aca="false">IF(AND(ISNUMBER(D28),ISNUMBER(D20),D20&lt;&gt;0,ISNUMBER(D31),ISNUMBER(D32),ISNUMBER(D29),ISNUMBER(D30)),D28/D20-((D31+D32)/2)/((D29+D30)/2),"不適用")</f>
        <v>不適用</v>
      </c>
      <c r="E75" s="65" t="str">
        <f aca="false">IF(AND(ISNUMBER(E28),ISNUMBER(E20),E20&lt;&gt;0,ISNUMBER(E31),ISNUMBER(E32),ISNUMBER(E29),ISNUMBER(E30)),E28/E20-((E31+E32)/2)/((E29+E30)/2),"不適用")</f>
        <v>不適用</v>
      </c>
      <c r="F75" s="65" t="str">
        <f aca="false">IF(AND(ISNUMBER(F28),ISNUMBER(F20),F20&lt;&gt;0,ISNUMBER(F31),ISNUMBER(F32),ISNUMBER(F29),ISNUMBER(F30)),F28/F20-((F31+F32)/2)/((F29+F30)/2),"不適用")</f>
        <v>不適用</v>
      </c>
      <c r="G75" s="65" t="str">
        <f aca="false">IF(AND(ISNUMBER(G28),ISNUMBER(G20),G20&lt;&gt;0,ISNUMBER(G31),ISNUMBER(G32),ISNUMBER(G29),ISNUMBER(G30)),G28/G20-((G31+G32)/2)/((G29+G30)/2),"不適用")</f>
        <v>不適用</v>
      </c>
      <c r="H75" s="65" t="str">
        <f aca="false">IF(AND(ISNUMBER(H28),ISNUMBER(H20),H20&lt;&gt;0,ISNUMBER(H31),ISNUMBER(H32),ISNUMBER(H29),ISNUMBER(H30)),H28/H20-((H31+H32)/2)/((H29+H30)/2),"不適用")</f>
        <v>不適用</v>
      </c>
    </row>
    <row r="76" customFormat="false" ht="15" hidden="true" customHeight="false" outlineLevel="1" collapsed="false">
      <c r="A76" s="6" t="s">
        <v>498</v>
      </c>
      <c r="B76" s="10" t="s">
        <v>27</v>
      </c>
      <c r="C76" s="65" t="str">
        <f aca="false">IF(ISNUMBER(C46),IF(AND(ISNUMBER(C46),ISNUMBER(C43),C43&lt;&gt;0,ISNUMBER(C28),ISNUMBER(C20),C20&lt;&gt;0),C46/C43-C28/C20,"不適用"),"")</f>
        <v/>
      </c>
      <c r="D76" s="65" t="str">
        <f aca="false">IF(ISNUMBER(D46),IF(AND(ISNUMBER(D46),ISNUMBER(D43),D43&lt;&gt;0,ISNUMBER(D28),ISNUMBER(D20),D20&lt;&gt;0),D46/D43-D28/D20,"不適用"),"")</f>
        <v/>
      </c>
      <c r="E76" s="65" t="str">
        <f aca="false">IF(ISNUMBER(E46),IF(AND(ISNUMBER(E46),ISNUMBER(E43),E43&lt;&gt;0,ISNUMBER(E28),ISNUMBER(E20),E20&lt;&gt;0),E46/E43-E28/E20,"不適用"),"")</f>
        <v/>
      </c>
      <c r="F76" s="65" t="str">
        <f aca="false">IF(ISNUMBER(F46),IF(AND(ISNUMBER(F46),ISNUMBER(F43),F43&lt;&gt;0,ISNUMBER(F28),ISNUMBER(F20),F20&lt;&gt;0),F46/F43-F28/F20,"不適用"),"")</f>
        <v/>
      </c>
      <c r="G76" s="65" t="str">
        <f aca="false">IF(ISNUMBER(G46),IF(AND(ISNUMBER(G46),ISNUMBER(G43),G43&lt;&gt;0,ISNUMBER(G28),ISNUMBER(G20),G20&lt;&gt;0),G46/G43-G28/G20,"不適用"),"")</f>
        <v/>
      </c>
      <c r="H76" s="65" t="str">
        <f aca="false">IF(ISNUMBER(H46),IF(AND(ISNUMBER(H46),ISNUMBER(H43),H43&lt;&gt;0,ISNUMBER(H28),ISNUMBER(H20),H20&lt;&gt;0),H46/H43-H28/H20,"不適用"),"")</f>
        <v/>
      </c>
    </row>
    <row r="77" customFormat="false" ht="15" hidden="true" customHeight="false" outlineLevel="1" collapsed="false">
      <c r="A77" s="6" t="s">
        <v>499</v>
      </c>
      <c r="B77" s="10" t="s">
        <v>27</v>
      </c>
      <c r="C77" s="65" t="str">
        <f aca="false">IF(ISNUMBER(C46),"不適用","")</f>
        <v/>
      </c>
      <c r="D77" s="65" t="str">
        <f aca="false">IF(ISNUMBER(D46),"不適用","")</f>
        <v/>
      </c>
      <c r="E77" s="65" t="str">
        <f aca="false">IF(ISNUMBER(E46),"不適用","")</f>
        <v/>
      </c>
      <c r="F77" s="65" t="str">
        <f aca="false">IF(ISNUMBER(F46),"不適用","")</f>
        <v/>
      </c>
      <c r="G77" s="65" t="str">
        <f aca="false">IF(ISNUMBER(G46),"不適用","")</f>
        <v/>
      </c>
      <c r="H77" s="65" t="str">
        <f aca="false">IF(ISNUMBER(H46),"不適用","")</f>
        <v/>
      </c>
    </row>
    <row r="78" customFormat="false" ht="15" hidden="true" customHeight="false" outlineLevel="1" collapsed="false">
      <c r="A78" s="6" t="s">
        <v>500</v>
      </c>
      <c r="B78" s="10" t="s">
        <v>27</v>
      </c>
      <c r="C78" s="65" t="str">
        <f aca="false">IF(ISNUMBER(C46),IF(AND(ISNUMBER(C46),ISNUMBER(C43),C43&lt;&gt;0,ISNUMBER(C31),ISNUMBER(C32),ISNUMBER(C29),ISNUMBER(C30)),C46/C43-((C31+C32)/2)/((C29+C30)/2),"不適用"),"")</f>
        <v/>
      </c>
      <c r="D78" s="65" t="str">
        <f aca="false">IF(ISNUMBER(D46),IF(AND(ISNUMBER(D46),ISNUMBER(D43),D43&lt;&gt;0,ISNUMBER(D31),ISNUMBER(D32),ISNUMBER(D29),ISNUMBER(D30)),D46/D43-((D31+D32)/2)/((D29+D30)/2),"不適用"),"")</f>
        <v/>
      </c>
      <c r="E78" s="65" t="str">
        <f aca="false">IF(ISNUMBER(E46),IF(AND(ISNUMBER(E46),ISNUMBER(E43),E43&lt;&gt;0,ISNUMBER(E31),ISNUMBER(E32),ISNUMBER(E29),ISNUMBER(E30)),E46/E43-((E31+E32)/2)/((E29+E30)/2),"不適用"),"")</f>
        <v/>
      </c>
      <c r="F78" s="65" t="str">
        <f aca="false">IF(ISNUMBER(F46),IF(AND(ISNUMBER(F46),ISNUMBER(F43),F43&lt;&gt;0,ISNUMBER(F31),ISNUMBER(F32),ISNUMBER(F29),ISNUMBER(F30)),F46/F43-((F31+F32)/2)/((F29+F30)/2),"不適用"),"")</f>
        <v/>
      </c>
      <c r="G78" s="65" t="str">
        <f aca="false">IF(ISNUMBER(G46),IF(AND(ISNUMBER(G46),ISNUMBER(G43),G43&lt;&gt;0,ISNUMBER(G31),ISNUMBER(G32),ISNUMBER(G29),ISNUMBER(G30)),G46/G43-((G31+G32)/2)/((G29+G30)/2),"不適用"),"")</f>
        <v/>
      </c>
      <c r="H78" s="65" t="str">
        <f aca="false">IF(ISNUMBER(H46),IF(AND(ISNUMBER(H46),ISNUMBER(H43),H43&lt;&gt;0,ISNUMBER(H31),ISNUMBER(H32),ISNUMBER(H29),ISNUMBER(H30)),H46/H43-((H31+H32)/2)/((H29+H30)/2),"不適用"),"")</f>
        <v/>
      </c>
    </row>
    <row r="79" customFormat="false" ht="15" hidden="true" customHeight="false" outlineLevel="1" collapsed="false">
      <c r="A79" s="6" t="s">
        <v>501</v>
      </c>
      <c r="B79" s="10" t="s">
        <v>8</v>
      </c>
      <c r="C79" s="65" t="s">
        <v>423</v>
      </c>
      <c r="D79" s="65" t="s">
        <v>423</v>
      </c>
      <c r="E79" s="65" t="s">
        <v>423</v>
      </c>
      <c r="F79" s="65" t="s">
        <v>423</v>
      </c>
      <c r="G79" s="65" t="s">
        <v>423</v>
      </c>
      <c r="H79" s="65" t="s">
        <v>423</v>
      </c>
    </row>
    <row r="80" customFormat="false" ht="15" hidden="true" customHeight="false" outlineLevel="1" collapsed="false">
      <c r="A80" s="6" t="s">
        <v>502</v>
      </c>
      <c r="B80" s="10" t="s">
        <v>8</v>
      </c>
      <c r="C80" s="65" t="n">
        <f aca="false">IF(AND(ISNUMBER(C38),ISNUMBER(C34),ISNUMBER(C35)),C38/(((C34+C35)/2))-1,"不適用")</f>
        <v>0</v>
      </c>
      <c r="D80" s="65" t="str">
        <f aca="false">IF(AND(ISNUMBER(D38),ISNUMBER(D34),ISNUMBER(D35)),D38/(((D34+D35)/2))-1,"不適用")</f>
        <v>不適用</v>
      </c>
      <c r="E80" s="65" t="str">
        <f aca="false">IF(AND(ISNUMBER(E38),ISNUMBER(E34),ISNUMBER(E35)),E38/(((E34+E35)/2))-1,"不適用")</f>
        <v>不適用</v>
      </c>
      <c r="F80" s="65" t="str">
        <f aca="false">IF(AND(ISNUMBER(F38),ISNUMBER(F34),ISNUMBER(F35)),F38/(((F34+F35)/2))-1,"不適用")</f>
        <v>不適用</v>
      </c>
      <c r="G80" s="65" t="str">
        <f aca="false">IF(AND(ISNUMBER(G38),ISNUMBER(G34),ISNUMBER(G35)),G38/(((G34+G35)/2))-1,"不適用")</f>
        <v>不適用</v>
      </c>
      <c r="H80" s="65" t="str">
        <f aca="false">IF(AND(ISNUMBER(H38),ISNUMBER(H34),ISNUMBER(H35)),H38/(((H34+H35)/2))-1,"不適用")</f>
        <v>不適用</v>
      </c>
    </row>
    <row r="81" customFormat="false" ht="15" hidden="true" customHeight="false" outlineLevel="1" collapsed="false">
      <c r="A81" s="6" t="s">
        <v>503</v>
      </c>
      <c r="B81" s="10" t="s">
        <v>8</v>
      </c>
      <c r="C81" s="65" t="str">
        <f aca="false">IF(ISNUMBER(C47),IF(AND(ISNUMBER(C38),C38&lt;&gt;0),C47/(C38)-1,"不適用"),"")</f>
        <v/>
      </c>
      <c r="D81" s="65" t="str">
        <f aca="false">IF(ISNUMBER(D47),IF(AND(ISNUMBER(D38),D38&lt;&gt;0),D47/(D38)-1,"不適用"),"")</f>
        <v/>
      </c>
      <c r="E81" s="65" t="str">
        <f aca="false">IF(ISNUMBER(E47),IF(AND(ISNUMBER(E38),E38&lt;&gt;0),E47/(E38)-1,"不適用"),"")</f>
        <v/>
      </c>
      <c r="F81" s="65" t="str">
        <f aca="false">IF(ISNUMBER(F47),IF(AND(ISNUMBER(F38),F38&lt;&gt;0),F47/(F38)-1,"不適用"),"")</f>
        <v/>
      </c>
      <c r="G81" s="65" t="str">
        <f aca="false">IF(ISNUMBER(G47),IF(AND(ISNUMBER(G38),G38&lt;&gt;0),G47/(G38)-1,"不適用"),"")</f>
        <v/>
      </c>
      <c r="H81" s="65" t="str">
        <f aca="false">IF(ISNUMBER(H47),IF(AND(ISNUMBER(H38),H38&lt;&gt;0),H47/(H38)-1,"不適用"),"")</f>
        <v/>
      </c>
    </row>
    <row r="82" customFormat="false" ht="15" hidden="true" customHeight="false" outlineLevel="1" collapsed="false">
      <c r="A82" s="6" t="s">
        <v>504</v>
      </c>
      <c r="B82" s="10" t="s">
        <v>8</v>
      </c>
      <c r="C82" s="65" t="str">
        <f aca="false">IF(ISNUMBER(C47),"不適用","")</f>
        <v/>
      </c>
      <c r="D82" s="65" t="str">
        <f aca="false">IF(ISNUMBER(D47),"不適用","")</f>
        <v/>
      </c>
      <c r="E82" s="65" t="str">
        <f aca="false">IF(ISNUMBER(E47),"不適用","")</f>
        <v/>
      </c>
      <c r="F82" s="65" t="str">
        <f aca="false">IF(ISNUMBER(F47),"不適用","")</f>
        <v/>
      </c>
      <c r="G82" s="65" t="str">
        <f aca="false">IF(ISNUMBER(G47),"不適用","")</f>
        <v/>
      </c>
      <c r="H82" s="65" t="str">
        <f aca="false">IF(ISNUMBER(H47),"不適用","")</f>
        <v/>
      </c>
    </row>
    <row r="83" customFormat="false" ht="15" hidden="true" customHeight="false" outlineLevel="1" collapsed="false">
      <c r="A83" s="6" t="s">
        <v>505</v>
      </c>
      <c r="B83" s="10" t="s">
        <v>8</v>
      </c>
      <c r="C83" s="65" t="str">
        <f aca="false">IF(ISNUMBER(C47),IF(AND(ISNUMBER(C34),ISNUMBER(C35)),C47/(((C34+C35)/2))-1,"不適用"),"")</f>
        <v/>
      </c>
      <c r="D83" s="65" t="str">
        <f aca="false">IF(ISNUMBER(D47),IF(AND(ISNUMBER(D34),ISNUMBER(D35)),D47/(((D34+D35)/2))-1,"不適用"),"")</f>
        <v/>
      </c>
      <c r="E83" s="65" t="str">
        <f aca="false">IF(ISNUMBER(E47),IF(AND(ISNUMBER(E34),ISNUMBER(E35)),E47/(((E34+E35)/2))-1,"不適用"),"")</f>
        <v/>
      </c>
      <c r="F83" s="65" t="str">
        <f aca="false">IF(ISNUMBER(F47),IF(AND(ISNUMBER(F34),ISNUMBER(F35)),F47/(((F34+F35)/2))-1,"不適用"),"")</f>
        <v/>
      </c>
      <c r="G83" s="65" t="str">
        <f aca="false">IF(ISNUMBER(G47),IF(AND(ISNUMBER(G34),ISNUMBER(G35)),G47/(((G34+G35)/2))-1,"不適用"),"")</f>
        <v/>
      </c>
      <c r="H83" s="65" t="str">
        <f aca="false">IF(ISNUMBER(H47),IF(AND(ISNUMBER(H34),ISNUMBER(H35)),H47/(((H34+H35)/2))-1,"不適用"),"")</f>
        <v/>
      </c>
    </row>
    <row r="84" customFormat="false" ht="15" hidden="true" customHeight="false" outlineLevel="1" collapsed="false">
      <c r="A84" s="6" t="s">
        <v>506</v>
      </c>
      <c r="B84" s="10" t="s">
        <v>86</v>
      </c>
      <c r="C84" s="66" t="s">
        <v>423</v>
      </c>
      <c r="D84" s="66" t="s">
        <v>423</v>
      </c>
      <c r="E84" s="66" t="s">
        <v>423</v>
      </c>
      <c r="F84" s="66" t="s">
        <v>423</v>
      </c>
      <c r="G84" s="66" t="s">
        <v>423</v>
      </c>
      <c r="H84" s="66" t="s">
        <v>423</v>
      </c>
    </row>
    <row r="85" customFormat="false" ht="15" hidden="true" customHeight="false" outlineLevel="1" collapsed="false">
      <c r="A85" s="6" t="s">
        <v>507</v>
      </c>
      <c r="B85" s="10" t="s">
        <v>86</v>
      </c>
      <c r="C85" s="66" t="s">
        <v>423</v>
      </c>
      <c r="D85" s="66" t="s">
        <v>423</v>
      </c>
      <c r="E85" s="66" t="s">
        <v>423</v>
      </c>
      <c r="F85" s="66" t="s">
        <v>423</v>
      </c>
      <c r="G85" s="66" t="s">
        <v>423</v>
      </c>
      <c r="H85" s="66" t="s">
        <v>423</v>
      </c>
    </row>
    <row r="86" customFormat="false" ht="15" hidden="true" customHeight="false" outlineLevel="1" collapsed="false">
      <c r="A86" s="6" t="s">
        <v>508</v>
      </c>
      <c r="B86" s="10" t="s">
        <v>86</v>
      </c>
      <c r="C86" s="66" t="str">
        <f aca="false">IF(ISNUMBER(C48),IF(AND(ISNUMBER(C17)),C48-(C17),"不適用"),"")</f>
        <v/>
      </c>
      <c r="D86" s="66" t="str">
        <f aca="false">IF(ISNUMBER(D48),IF(AND(ISNUMBER(D17)),D48-(D17),"不適用"),"")</f>
        <v/>
      </c>
      <c r="E86" s="66" t="str">
        <f aca="false">IF(ISNUMBER(E48),IF(AND(ISNUMBER(E17)),E48-(E17),"不適用"),"")</f>
        <v/>
      </c>
      <c r="F86" s="66" t="str">
        <f aca="false">IF(ISNUMBER(F48),IF(AND(ISNUMBER(F17)),F48-(F17),"不適用"),"")</f>
        <v/>
      </c>
      <c r="G86" s="66" t="str">
        <f aca="false">IF(ISNUMBER(G48),IF(AND(ISNUMBER(G17)),G48-(G17),"不適用"),"")</f>
        <v/>
      </c>
      <c r="H86" s="66" t="str">
        <f aca="false">IF(ISNUMBER(H48),IF(AND(ISNUMBER(H17)),H48-(H17),"不適用"),"")</f>
        <v/>
      </c>
    </row>
    <row r="87" customFormat="false" ht="15" hidden="true" customHeight="false" outlineLevel="1" collapsed="false">
      <c r="A87" s="6" t="s">
        <v>509</v>
      </c>
      <c r="B87" s="10" t="s">
        <v>86</v>
      </c>
      <c r="C87" s="66" t="str">
        <f aca="false">IF(ISNUMBER(C48),"不適用","")</f>
        <v/>
      </c>
      <c r="D87" s="66" t="str">
        <f aca="false">IF(ISNUMBER(D48),"不適用","")</f>
        <v/>
      </c>
      <c r="E87" s="66" t="str">
        <f aca="false">IF(ISNUMBER(E48),"不適用","")</f>
        <v/>
      </c>
      <c r="F87" s="66" t="str">
        <f aca="false">IF(ISNUMBER(F48),"不適用","")</f>
        <v/>
      </c>
      <c r="G87" s="66" t="str">
        <f aca="false">IF(ISNUMBER(G48),"不適用","")</f>
        <v/>
      </c>
      <c r="H87" s="66" t="str">
        <f aca="false">IF(ISNUMBER(H48),"不適用","")</f>
        <v/>
      </c>
    </row>
    <row r="88" customFormat="false" ht="15" hidden="true" customHeight="false" outlineLevel="1" collapsed="false">
      <c r="A88" s="6" t="s">
        <v>510</v>
      </c>
      <c r="B88" s="10" t="s">
        <v>86</v>
      </c>
      <c r="C88" s="66" t="str">
        <f aca="false">IF(ISNUMBER(C48),"不適用","")</f>
        <v/>
      </c>
      <c r="D88" s="66" t="str">
        <f aca="false">IF(ISNUMBER(D48),"不適用","")</f>
        <v/>
      </c>
      <c r="E88" s="66" t="str">
        <f aca="false">IF(ISNUMBER(E48),"不適用","")</f>
        <v/>
      </c>
      <c r="F88" s="66" t="str">
        <f aca="false">IF(ISNUMBER(F48),"不適用","")</f>
        <v/>
      </c>
      <c r="G88" s="66" t="str">
        <f aca="false">IF(ISNUMBER(G48),"不適用","")</f>
        <v/>
      </c>
      <c r="H88" s="66" t="str">
        <f aca="false">IF(ISNUMBER(H48),"不適用","")</f>
        <v/>
      </c>
    </row>
    <row r="89" customFormat="false" ht="15" hidden="true" customHeight="false" outlineLevel="1" collapsed="false">
      <c r="A89" s="6" t="s">
        <v>511</v>
      </c>
      <c r="B89" s="10" t="s">
        <v>17</v>
      </c>
      <c r="C89" s="52" t="n">
        <f aca="false">IF(COUNT(C39,D39)=2,C39+D39,"不適用")</f>
        <v>8.247</v>
      </c>
      <c r="D89" s="52" t="n">
        <f aca="false">IF(COUNT(C39,D39)=2,C39+D39,"不適用")</f>
        <v>8.247</v>
      </c>
      <c r="E89" s="52" t="str">
        <f aca="false">IF(COUNT(E39,F39,G39,H39)=4,E39+F39+G39+H39,"不適用")</f>
        <v>不適用</v>
      </c>
      <c r="F89" s="52" t="str">
        <f aca="false">IF(COUNT(E39,F39,G39,H39)=4,E39+F39+G39+H39,"不適用")</f>
        <v>不適用</v>
      </c>
      <c r="G89" s="52" t="str">
        <f aca="false">IF(COUNT(E39,F39,G39,H39)=4,E39+F39+G39+H39,"不適用")</f>
        <v>不適用</v>
      </c>
      <c r="H89" s="52" t="str">
        <f aca="false">IF(COUNT(E39,F39,G39,H39)=4,E39+F39+G39+H39,"不適用")</f>
        <v>不適用</v>
      </c>
      <c r="J89" s="3"/>
    </row>
    <row r="90" customFormat="false" ht="15" hidden="true" customHeight="false" outlineLevel="1" collapsed="false">
      <c r="A90" s="6" t="s">
        <v>512</v>
      </c>
      <c r="B90" s="10" t="s">
        <v>17</v>
      </c>
      <c r="C90" s="52" t="n">
        <f aca="false">IF(AND(ISNUMBER(C89),C89&lt;&gt;0,ISNUMBER(C39),ISNUMBER(C20)),(損益與評價!C8-C89)*(C39)/C89,"不適用")</f>
        <v>0.0712751303504306</v>
      </c>
      <c r="D90" s="52" t="n">
        <f aca="false">IF(AND(ISNUMBER(D89),D89&lt;&gt;0,ISNUMBER(D39),ISNUMBER(D20)),(損益與評價!C8-D89)*(D39)/D89,"不適用")</f>
        <v>0.0947248696495698</v>
      </c>
      <c r="E90" s="52" t="str">
        <f aca="false">IF(AND(ISNUMBER(E89),E89&lt;&gt;0,ISNUMBER(E39),ISNUMBER(E20)),(損益與評價!D8-E89)*(E39)/E89,"不適用")</f>
        <v>不適用</v>
      </c>
      <c r="F90" s="52" t="str">
        <f aca="false">IF(AND(ISNUMBER(F89),F89&lt;&gt;0,ISNUMBER(F39),ISNUMBER(F20)),(損益與評價!D8-F89)*(F39)/F89,"不適用")</f>
        <v>不適用</v>
      </c>
      <c r="G90" s="52" t="str">
        <f aca="false">IF(AND(ISNUMBER(G89),G89&lt;&gt;0,ISNUMBER(G39),ISNUMBER(G20)),(損益與評價!D8-G89)*(G39)/G89,"不適用")</f>
        <v>不適用</v>
      </c>
      <c r="H90" s="52" t="str">
        <f aca="false">IF(AND(ISNUMBER(H89),H89&lt;&gt;0,ISNUMBER(H39),ISNUMBER(H20)),(損益與評價!D8-H89)*(H39)/H89,"不適用")</f>
        <v>不適用</v>
      </c>
      <c r="J90" s="10"/>
    </row>
    <row r="91" customFormat="false" ht="15" hidden="true" customHeight="false" outlineLevel="1" collapsed="false">
      <c r="A91" s="6" t="s">
        <v>513</v>
      </c>
      <c r="B91" s="10" t="s">
        <v>17</v>
      </c>
      <c r="C91" s="52" t="n">
        <f aca="false">IF(AND(ISNUMBER(C89),C89&lt;&gt;0,ISNUMBER(C39),ISNUMBER(C20)),(C20/損益與評價!C8-(C39)/C89)*損益與評價!C8,"不適用")</f>
        <v>0.0503915363162359</v>
      </c>
      <c r="D91" s="52" t="n">
        <f aca="false">IF(AND(ISNUMBER(D89),D89&lt;&gt;0,ISNUMBER(D39),ISNUMBER(D20)),(D20/損益與評價!C8-(D39)/D89)*損益與評價!C8,"不適用")</f>
        <v>-0.0503915363162364</v>
      </c>
      <c r="E91" s="52" t="str">
        <f aca="false">IF(AND(ISNUMBER(E89),E89&lt;&gt;0,ISNUMBER(E39),ISNUMBER(E20)),(E20/損益與評價!D8-(E39)/E89)*損益與評價!D8,"不適用")</f>
        <v>不適用</v>
      </c>
      <c r="F91" s="52" t="str">
        <f aca="false">IF(AND(ISNUMBER(F89),F89&lt;&gt;0,ISNUMBER(F39),ISNUMBER(F20)),(F20/損益與評價!D8-(F39)/F89)*損益與評價!D8,"不適用")</f>
        <v>不適用</v>
      </c>
      <c r="G91" s="52" t="str">
        <f aca="false">IF(AND(ISNUMBER(G89),G89&lt;&gt;0,ISNUMBER(G39),ISNUMBER(G20)),(G20/損益與評價!D8-(G39)/G89)*損益與評價!D8,"不適用")</f>
        <v>不適用</v>
      </c>
      <c r="H91" s="52" t="str">
        <f aca="false">IF(AND(ISNUMBER(H89),H89&lt;&gt;0,ISNUMBER(H39),ISNUMBER(H20)),(H20/損益與評價!D8-(H39)/H89)*損益與評價!D8,"不適用")</f>
        <v>不適用</v>
      </c>
      <c r="J91" s="10"/>
    </row>
    <row r="92" customFormat="false" ht="15" hidden="true" customHeight="false" outlineLevel="1" collapsed="false">
      <c r="A92" s="6" t="s">
        <v>514</v>
      </c>
      <c r="B92" s="10" t="s">
        <v>17</v>
      </c>
      <c r="C92" s="52" t="n">
        <f aca="false">(輸入與假設!$C$169+輸入與假設!$D$169)/2-輸入與假設!$E$169</f>
        <v>8.147</v>
      </c>
      <c r="D92" s="52" t="n">
        <f aca="false">(輸入與假設!$C$169+輸入與假設!$D$169)/2-輸入與假設!$E$169</f>
        <v>8.147</v>
      </c>
      <c r="E92" s="52" t="s">
        <v>423</v>
      </c>
      <c r="F92" s="52" t="s">
        <v>423</v>
      </c>
      <c r="G92" s="52" t="s">
        <v>423</v>
      </c>
      <c r="H92" s="52" t="s">
        <v>423</v>
      </c>
      <c r="J92" s="3"/>
    </row>
    <row r="93" customFormat="false" ht="15" hidden="true" customHeight="false" outlineLevel="1" collapsed="false">
      <c r="A93" s="6" t="s">
        <v>515</v>
      </c>
      <c r="B93" s="10" t="s">
        <v>17</v>
      </c>
      <c r="C93" s="52" t="n">
        <f aca="false">IF(AND(ISNUMBER(C92),C92&lt;&gt;0,ISNUMBER(((C29+C30)/2)),ISNUMBER(C20)),(損益與評價!C8-C92)*(((C29+C30)/2))/C92,"不適用")</f>
        <v>0.115091444703571</v>
      </c>
      <c r="D93" s="52" t="str">
        <f aca="false">IF(AND(ISNUMBER(D92),D92&lt;&gt;0,ISNUMBER(((D29+D30)/2)),ISNUMBER(D20)),(損益與評價!C8-D92)*(((D29+D30)/2))/D92,"不適用")</f>
        <v>不適用</v>
      </c>
      <c r="E93" s="52" t="str">
        <f aca="false">IF(AND(ISNUMBER(E92),E92&lt;&gt;0,ISNUMBER(((E29+E30)/2)),ISNUMBER(E20)),(損益與評價!D8-E92)*(((E29+E30)/2))/E92,"不適用")</f>
        <v>不適用</v>
      </c>
      <c r="F93" s="52" t="str">
        <f aca="false">IF(AND(ISNUMBER(F92),F92&lt;&gt;0,ISNUMBER(((F29+F30)/2)),ISNUMBER(F20)),(損益與評價!D8-F92)*(((F29+F30)/2))/F92,"不適用")</f>
        <v>不適用</v>
      </c>
      <c r="G93" s="52" t="str">
        <f aca="false">IF(AND(ISNUMBER(G92),G92&lt;&gt;0,ISNUMBER(((G29+G30)/2)),ISNUMBER(G20)),(損益與評價!D8-G92)*(((G29+G30)/2))/G92,"不適用")</f>
        <v>不適用</v>
      </c>
      <c r="H93" s="52" t="str">
        <f aca="false">IF(AND(ISNUMBER(H92),H92&lt;&gt;0,ISNUMBER(((H29+H30)/2)),ISNUMBER(H20)),(損益與評價!D8-H92)*(((H29+H30)/2))/H92,"不適用")</f>
        <v>不適用</v>
      </c>
      <c r="J93" s="10"/>
    </row>
    <row r="94" customFormat="false" ht="15" hidden="true" customHeight="false" outlineLevel="1" collapsed="false">
      <c r="A94" s="6" t="s">
        <v>516</v>
      </c>
      <c r="B94" s="10" t="s">
        <v>17</v>
      </c>
      <c r="C94" s="52" t="n">
        <f aca="false">IF(AND(ISNUMBER(C92),C92&lt;&gt;0,ISNUMBER(((C29+C30)/2)),ISNUMBER(C20)),(C20/損益與評價!C8-(((C29+C30)/2))/C92)*損益與評價!C8,"不適用")</f>
        <v>0.0225752219630952</v>
      </c>
      <c r="D94" s="52" t="str">
        <f aca="false">IF(AND(ISNUMBER(D92),D92&lt;&gt;0,ISNUMBER(((D29+D30)/2)),ISNUMBER(D20)),(D20/損益與評價!C8-(((D29+D30)/2))/D92)*損益與評價!C8,"不適用")</f>
        <v>不適用</v>
      </c>
      <c r="E94" s="52" t="str">
        <f aca="false">IF(AND(ISNUMBER(E92),E92&lt;&gt;0,ISNUMBER(((E29+E30)/2)),ISNUMBER(E20)),(E20/損益與評價!D8-(((E29+E30)/2))/E92)*損益與評價!D8,"不適用")</f>
        <v>不適用</v>
      </c>
      <c r="F94" s="52" t="str">
        <f aca="false">IF(AND(ISNUMBER(F92),F92&lt;&gt;0,ISNUMBER(((F29+F30)/2)),ISNUMBER(F20)),(F20/損益與評價!D8-(((F29+F30)/2))/F92)*損益與評價!D8,"不適用")</f>
        <v>不適用</v>
      </c>
      <c r="G94" s="52" t="str">
        <f aca="false">IF(AND(ISNUMBER(G92),G92&lt;&gt;0,ISNUMBER(((G29+G30)/2)),ISNUMBER(G20)),(G20/損益與評價!D8-(((G29+G30)/2))/G92)*損益與評價!D8,"不適用")</f>
        <v>不適用</v>
      </c>
      <c r="H94" s="52" t="str">
        <f aca="false">IF(AND(ISNUMBER(H92),H92&lt;&gt;0,ISNUMBER(((H29+H30)/2)),ISNUMBER(H20)),(H20/損益與評價!D8-(((H29+H30)/2))/H92)*損益與評價!D8,"不適用")</f>
        <v>不適用</v>
      </c>
      <c r="J94" s="10"/>
    </row>
    <row r="95" customFormat="false" ht="15" hidden="true" customHeight="false" outlineLevel="1" collapsed="false">
      <c r="A95" s="6" t="s">
        <v>517</v>
      </c>
      <c r="C95" s="64" t="str">
        <f aca="false">IF(ISNUMBER(C49),IF(ABS(C49)&gt;輸入與假設!$C$150,IF(ISNUMBER(C90),IF(ABS(C91)&gt;ABS(C90),"營收 vs 共識 "&amp;IF(C49&lt;0,"−","+")&amp;TEXT(ABS(C49)*100,"#,##0.0")&amp;"%"&amp;"：拆法（分配 "&amp;IF(C91&lt;0,"−","+")&amp;IF(ABS(C91)&lt;0,"−","")&amp;"$"&amp;TEXT(ABS(ABS(C91)),"#,##0.000")&amp;"bn"&amp;"（Q3'26 占 2H26 "&amp;TEXT((C20/損益與評價!C8)*100,"#,##0.0")&amp;"%"&amp;"，共識合計 "&amp;TEXT(((C39)/C89)*100,"#,##0.0")&amp;"%"&amp;"）；水準 "&amp;IF(C90&lt;0,"−","+")&amp;IF(ABS(C90)&lt;0,"−","")&amp;"$"&amp;TEXT(ABS(ABS(C90)),"#,##0.000")&amp;"bn"&amp;"）","營收 vs 共識 "&amp;IF(C49&lt;0,"−","+")&amp;TEXT(ABS(C49)*100,"#,##0.0")&amp;"%"&amp;"：觀點（水準 "&amp;IF(C90&lt;0,"−","+")&amp;IF(ABS(C90)&lt;0,"−","")&amp;"$"&amp;TEXT(ABS(ABS(C90)),"#,##0.000")&amp;"bn"&amp;"（2H26 模型 "&amp;IF(損益與評價!C8&lt;0,"−","")&amp;"$"&amp;TEXT(ABS(損益與評價!C8),"#,##0.000")&amp;"bn"&amp;"，共識合計 "&amp;IF(C89&lt;0,"−","")&amp;"$"&amp;TEXT(ABS(C89),"#,##0.000")&amp;"bn"&amp;"）；分配 "&amp;IF(C91&lt;0,"−","+")&amp;IF(ABS(C91)&lt;0,"−","")&amp;"$"&amp;TEXT(ABS(ABS(C91)),"#,##0.000")&amp;"bn"&amp;"）"),"營收 vs 共識 "&amp;IF(C49&lt;0,"−","+")&amp;TEXT(ABS(C49)*100,"#,##0.0")&amp;"%"&amp;"：未歸類（差異原因待補）"),""),"")</f>
        <v/>
      </c>
      <c r="D95" s="64" t="str">
        <f aca="false">IF(ISNUMBER(D49),IF(ABS(D49)&gt;輸入與假設!$C$150,IF(ISNUMBER(D90),IF(ABS(D91)&gt;ABS(D90),"營收 vs 共識 "&amp;IF(D49&lt;0,"−","+")&amp;TEXT(ABS(D49)*100,"#,##0.0")&amp;"%"&amp;"：拆法（分配 "&amp;IF(D91&lt;0,"−","+")&amp;IF(ABS(D91)&lt;0,"−","")&amp;"$"&amp;TEXT(ABS(ABS(D91)),"#,##0.000")&amp;"bn"&amp;"（Q4'26 占 2H26 "&amp;TEXT((D20/損益與評價!C8)*100,"#,##0.0")&amp;"%"&amp;"，共識合計 "&amp;TEXT(((D39)/D89)*100,"#,##0.0")&amp;"%"&amp;"）；水準 "&amp;IF(D90&lt;0,"−","+")&amp;IF(ABS(D90)&lt;0,"−","")&amp;"$"&amp;TEXT(ABS(ABS(D90)),"#,##0.000")&amp;"bn"&amp;"）","營收 vs 共識 "&amp;IF(D49&lt;0,"−","+")&amp;TEXT(ABS(D49)*100,"#,##0.0")&amp;"%"&amp;"：觀點（水準 "&amp;IF(D90&lt;0,"−","+")&amp;IF(ABS(D90)&lt;0,"−","")&amp;"$"&amp;TEXT(ABS(ABS(D90)),"#,##0.000")&amp;"bn"&amp;"（2H26 模型 "&amp;IF(損益與評價!C8&lt;0,"−","")&amp;"$"&amp;TEXT(ABS(損益與評價!C8),"#,##0.000")&amp;"bn"&amp;"，共識合計 "&amp;IF(D89&lt;0,"−","")&amp;"$"&amp;TEXT(ABS(D89),"#,##0.000")&amp;"bn"&amp;"）；分配 "&amp;IF(D91&lt;0,"−","+")&amp;IF(ABS(D91)&lt;0,"−","")&amp;"$"&amp;TEXT(ABS(ABS(D91)),"#,##0.000")&amp;"bn"&amp;"）"),"營收 vs 共識 "&amp;IF(D49&lt;0,"−","+")&amp;TEXT(ABS(D49)*100,"#,##0.0")&amp;"%"&amp;"：未歸類（差異原因待補）"),""),"")</f>
        <v/>
      </c>
      <c r="E95" s="64" t="str">
        <f aca="false">IF(ISNUMBER(E49),IF(ABS(E49)&gt;輸入與假設!$C$150,IF(ISNUMBER(E90),IF(ABS(E91)&gt;ABS(E90),"營收 vs 共識 "&amp;IF(E49&lt;0,"−","+")&amp;TEXT(ABS(E49)*100,"#,##0.0")&amp;"%"&amp;"：拆法（分配 "&amp;IF(E91&lt;0,"−","+")&amp;IF(ABS(E91)&lt;0,"−","")&amp;"$"&amp;TEXT(ABS(ABS(E91)),"#,##0.000")&amp;"bn"&amp;"（Q1'27 占 FY27 "&amp;TEXT((E20/損益與評價!D8)*100,"#,##0.0")&amp;"%"&amp;"，共識合計 "&amp;TEXT(((E39)/E89)*100,"#,##0.0")&amp;"%"&amp;"）；水準 "&amp;IF(E90&lt;0,"−","+")&amp;IF(ABS(E90)&lt;0,"−","")&amp;"$"&amp;TEXT(ABS(ABS(E90)),"#,##0.000")&amp;"bn"&amp;"）","營收 vs 共識 "&amp;IF(E49&lt;0,"−","+")&amp;TEXT(ABS(E49)*100,"#,##0.0")&amp;"%"&amp;"：觀點（水準 "&amp;IF(E90&lt;0,"−","+")&amp;IF(ABS(E90)&lt;0,"−","")&amp;"$"&amp;TEXT(ABS(ABS(E90)),"#,##0.000")&amp;"bn"&amp;"（FY27 模型 "&amp;IF(損益與評價!D8&lt;0,"−","")&amp;"$"&amp;TEXT(ABS(損益與評價!D8),"#,##0.000")&amp;"bn"&amp;"，共識合計 "&amp;IF(E89&lt;0,"−","")&amp;"$"&amp;TEXT(ABS(E89),"#,##0.000")&amp;"bn"&amp;"）；分配 "&amp;IF(E91&lt;0,"−","+")&amp;IF(ABS(E91)&lt;0,"−","")&amp;"$"&amp;TEXT(ABS(ABS(E91)),"#,##0.000")&amp;"bn"&amp;"）"),"營收 vs 共識 "&amp;IF(E49&lt;0,"−","+")&amp;TEXT(ABS(E49)*100,"#,##0.0")&amp;"%"&amp;"：未歸類（差異原因待補）"),""),"")</f>
        <v/>
      </c>
      <c r="F95" s="64" t="str">
        <f aca="false">IF(ISNUMBER(F49),IF(ABS(F49)&gt;輸入與假設!$C$150,IF(ISNUMBER(F90),IF(ABS(F91)&gt;ABS(F90),"營收 vs 共識 "&amp;IF(F49&lt;0,"−","+")&amp;TEXT(ABS(F49)*100,"#,##0.0")&amp;"%"&amp;"：拆法（分配 "&amp;IF(F91&lt;0,"−","+")&amp;IF(ABS(F91)&lt;0,"−","")&amp;"$"&amp;TEXT(ABS(ABS(F91)),"#,##0.000")&amp;"bn"&amp;"（Q2'27 占 FY27 "&amp;TEXT((F20/損益與評價!D8)*100,"#,##0.0")&amp;"%"&amp;"，共識合計 "&amp;TEXT(((F39)/F89)*100,"#,##0.0")&amp;"%"&amp;"）；水準 "&amp;IF(F90&lt;0,"−","+")&amp;IF(ABS(F90)&lt;0,"−","")&amp;"$"&amp;TEXT(ABS(ABS(F90)),"#,##0.000")&amp;"bn"&amp;"）","營收 vs 共識 "&amp;IF(F49&lt;0,"−","+")&amp;TEXT(ABS(F49)*100,"#,##0.0")&amp;"%"&amp;"：觀點（水準 "&amp;IF(F90&lt;0,"−","+")&amp;IF(ABS(F90)&lt;0,"−","")&amp;"$"&amp;TEXT(ABS(ABS(F90)),"#,##0.000")&amp;"bn"&amp;"（FY27 模型 "&amp;IF(損益與評價!D8&lt;0,"−","")&amp;"$"&amp;TEXT(ABS(損益與評價!D8),"#,##0.000")&amp;"bn"&amp;"，共識合計 "&amp;IF(F89&lt;0,"−","")&amp;"$"&amp;TEXT(ABS(F89),"#,##0.000")&amp;"bn"&amp;"）；分配 "&amp;IF(F91&lt;0,"−","+")&amp;IF(ABS(F91)&lt;0,"−","")&amp;"$"&amp;TEXT(ABS(ABS(F91)),"#,##0.000")&amp;"bn"&amp;"）"),"營收 vs 共識 "&amp;IF(F49&lt;0,"−","+")&amp;TEXT(ABS(F49)*100,"#,##0.0")&amp;"%"&amp;"：未歸類（差異原因待補）"),""),"")</f>
        <v/>
      </c>
      <c r="G95" s="64" t="str">
        <f aca="false">IF(ISNUMBER(G49),IF(ABS(G49)&gt;輸入與假設!$C$150,IF(ISNUMBER(G90),IF(ABS(G91)&gt;ABS(G90),"營收 vs 共識 "&amp;IF(G49&lt;0,"−","+")&amp;TEXT(ABS(G49)*100,"#,##0.0")&amp;"%"&amp;"：拆法（分配 "&amp;IF(G91&lt;0,"−","+")&amp;IF(ABS(G91)&lt;0,"−","")&amp;"$"&amp;TEXT(ABS(ABS(G91)),"#,##0.000")&amp;"bn"&amp;"（Q3'27 占 FY27 "&amp;TEXT((G20/損益與評價!D8)*100,"#,##0.0")&amp;"%"&amp;"，共識合計 "&amp;TEXT(((G39)/G89)*100,"#,##0.0")&amp;"%"&amp;"）；水準 "&amp;IF(G90&lt;0,"−","+")&amp;IF(ABS(G90)&lt;0,"−","")&amp;"$"&amp;TEXT(ABS(ABS(G90)),"#,##0.000")&amp;"bn"&amp;"）","營收 vs 共識 "&amp;IF(G49&lt;0,"−","+")&amp;TEXT(ABS(G49)*100,"#,##0.0")&amp;"%"&amp;"：觀點（水準 "&amp;IF(G90&lt;0,"−","+")&amp;IF(ABS(G90)&lt;0,"−","")&amp;"$"&amp;TEXT(ABS(ABS(G90)),"#,##0.000")&amp;"bn"&amp;"（FY27 模型 "&amp;IF(損益與評價!D8&lt;0,"−","")&amp;"$"&amp;TEXT(ABS(損益與評價!D8),"#,##0.000")&amp;"bn"&amp;"，共識合計 "&amp;IF(G89&lt;0,"−","")&amp;"$"&amp;TEXT(ABS(G89),"#,##0.000")&amp;"bn"&amp;"）；分配 "&amp;IF(G91&lt;0,"−","+")&amp;IF(ABS(G91)&lt;0,"−","")&amp;"$"&amp;TEXT(ABS(ABS(G91)),"#,##0.000")&amp;"bn"&amp;"）"),"營收 vs 共識 "&amp;IF(G49&lt;0,"−","+")&amp;TEXT(ABS(G49)*100,"#,##0.0")&amp;"%"&amp;"：未歸類（差異原因待補）"),""),"")</f>
        <v/>
      </c>
      <c r="H95" s="64" t="str">
        <f aca="false">IF(ISNUMBER(H49),IF(ABS(H49)&gt;輸入與假設!$C$150,IF(ISNUMBER(H90),IF(ABS(H91)&gt;ABS(H90),"營收 vs 共識 "&amp;IF(H49&lt;0,"−","+")&amp;TEXT(ABS(H49)*100,"#,##0.0")&amp;"%"&amp;"：拆法（分配 "&amp;IF(H91&lt;0,"−","+")&amp;IF(ABS(H91)&lt;0,"−","")&amp;"$"&amp;TEXT(ABS(ABS(H91)),"#,##0.000")&amp;"bn"&amp;"（Q4'27 占 FY27 "&amp;TEXT((H20/損益與評價!D8)*100,"#,##0.0")&amp;"%"&amp;"，共識合計 "&amp;TEXT(((H39)/H89)*100,"#,##0.0")&amp;"%"&amp;"）；水準 "&amp;IF(H90&lt;0,"−","+")&amp;IF(ABS(H90)&lt;0,"−","")&amp;"$"&amp;TEXT(ABS(ABS(H90)),"#,##0.000")&amp;"bn"&amp;"）","營收 vs 共識 "&amp;IF(H49&lt;0,"−","+")&amp;TEXT(ABS(H49)*100,"#,##0.0")&amp;"%"&amp;"：觀點（水準 "&amp;IF(H90&lt;0,"−","+")&amp;IF(ABS(H90)&lt;0,"−","")&amp;"$"&amp;TEXT(ABS(ABS(H90)),"#,##0.000")&amp;"bn"&amp;"（FY27 模型 "&amp;IF(損益與評價!D8&lt;0,"−","")&amp;"$"&amp;TEXT(ABS(損益與評價!D8),"#,##0.000")&amp;"bn"&amp;"，共識合計 "&amp;IF(H89&lt;0,"−","")&amp;"$"&amp;TEXT(ABS(H89),"#,##0.000")&amp;"bn"&amp;"）；分配 "&amp;IF(H91&lt;0,"−","+")&amp;IF(ABS(H91)&lt;0,"−","")&amp;"$"&amp;TEXT(ABS(ABS(H91)),"#,##0.000")&amp;"bn"&amp;"）"),"營收 vs 共識 "&amp;IF(H49&lt;0,"−","+")&amp;TEXT(ABS(H49)*100,"#,##0.0")&amp;"%"&amp;"：未歸類（差異原因待補）"),""),"")</f>
        <v/>
      </c>
    </row>
    <row r="96" customFormat="false" ht="15" hidden="true" customHeight="false" outlineLevel="1" collapsed="false">
      <c r="A96" s="6" t="s">
        <v>518</v>
      </c>
      <c r="C96" s="64" t="str">
        <f aca="false">IF(ISNUMBER(C49),IF(ABS(C49)&gt;輸入與假設!$C$150,IF(ISNUMBER(C90),IF(ABS(C91)&gt;ABS(C90),"拆法","觀點"),"未歸類"),""),"")</f>
        <v/>
      </c>
      <c r="D96" s="64" t="str">
        <f aca="false">IF(ISNUMBER(D49),IF(ABS(D49)&gt;輸入與假設!$C$150,IF(ISNUMBER(D90),IF(ABS(D91)&gt;ABS(D90),"拆法","觀點"),"未歸類"),""),"")</f>
        <v/>
      </c>
      <c r="E96" s="64" t="str">
        <f aca="false">IF(ISNUMBER(E49),IF(ABS(E49)&gt;輸入與假設!$C$150,IF(ISNUMBER(E90),IF(ABS(E91)&gt;ABS(E90),"拆法","觀點"),"未歸類"),""),"")</f>
        <v/>
      </c>
      <c r="F96" s="64" t="str">
        <f aca="false">IF(ISNUMBER(F49),IF(ABS(F49)&gt;輸入與假設!$C$150,IF(ISNUMBER(F90),IF(ABS(F91)&gt;ABS(F90),"拆法","觀點"),"未歸類"),""),"")</f>
        <v/>
      </c>
      <c r="G96" s="64" t="str">
        <f aca="false">IF(ISNUMBER(G49),IF(ABS(G49)&gt;輸入與假設!$C$150,IF(ISNUMBER(G90),IF(ABS(G91)&gt;ABS(G90),"拆法","觀點"),"未歸類"),""),"")</f>
        <v/>
      </c>
      <c r="H96" s="64" t="str">
        <f aca="false">IF(ISNUMBER(H49),IF(ABS(H49)&gt;輸入與假設!$C$150,IF(ISNUMBER(H90),IF(ABS(H91)&gt;ABS(H90),"拆法","觀點"),"未歸類"),""),"")</f>
        <v/>
      </c>
    </row>
    <row r="97" customFormat="false" ht="15" hidden="true" customHeight="false" outlineLevel="1" collapsed="false">
      <c r="A97" s="6" t="s">
        <v>519</v>
      </c>
      <c r="C97" s="64" t="str">
        <f aca="false">IF(ISNUMBER(C50),IF(OR(ABS(C50)&gt;輸入與假設!$C$150,C20&gt;C30,C20&lt;C29),IF(ISNUMBER(C93),IF(ABS(C94)&gt;ABS(C93),"營收 vs 指引中點 "&amp;IF(C50&lt;0,"−","+")&amp;TEXT(ABS(C50)*100,"#,##0.0")&amp;"%"&amp;"：拆法（分配 "&amp;IF(C94&lt;0,"−","+")&amp;IF(ABS(C94)&lt;0,"−","")&amp;"$"&amp;TEXT(ABS(ABS(C94)),"#,##0.000")&amp;"bn"&amp;"（Q3'26 占 2H26 "&amp;TEXT((C20/損益與評價!C8)*100,"#,##0.0")&amp;"%"&amp;"，指引隱含 "&amp;TEXT(((((C29+C30)/2))/C92)*100,"#,##0.0")&amp;"%"&amp;"）；水準 "&amp;IF(C93&lt;0,"−","+")&amp;IF(ABS(C93)&lt;0,"−","")&amp;"$"&amp;TEXT(ABS(ABS(C93)),"#,##0.000")&amp;"bn"&amp;"）","營收 vs 指引中點 "&amp;IF(C50&lt;0,"−","+")&amp;TEXT(ABS(C50)*100,"#,##0.0")&amp;"%"&amp;"：觀點（水準 "&amp;IF(C93&lt;0,"−","+")&amp;IF(ABS(C93)&lt;0,"−","")&amp;"$"&amp;TEXT(ABS(ABS(C93)),"#,##0.000")&amp;"bn"&amp;"（2H26 模型 "&amp;IF(損益與評價!C8&lt;0,"−","")&amp;"$"&amp;TEXT(ABS(損益與評價!C8),"#,##0.000")&amp;"bn"&amp;"，指引隱含 "&amp;IF(C92&lt;0,"−","")&amp;"$"&amp;TEXT(ABS(C92),"#,##0.000")&amp;"bn"&amp;"）；分配 "&amp;IF(C94&lt;0,"−","+")&amp;IF(ABS(C94)&lt;0,"−","")&amp;"$"&amp;TEXT(ABS(ABS(C94)),"#,##0.000")&amp;"bn"&amp;"）"),"營收 vs 指引中點 "&amp;IF(C50&lt;0,"−","+")&amp;TEXT(ABS(C50)*100,"#,##0.0")&amp;"%"&amp;"：未歸類（差異原因待補）"),""),"")</f>
        <v>營收 vs 指引中點 +3.9%：觀點（水準 +$0.115bn（2H26 模型 $8.413bn，指引隱含 $8.147bn）；分配 +$0.023bn）</v>
      </c>
      <c r="D97" s="64" t="str">
        <f aca="false">IF(ISNUMBER(D50),IF(OR(ABS(D50)&gt;輸入與假設!$C$150,D20&gt;D30,D20&lt;D29),IF(ISNUMBER(D93),IF(ABS(D94)&gt;ABS(D93),"營收 vs 指引中點 "&amp;IF(D50&lt;0,"−","+")&amp;TEXT(ABS(D50)*100,"#,##0.0")&amp;"%"&amp;"：拆法（分配 "&amp;IF(D94&lt;0,"−","+")&amp;IF(ABS(D94)&lt;0,"−","")&amp;"$"&amp;TEXT(ABS(ABS(D94)),"#,##0.000")&amp;"bn"&amp;"（Q4'26 占 2H26 "&amp;TEXT((D20/損益與評價!C8)*100,"#,##0.0")&amp;"%"&amp;"，指引隱含 "&amp;TEXT(((((D29+D30)/2))/D92)*100,"#,##0.0")&amp;"%"&amp;"）；水準 "&amp;IF(D93&lt;0,"−","+")&amp;IF(ABS(D93)&lt;0,"−","")&amp;"$"&amp;TEXT(ABS(ABS(D93)),"#,##0.000")&amp;"bn"&amp;"）","營收 vs 指引中點 "&amp;IF(D50&lt;0,"−","+")&amp;TEXT(ABS(D50)*100,"#,##0.0")&amp;"%"&amp;"：觀點（水準 "&amp;IF(D93&lt;0,"−","+")&amp;IF(ABS(D93)&lt;0,"−","")&amp;"$"&amp;TEXT(ABS(ABS(D93)),"#,##0.000")&amp;"bn"&amp;"（2H26 模型 "&amp;IF(損益與評價!C8&lt;0,"−","")&amp;"$"&amp;TEXT(ABS(損益與評價!C8),"#,##0.000")&amp;"bn"&amp;"，指引隱含 "&amp;IF(D92&lt;0,"−","")&amp;"$"&amp;TEXT(ABS(D92),"#,##0.000")&amp;"bn"&amp;"）；分配 "&amp;IF(D94&lt;0,"−","+")&amp;IF(ABS(D94)&lt;0,"−","")&amp;"$"&amp;TEXT(ABS(ABS(D94)),"#,##0.000")&amp;"bn"&amp;"）"),"營收 vs 指引中點 "&amp;IF(D50&lt;0,"−","+")&amp;TEXT(ABS(D50)*100,"#,##0.0")&amp;"%"&amp;"：未歸類（差異原因待補）"),""),"")</f>
        <v/>
      </c>
      <c r="E97" s="64" t="str">
        <f aca="false">IF(ISNUMBER(E50),IF(OR(ABS(E50)&gt;輸入與假設!$C$150,E20&gt;E30,E20&lt;E29),IF(ISNUMBER(E93),IF(ABS(E94)&gt;ABS(E93),"營收 vs 指引中點 "&amp;IF(E50&lt;0,"−","+")&amp;TEXT(ABS(E50)*100,"#,##0.0")&amp;"%"&amp;"：拆法（分配 "&amp;IF(E94&lt;0,"−","+")&amp;IF(ABS(E94)&lt;0,"−","")&amp;"$"&amp;TEXT(ABS(ABS(E94)),"#,##0.000")&amp;"bn"&amp;"（Q1'27 占 FY27 "&amp;TEXT((E20/損益與評價!D8)*100,"#,##0.0")&amp;"%"&amp;"，指引隱含 "&amp;TEXT(((((E29+E30)/2))/E92)*100,"#,##0.0")&amp;"%"&amp;"）；水準 "&amp;IF(E93&lt;0,"−","+")&amp;IF(ABS(E93)&lt;0,"−","")&amp;"$"&amp;TEXT(ABS(ABS(E93)),"#,##0.000")&amp;"bn"&amp;"）","營收 vs 指引中點 "&amp;IF(E50&lt;0,"−","+")&amp;TEXT(ABS(E50)*100,"#,##0.0")&amp;"%"&amp;"：觀點（水準 "&amp;IF(E93&lt;0,"−","+")&amp;IF(ABS(E93)&lt;0,"−","")&amp;"$"&amp;TEXT(ABS(ABS(E93)),"#,##0.000")&amp;"bn"&amp;"（FY27 模型 "&amp;IF(損益與評價!D8&lt;0,"−","")&amp;"$"&amp;TEXT(ABS(損益與評價!D8),"#,##0.000")&amp;"bn"&amp;"，指引隱含 "&amp;IF(E92&lt;0,"−","")&amp;"$"&amp;TEXT(ABS(E92),"#,##0.000")&amp;"bn"&amp;"）；分配 "&amp;IF(E94&lt;0,"−","+")&amp;IF(ABS(E94)&lt;0,"−","")&amp;"$"&amp;TEXT(ABS(ABS(E94)),"#,##0.000")&amp;"bn"&amp;"）"),"營收 vs 指引中點 "&amp;IF(E50&lt;0,"−","+")&amp;TEXT(ABS(E50)*100,"#,##0.0")&amp;"%"&amp;"：未歸類（差異原因待補）"),""),"")</f>
        <v/>
      </c>
      <c r="F97" s="64" t="str">
        <f aca="false">IF(ISNUMBER(F50),IF(OR(ABS(F50)&gt;輸入與假設!$C$150,F20&gt;F30,F20&lt;F29),IF(ISNUMBER(F93),IF(ABS(F94)&gt;ABS(F93),"營收 vs 指引中點 "&amp;IF(F50&lt;0,"−","+")&amp;TEXT(ABS(F50)*100,"#,##0.0")&amp;"%"&amp;"：拆法（分配 "&amp;IF(F94&lt;0,"−","+")&amp;IF(ABS(F94)&lt;0,"−","")&amp;"$"&amp;TEXT(ABS(ABS(F94)),"#,##0.000")&amp;"bn"&amp;"（Q2'27 占 FY27 "&amp;TEXT((F20/損益與評價!D8)*100,"#,##0.0")&amp;"%"&amp;"，指引隱含 "&amp;TEXT(((((F29+F30)/2))/F92)*100,"#,##0.0")&amp;"%"&amp;"）；水準 "&amp;IF(F93&lt;0,"−","+")&amp;IF(ABS(F93)&lt;0,"−","")&amp;"$"&amp;TEXT(ABS(ABS(F93)),"#,##0.000")&amp;"bn"&amp;"）","營收 vs 指引中點 "&amp;IF(F50&lt;0,"−","+")&amp;TEXT(ABS(F50)*100,"#,##0.0")&amp;"%"&amp;"：觀點（水準 "&amp;IF(F93&lt;0,"−","+")&amp;IF(ABS(F93)&lt;0,"−","")&amp;"$"&amp;TEXT(ABS(ABS(F93)),"#,##0.000")&amp;"bn"&amp;"（FY27 模型 "&amp;IF(損益與評價!D8&lt;0,"−","")&amp;"$"&amp;TEXT(ABS(損益與評價!D8),"#,##0.000")&amp;"bn"&amp;"，指引隱含 "&amp;IF(F92&lt;0,"−","")&amp;"$"&amp;TEXT(ABS(F92),"#,##0.000")&amp;"bn"&amp;"）；分配 "&amp;IF(F94&lt;0,"−","+")&amp;IF(ABS(F94)&lt;0,"−","")&amp;"$"&amp;TEXT(ABS(ABS(F94)),"#,##0.000")&amp;"bn"&amp;"）"),"營收 vs 指引中點 "&amp;IF(F50&lt;0,"−","+")&amp;TEXT(ABS(F50)*100,"#,##0.0")&amp;"%"&amp;"：未歸類（差異原因待補）"),""),"")</f>
        <v/>
      </c>
      <c r="G97" s="64" t="str">
        <f aca="false">IF(ISNUMBER(G50),IF(OR(ABS(G50)&gt;輸入與假設!$C$150,G20&gt;G30,G20&lt;G29),IF(ISNUMBER(G93),IF(ABS(G94)&gt;ABS(G93),"營收 vs 指引中點 "&amp;IF(G50&lt;0,"−","+")&amp;TEXT(ABS(G50)*100,"#,##0.0")&amp;"%"&amp;"：拆法（分配 "&amp;IF(G94&lt;0,"−","+")&amp;IF(ABS(G94)&lt;0,"−","")&amp;"$"&amp;TEXT(ABS(ABS(G94)),"#,##0.000")&amp;"bn"&amp;"（Q3'27 占 FY27 "&amp;TEXT((G20/損益與評價!D8)*100,"#,##0.0")&amp;"%"&amp;"，指引隱含 "&amp;TEXT(((((G29+G30)/2))/G92)*100,"#,##0.0")&amp;"%"&amp;"）；水準 "&amp;IF(G93&lt;0,"−","+")&amp;IF(ABS(G93)&lt;0,"−","")&amp;"$"&amp;TEXT(ABS(ABS(G93)),"#,##0.000")&amp;"bn"&amp;"）","營收 vs 指引中點 "&amp;IF(G50&lt;0,"−","+")&amp;TEXT(ABS(G50)*100,"#,##0.0")&amp;"%"&amp;"：觀點（水準 "&amp;IF(G93&lt;0,"−","+")&amp;IF(ABS(G93)&lt;0,"−","")&amp;"$"&amp;TEXT(ABS(ABS(G93)),"#,##0.000")&amp;"bn"&amp;"（FY27 模型 "&amp;IF(損益與評價!D8&lt;0,"−","")&amp;"$"&amp;TEXT(ABS(損益與評價!D8),"#,##0.000")&amp;"bn"&amp;"，指引隱含 "&amp;IF(G92&lt;0,"−","")&amp;"$"&amp;TEXT(ABS(G92),"#,##0.000")&amp;"bn"&amp;"）；分配 "&amp;IF(G94&lt;0,"−","+")&amp;IF(ABS(G94)&lt;0,"−","")&amp;"$"&amp;TEXT(ABS(ABS(G94)),"#,##0.000")&amp;"bn"&amp;"）"),"營收 vs 指引中點 "&amp;IF(G50&lt;0,"−","+")&amp;TEXT(ABS(G50)*100,"#,##0.0")&amp;"%"&amp;"：未歸類（差異原因待補）"),""),"")</f>
        <v/>
      </c>
      <c r="H97" s="64" t="str">
        <f aca="false">IF(ISNUMBER(H50),IF(OR(ABS(H50)&gt;輸入與假設!$C$150,H20&gt;H30,H20&lt;H29),IF(ISNUMBER(H93),IF(ABS(H94)&gt;ABS(H93),"營收 vs 指引中點 "&amp;IF(H50&lt;0,"−","+")&amp;TEXT(ABS(H50)*100,"#,##0.0")&amp;"%"&amp;"：拆法（分配 "&amp;IF(H94&lt;0,"−","+")&amp;IF(ABS(H94)&lt;0,"−","")&amp;"$"&amp;TEXT(ABS(ABS(H94)),"#,##0.000")&amp;"bn"&amp;"（Q4'27 占 FY27 "&amp;TEXT((H20/損益與評價!D8)*100,"#,##0.0")&amp;"%"&amp;"，指引隱含 "&amp;TEXT(((((H29+H30)/2))/H92)*100,"#,##0.0")&amp;"%"&amp;"）；水準 "&amp;IF(H93&lt;0,"−","+")&amp;IF(ABS(H93)&lt;0,"−","")&amp;"$"&amp;TEXT(ABS(ABS(H93)),"#,##0.000")&amp;"bn"&amp;"）","營收 vs 指引中點 "&amp;IF(H50&lt;0,"−","+")&amp;TEXT(ABS(H50)*100,"#,##0.0")&amp;"%"&amp;"：觀點（水準 "&amp;IF(H93&lt;0,"−","+")&amp;IF(ABS(H93)&lt;0,"−","")&amp;"$"&amp;TEXT(ABS(ABS(H93)),"#,##0.000")&amp;"bn"&amp;"（FY27 模型 "&amp;IF(損益與評價!D8&lt;0,"−","")&amp;"$"&amp;TEXT(ABS(損益與評價!D8),"#,##0.000")&amp;"bn"&amp;"，指引隱含 "&amp;IF(H92&lt;0,"−","")&amp;"$"&amp;TEXT(ABS(H92),"#,##0.000")&amp;"bn"&amp;"）；分配 "&amp;IF(H94&lt;0,"−","+")&amp;IF(ABS(H94)&lt;0,"−","")&amp;"$"&amp;TEXT(ABS(ABS(H94)),"#,##0.000")&amp;"bn"&amp;"）"),"營收 vs 指引中點 "&amp;IF(H50&lt;0,"−","+")&amp;TEXT(ABS(H50)*100,"#,##0.0")&amp;"%"&amp;"：未歸類（差異原因待補）"),""),"")</f>
        <v/>
      </c>
    </row>
    <row r="98" customFormat="false" ht="15" hidden="true" customHeight="false" outlineLevel="1" collapsed="false">
      <c r="A98" s="6" t="s">
        <v>520</v>
      </c>
      <c r="C98" s="64" t="str">
        <f aca="false">IF(ISNUMBER(C50),IF(OR(ABS(C50)&gt;輸入與假設!$C$150,C20&gt;C30,C20&lt;C29),IF(ISNUMBER(C93),IF(ABS(C94)&gt;ABS(C93),"拆法","觀點"),"未歸類"),""),"")</f>
        <v>觀點</v>
      </c>
      <c r="D98" s="64" t="str">
        <f aca="false">IF(ISNUMBER(D50),IF(OR(ABS(D50)&gt;輸入與假設!$C$150,D20&gt;D30,D20&lt;D29),IF(ISNUMBER(D93),IF(ABS(D94)&gt;ABS(D93),"拆法","觀點"),"未歸類"),""),"")</f>
        <v/>
      </c>
      <c r="E98" s="64" t="str">
        <f aca="false">IF(ISNUMBER(E50),IF(OR(ABS(E50)&gt;輸入與假設!$C$150,E20&gt;E30,E20&lt;E29),IF(ISNUMBER(E93),IF(ABS(E94)&gt;ABS(E93),"拆法","觀點"),"未歸類"),""),"")</f>
        <v/>
      </c>
      <c r="F98" s="64" t="str">
        <f aca="false">IF(ISNUMBER(F50),IF(OR(ABS(F50)&gt;輸入與假設!$C$150,F20&gt;F30,F20&lt;F29),IF(ISNUMBER(F93),IF(ABS(F94)&gt;ABS(F93),"拆法","觀點"),"未歸類"),""),"")</f>
        <v/>
      </c>
      <c r="G98" s="64" t="str">
        <f aca="false">IF(ISNUMBER(G50),IF(OR(ABS(G50)&gt;輸入與假設!$C$150,G20&gt;G30,G20&lt;G29),IF(ISNUMBER(G93),IF(ABS(G94)&gt;ABS(G93),"拆法","觀點"),"未歸類"),""),"")</f>
        <v/>
      </c>
      <c r="H98" s="64" t="str">
        <f aca="false">IF(ISNUMBER(H50),IF(OR(ABS(H50)&gt;輸入與假設!$C$150,H20&gt;H30,H20&lt;H29),IF(ISNUMBER(H93),IF(ABS(H94)&gt;ABS(H93),"拆法","觀點"),"未歸類"),""),"")</f>
        <v/>
      </c>
    </row>
    <row r="99" customFormat="false" ht="15" hidden="true" customHeight="false" outlineLevel="1" collapsed="false">
      <c r="A99" s="6" t="s">
        <v>521</v>
      </c>
      <c r="C99" s="64"/>
      <c r="D99" s="64"/>
      <c r="E99" s="64"/>
      <c r="F99" s="64"/>
      <c r="G99" s="64"/>
      <c r="H99" s="64"/>
    </row>
    <row r="100" customFormat="false" ht="15" hidden="true" customHeight="false" outlineLevel="1" collapsed="false">
      <c r="A100" s="6" t="s">
        <v>522</v>
      </c>
      <c r="C100" s="64"/>
      <c r="D100" s="64"/>
      <c r="E100" s="64"/>
      <c r="F100" s="64"/>
      <c r="G100" s="64"/>
      <c r="H100" s="64"/>
    </row>
    <row r="101" customFormat="false" ht="15" hidden="true" customHeight="false" outlineLevel="1" collapsed="false">
      <c r="A101" s="6" t="s">
        <v>523</v>
      </c>
      <c r="B101" s="10" t="s">
        <v>17</v>
      </c>
      <c r="C101" s="52" t="n">
        <f aca="false">IF(COUNT(C40,D40)=2,C40+D40,"不適用")</f>
        <v>4.944</v>
      </c>
      <c r="D101" s="52" t="n">
        <f aca="false">IF(COUNT(C40,D40)=2,C40+D40,"不適用")</f>
        <v>4.944</v>
      </c>
      <c r="E101" s="52" t="str">
        <f aca="false">IF(COUNT(E40,F40,G40,H40)=4,E40+F40+G40+H40,"不適用")</f>
        <v>不適用</v>
      </c>
      <c r="F101" s="52" t="str">
        <f aca="false">IF(COUNT(E40,F40,G40,H40)=4,E40+F40+G40+H40,"不適用")</f>
        <v>不適用</v>
      </c>
      <c r="G101" s="52" t="str">
        <f aca="false">IF(COUNT(E40,F40,G40,H40)=4,E40+F40+G40+H40,"不適用")</f>
        <v>不適用</v>
      </c>
      <c r="H101" s="52" t="str">
        <f aca="false">IF(COUNT(E40,F40,G40,H40)=4,E40+F40+G40+H40,"不適用")</f>
        <v>不適用</v>
      </c>
      <c r="J101" s="3"/>
    </row>
    <row r="102" customFormat="false" ht="15" hidden="true" customHeight="false" outlineLevel="1" collapsed="false">
      <c r="A102" s="6" t="s">
        <v>524</v>
      </c>
      <c r="B102" s="10" t="s">
        <v>17</v>
      </c>
      <c r="C102" s="52" t="n">
        <f aca="false">IF(AND(ISNUMBER(C101),C101&lt;&gt;0,ISNUMBER(C40),ISNUMBER(C26)),(損益與評價!C11-C101)*(C40)/C101,"不適用")</f>
        <v>0.00814411205501603</v>
      </c>
      <c r="D102" s="52" t="n">
        <f aca="false">IF(AND(ISNUMBER(D101),D101&lt;&gt;0,ISNUMBER(D40),ISNUMBER(D26)),(損益與評價!C11-D101)*(D40)/D101,"不適用")</f>
        <v>0.0115258879449836</v>
      </c>
      <c r="E102" s="52" t="str">
        <f aca="false">IF(AND(ISNUMBER(E101),E101&lt;&gt;0,ISNUMBER(E40),ISNUMBER(E26)),(損益與評價!D11-E101)*(E40)/E101,"不適用")</f>
        <v>不適用</v>
      </c>
      <c r="F102" s="52" t="str">
        <f aca="false">IF(AND(ISNUMBER(F101),F101&lt;&gt;0,ISNUMBER(F40),ISNUMBER(F26)),(損益與評價!D11-F101)*(F40)/F101,"不適用")</f>
        <v>不適用</v>
      </c>
      <c r="G102" s="52" t="str">
        <f aca="false">IF(AND(ISNUMBER(G101),G101&lt;&gt;0,ISNUMBER(G40),ISNUMBER(G26)),(損益與評價!D11-G101)*(G40)/G101,"不適用")</f>
        <v>不適用</v>
      </c>
      <c r="H102" s="52" t="str">
        <f aca="false">IF(AND(ISNUMBER(H101),H101&lt;&gt;0,ISNUMBER(H40),ISNUMBER(H26)),(損益與評價!D11-H101)*(H40)/H101,"不適用")</f>
        <v>不適用</v>
      </c>
      <c r="J102" s="10"/>
    </row>
    <row r="103" customFormat="false" ht="15" hidden="true" customHeight="false" outlineLevel="1" collapsed="false">
      <c r="A103" s="6" t="s">
        <v>525</v>
      </c>
      <c r="B103" s="10" t="s">
        <v>17</v>
      </c>
      <c r="C103" s="52" t="n">
        <f aca="false">IF(AND(ISNUMBER(C101),C101&lt;&gt;0,ISNUMBER(C40),ISNUMBER(C26)),(C26/損益與評價!C11-(C40)/C101)*損益與評價!C11,"不適用")</f>
        <v>0.0958171446820626</v>
      </c>
      <c r="D103" s="52" t="n">
        <f aca="false">IF(AND(ISNUMBER(D101),D101&lt;&gt;0,ISNUMBER(D40),ISNUMBER(D26)),(D26/損益與評價!C11-(D40)/D101)*損益與評價!C11,"不適用")</f>
        <v>-0.0958171446820615</v>
      </c>
      <c r="E103" s="52" t="str">
        <f aca="false">IF(AND(ISNUMBER(E101),E101&lt;&gt;0,ISNUMBER(E40),ISNUMBER(E26)),(E26/損益與評價!D11-(E40)/E101)*損益與評價!D11,"不適用")</f>
        <v>不適用</v>
      </c>
      <c r="F103" s="52" t="str">
        <f aca="false">IF(AND(ISNUMBER(F101),F101&lt;&gt;0,ISNUMBER(F40),ISNUMBER(F26)),(F26/損益與評價!D11-(F40)/F101)*損益與評價!D11,"不適用")</f>
        <v>不適用</v>
      </c>
      <c r="G103" s="52" t="str">
        <f aca="false">IF(AND(ISNUMBER(G101),G101&lt;&gt;0,ISNUMBER(G40),ISNUMBER(G26)),(G26/損益與評價!D11-(G40)/G101)*損益與評價!D11,"不適用")</f>
        <v>不適用</v>
      </c>
      <c r="H103" s="52" t="str">
        <f aca="false">IF(AND(ISNUMBER(H101),H101&lt;&gt;0,ISNUMBER(H40),ISNUMBER(H26)),(H26/損益與評價!D11-(H40)/H101)*損益與評價!D11,"不適用")</f>
        <v>不適用</v>
      </c>
      <c r="J103" s="10"/>
    </row>
    <row r="104" customFormat="false" ht="15" hidden="true" customHeight="false" outlineLevel="1" collapsed="false">
      <c r="A104" s="6" t="s">
        <v>526</v>
      </c>
      <c r="C104" s="64" t="str">
        <f aca="false">IF(ISNUMBER(C54),IF(IF(ISNUMBER(C59),ABS(C59)&gt;輸入與假設!$C$151,OR(AND(C40&lt;&gt;0,ABS(C54)&gt;輸入與假設!$C$150*ABS(C40)),AND(C40=0,C54&lt;&gt;0))),IF(ISNUMBER(C102),IF(ABS(C103)&gt;ABS(C102),"調整後 EBITDA vs 共識 "&amp;IF(C54&lt;0,"−","+")&amp;IF(ABS(C54)&lt;0,"−","")&amp;"$"&amp;TEXT(ABS(ABS(C54)),"#,##0.00")&amp;"bn"&amp;IF(ISNUMBER(C59),"／"&amp;IF(C59&lt;0,"−","+")&amp;TEXT(ABS(C59)*100,"#,##0.0")&amp;"pt","")&amp;"：拆法（分配 "&amp;IF(C103&lt;0,"−","+")&amp;IF(ABS(C103)&lt;0,"−","")&amp;"$"&amp;TEXT(ABS(ABS(C103)),"#,##0.000")&amp;"bn"&amp;"（Q3'26 占 2H26 "&amp;TEXT((C26/損益與評價!C11)*100,"#,##0.0")&amp;"%"&amp;"，共識合計 "&amp;TEXT(((C40)/C101)*100,"#,##0.0")&amp;"%"&amp;"）；水準 "&amp;IF(C102&lt;0,"−","+")&amp;IF(ABS(C102)&lt;0,"−","")&amp;"$"&amp;TEXT(ABS(ABS(C102)),"#,##0.000")&amp;"bn"&amp;"）","調整後 EBITDA vs 共識 "&amp;IF(C54&lt;0,"−","+")&amp;IF(ABS(C54)&lt;0,"−","")&amp;"$"&amp;TEXT(ABS(ABS(C54)),"#,##0.00")&amp;"bn"&amp;IF(ISNUMBER(C59),"／"&amp;IF(C59&lt;0,"−","+")&amp;TEXT(ABS(C59)*100,"#,##0.0")&amp;"pt","")&amp;"：觀點（水準 "&amp;IF(C102&lt;0,"−","+")&amp;IF(ABS(C102)&lt;0,"−","")&amp;"$"&amp;TEXT(ABS(ABS(C102)),"#,##0.000")&amp;"bn"&amp;"（2H26 模型 "&amp;IF(損益與評價!C11&lt;0,"−","")&amp;"$"&amp;TEXT(ABS(損益與評價!C11),"#,##0.000")&amp;"bn"&amp;"，共識合計 "&amp;IF(C101&lt;0,"−","")&amp;"$"&amp;TEXT(ABS(C101),"#,##0.000")&amp;"bn"&amp;"）；分配 "&amp;IF(C103&lt;0,"−","+")&amp;IF(ABS(C103)&lt;0,"−","")&amp;"$"&amp;TEXT(ABS(ABS(C103)),"#,##0.000")&amp;"bn"&amp;"）"),"調整後 EBITDA vs 共識 "&amp;IF(C54&lt;0,"−","+")&amp;IF(ABS(C54)&lt;0,"−","")&amp;"$"&amp;TEXT(ABS(ABS(C54)),"#,##0.00")&amp;"bn"&amp;IF(ISNUMBER(C59),"／"&amp;IF(C59&lt;0,"−","+")&amp;TEXT(ABS(C59)*100,"#,##0.0")&amp;"pt","")&amp;"：未歸類（差異原因待補）"),""),"")</f>
        <v/>
      </c>
      <c r="D104" s="64" t="str">
        <f aca="false">IF(ISNUMBER(D54),IF(IF(ISNUMBER(D59),ABS(D59)&gt;輸入與假設!$C$151,OR(AND(D40&lt;&gt;0,ABS(D54)&gt;輸入與假設!$C$150*ABS(D40)),AND(D40=0,D54&lt;&gt;0))),IF(ISNUMBER(D102),IF(ABS(D103)&gt;ABS(D102),"調整後 EBITDA vs 共識 "&amp;IF(D54&lt;0,"−","+")&amp;IF(ABS(D54)&lt;0,"−","")&amp;"$"&amp;TEXT(ABS(ABS(D54)),"#,##0.00")&amp;"bn"&amp;IF(ISNUMBER(D59),"／"&amp;IF(D59&lt;0,"−","+")&amp;TEXT(ABS(D59)*100,"#,##0.0")&amp;"pt","")&amp;"：拆法（分配 "&amp;IF(D103&lt;0,"−","+")&amp;IF(ABS(D103)&lt;0,"−","")&amp;"$"&amp;TEXT(ABS(ABS(D103)),"#,##0.000")&amp;"bn"&amp;"（Q4'26 占 2H26 "&amp;TEXT((D26/損益與評價!C11)*100,"#,##0.0")&amp;"%"&amp;"，共識合計 "&amp;TEXT(((D40)/D101)*100,"#,##0.0")&amp;"%"&amp;"）；水準 "&amp;IF(D102&lt;0,"−","+")&amp;IF(ABS(D102)&lt;0,"−","")&amp;"$"&amp;TEXT(ABS(ABS(D102)),"#,##0.000")&amp;"bn"&amp;"）","調整後 EBITDA vs 共識 "&amp;IF(D54&lt;0,"−","+")&amp;IF(ABS(D54)&lt;0,"−","")&amp;"$"&amp;TEXT(ABS(ABS(D54)),"#,##0.00")&amp;"bn"&amp;IF(ISNUMBER(D59),"／"&amp;IF(D59&lt;0,"−","+")&amp;TEXT(ABS(D59)*100,"#,##0.0")&amp;"pt","")&amp;"：觀點（水準 "&amp;IF(D102&lt;0,"−","+")&amp;IF(ABS(D102)&lt;0,"−","")&amp;"$"&amp;TEXT(ABS(ABS(D102)),"#,##0.000")&amp;"bn"&amp;"（2H26 模型 "&amp;IF(損益與評價!C11&lt;0,"−","")&amp;"$"&amp;TEXT(ABS(損益與評價!C11),"#,##0.000")&amp;"bn"&amp;"，共識合計 "&amp;IF(D101&lt;0,"−","")&amp;"$"&amp;TEXT(ABS(D101),"#,##0.000")&amp;"bn"&amp;"）；分配 "&amp;IF(D103&lt;0,"−","+")&amp;IF(ABS(D103)&lt;0,"−","")&amp;"$"&amp;TEXT(ABS(ABS(D103)),"#,##0.000")&amp;"bn"&amp;"）"),"調整後 EBITDA vs 共識 "&amp;IF(D54&lt;0,"−","+")&amp;IF(ABS(D54)&lt;0,"−","")&amp;"$"&amp;TEXT(ABS(ABS(D54)),"#,##0.00")&amp;"bn"&amp;IF(ISNUMBER(D59),"／"&amp;IF(D59&lt;0,"−","+")&amp;TEXT(ABS(D59)*100,"#,##0.0")&amp;"pt","")&amp;"：未歸類（差異原因待補）"),""),"")</f>
        <v>調整後 EBITDA vs 共識 −$0.08bn／−2.3pt：拆法（分配 −$0.096bn（Q4'26 占 2H26 56.7%，共識合計 58.6%）；水準 +$0.012bn）</v>
      </c>
      <c r="E104" s="64" t="str">
        <f aca="false">IF(ISNUMBER(E54),IF(IF(ISNUMBER(E59),ABS(E59)&gt;輸入與假設!$C$151,OR(AND(E40&lt;&gt;0,ABS(E54)&gt;輸入與假設!$C$150*ABS(E40)),AND(E40=0,E54&lt;&gt;0))),IF(ISNUMBER(E102),IF(ABS(E103)&gt;ABS(E102),"調整後 EBITDA vs 共識 "&amp;IF(E54&lt;0,"−","+")&amp;IF(ABS(E54)&lt;0,"−","")&amp;"$"&amp;TEXT(ABS(ABS(E54)),"#,##0.00")&amp;"bn"&amp;IF(ISNUMBER(E59),"／"&amp;IF(E59&lt;0,"−","+")&amp;TEXT(ABS(E59)*100,"#,##0.0")&amp;"pt","")&amp;"：拆法（分配 "&amp;IF(E103&lt;0,"−","+")&amp;IF(ABS(E103)&lt;0,"−","")&amp;"$"&amp;TEXT(ABS(ABS(E103)),"#,##0.000")&amp;"bn"&amp;"（Q1'27 占 FY27 "&amp;TEXT((E26/損益與評價!D11)*100,"#,##0.0")&amp;"%"&amp;"，共識合計 "&amp;TEXT(((E40)/E101)*100,"#,##0.0")&amp;"%"&amp;"）；水準 "&amp;IF(E102&lt;0,"−","+")&amp;IF(ABS(E102)&lt;0,"−","")&amp;"$"&amp;TEXT(ABS(ABS(E102)),"#,##0.000")&amp;"bn"&amp;"）","調整後 EBITDA vs 共識 "&amp;IF(E54&lt;0,"−","+")&amp;IF(ABS(E54)&lt;0,"−","")&amp;"$"&amp;TEXT(ABS(ABS(E54)),"#,##0.00")&amp;"bn"&amp;IF(ISNUMBER(E59),"／"&amp;IF(E59&lt;0,"−","+")&amp;TEXT(ABS(E59)*100,"#,##0.0")&amp;"pt","")&amp;"：觀點（水準 "&amp;IF(E102&lt;0,"−","+")&amp;IF(ABS(E102)&lt;0,"−","")&amp;"$"&amp;TEXT(ABS(ABS(E102)),"#,##0.000")&amp;"bn"&amp;"（FY27 模型 "&amp;IF(損益與評價!D11&lt;0,"−","")&amp;"$"&amp;TEXT(ABS(損益與評價!D11),"#,##0.000")&amp;"bn"&amp;"，共識合計 "&amp;IF(E101&lt;0,"−","")&amp;"$"&amp;TEXT(ABS(E101),"#,##0.000")&amp;"bn"&amp;"）；分配 "&amp;IF(E103&lt;0,"−","+")&amp;IF(ABS(E103)&lt;0,"−","")&amp;"$"&amp;TEXT(ABS(ABS(E103)),"#,##0.000")&amp;"bn"&amp;"）"),"調整後 EBITDA vs 共識 "&amp;IF(E54&lt;0,"−","+")&amp;IF(ABS(E54)&lt;0,"−","")&amp;"$"&amp;TEXT(ABS(ABS(E54)),"#,##0.00")&amp;"bn"&amp;IF(ISNUMBER(E59),"／"&amp;IF(E59&lt;0,"−","+")&amp;TEXT(ABS(E59)*100,"#,##0.0")&amp;"pt","")&amp;"：未歸類（差異原因待補）"),""),"")</f>
        <v/>
      </c>
      <c r="F104" s="64" t="str">
        <f aca="false">IF(ISNUMBER(F54),IF(IF(ISNUMBER(F59),ABS(F59)&gt;輸入與假設!$C$151,OR(AND(F40&lt;&gt;0,ABS(F54)&gt;輸入與假設!$C$150*ABS(F40)),AND(F40=0,F54&lt;&gt;0))),IF(ISNUMBER(F102),IF(ABS(F103)&gt;ABS(F102),"調整後 EBITDA vs 共識 "&amp;IF(F54&lt;0,"−","+")&amp;IF(ABS(F54)&lt;0,"−","")&amp;"$"&amp;TEXT(ABS(ABS(F54)),"#,##0.00")&amp;"bn"&amp;IF(ISNUMBER(F59),"／"&amp;IF(F59&lt;0,"−","+")&amp;TEXT(ABS(F59)*100,"#,##0.0")&amp;"pt","")&amp;"：拆法（分配 "&amp;IF(F103&lt;0,"−","+")&amp;IF(ABS(F103)&lt;0,"−","")&amp;"$"&amp;TEXT(ABS(ABS(F103)),"#,##0.000")&amp;"bn"&amp;"（Q2'27 占 FY27 "&amp;TEXT((F26/損益與評價!D11)*100,"#,##0.0")&amp;"%"&amp;"，共識合計 "&amp;TEXT(((F40)/F101)*100,"#,##0.0")&amp;"%"&amp;"）；水準 "&amp;IF(F102&lt;0,"−","+")&amp;IF(ABS(F102)&lt;0,"−","")&amp;"$"&amp;TEXT(ABS(ABS(F102)),"#,##0.000")&amp;"bn"&amp;"）","調整後 EBITDA vs 共識 "&amp;IF(F54&lt;0,"−","+")&amp;IF(ABS(F54)&lt;0,"−","")&amp;"$"&amp;TEXT(ABS(ABS(F54)),"#,##0.00")&amp;"bn"&amp;IF(ISNUMBER(F59),"／"&amp;IF(F59&lt;0,"−","+")&amp;TEXT(ABS(F59)*100,"#,##0.0")&amp;"pt","")&amp;"：觀點（水準 "&amp;IF(F102&lt;0,"−","+")&amp;IF(ABS(F102)&lt;0,"−","")&amp;"$"&amp;TEXT(ABS(ABS(F102)),"#,##0.000")&amp;"bn"&amp;"（FY27 模型 "&amp;IF(損益與評價!D11&lt;0,"−","")&amp;"$"&amp;TEXT(ABS(損益與評價!D11),"#,##0.000")&amp;"bn"&amp;"，共識合計 "&amp;IF(F101&lt;0,"−","")&amp;"$"&amp;TEXT(ABS(F101),"#,##0.000")&amp;"bn"&amp;"）；分配 "&amp;IF(F103&lt;0,"−","+")&amp;IF(ABS(F103)&lt;0,"−","")&amp;"$"&amp;TEXT(ABS(ABS(F103)),"#,##0.000")&amp;"bn"&amp;"）"),"調整後 EBITDA vs 共識 "&amp;IF(F54&lt;0,"−","+")&amp;IF(ABS(F54)&lt;0,"−","")&amp;"$"&amp;TEXT(ABS(ABS(F54)),"#,##0.00")&amp;"bn"&amp;IF(ISNUMBER(F59),"／"&amp;IF(F59&lt;0,"−","+")&amp;TEXT(ABS(F59)*100,"#,##0.0")&amp;"pt","")&amp;"：未歸類（差異原因待補）"),""),"")</f>
        <v/>
      </c>
      <c r="G104" s="64" t="str">
        <f aca="false">IF(ISNUMBER(G54),IF(IF(ISNUMBER(G59),ABS(G59)&gt;輸入與假設!$C$151,OR(AND(G40&lt;&gt;0,ABS(G54)&gt;輸入與假設!$C$150*ABS(G40)),AND(G40=0,G54&lt;&gt;0))),IF(ISNUMBER(G102),IF(ABS(G103)&gt;ABS(G102),"調整後 EBITDA vs 共識 "&amp;IF(G54&lt;0,"−","+")&amp;IF(ABS(G54)&lt;0,"−","")&amp;"$"&amp;TEXT(ABS(ABS(G54)),"#,##0.00")&amp;"bn"&amp;IF(ISNUMBER(G59),"／"&amp;IF(G59&lt;0,"−","+")&amp;TEXT(ABS(G59)*100,"#,##0.0")&amp;"pt","")&amp;"：拆法（分配 "&amp;IF(G103&lt;0,"−","+")&amp;IF(ABS(G103)&lt;0,"−","")&amp;"$"&amp;TEXT(ABS(ABS(G103)),"#,##0.000")&amp;"bn"&amp;"（Q3'27 占 FY27 "&amp;TEXT((G26/損益與評價!D11)*100,"#,##0.0")&amp;"%"&amp;"，共識合計 "&amp;TEXT(((G40)/G101)*100,"#,##0.0")&amp;"%"&amp;"）；水準 "&amp;IF(G102&lt;0,"−","+")&amp;IF(ABS(G102)&lt;0,"−","")&amp;"$"&amp;TEXT(ABS(ABS(G102)),"#,##0.000")&amp;"bn"&amp;"）","調整後 EBITDA vs 共識 "&amp;IF(G54&lt;0,"−","+")&amp;IF(ABS(G54)&lt;0,"−","")&amp;"$"&amp;TEXT(ABS(ABS(G54)),"#,##0.00")&amp;"bn"&amp;IF(ISNUMBER(G59),"／"&amp;IF(G59&lt;0,"−","+")&amp;TEXT(ABS(G59)*100,"#,##0.0")&amp;"pt","")&amp;"：觀點（水準 "&amp;IF(G102&lt;0,"−","+")&amp;IF(ABS(G102)&lt;0,"−","")&amp;"$"&amp;TEXT(ABS(ABS(G102)),"#,##0.000")&amp;"bn"&amp;"（FY27 模型 "&amp;IF(損益與評價!D11&lt;0,"−","")&amp;"$"&amp;TEXT(ABS(損益與評價!D11),"#,##0.000")&amp;"bn"&amp;"，共識合計 "&amp;IF(G101&lt;0,"−","")&amp;"$"&amp;TEXT(ABS(G101),"#,##0.000")&amp;"bn"&amp;"）；分配 "&amp;IF(G103&lt;0,"−","+")&amp;IF(ABS(G103)&lt;0,"−","")&amp;"$"&amp;TEXT(ABS(ABS(G103)),"#,##0.000")&amp;"bn"&amp;"）"),"調整後 EBITDA vs 共識 "&amp;IF(G54&lt;0,"−","+")&amp;IF(ABS(G54)&lt;0,"−","")&amp;"$"&amp;TEXT(ABS(ABS(G54)),"#,##0.00")&amp;"bn"&amp;IF(ISNUMBER(G59),"／"&amp;IF(G59&lt;0,"−","+")&amp;TEXT(ABS(G59)*100,"#,##0.0")&amp;"pt","")&amp;"：未歸類（差異原因待補）"),""),"")</f>
        <v/>
      </c>
      <c r="H104" s="64" t="str">
        <f aca="false">IF(ISNUMBER(H54),IF(IF(ISNUMBER(H59),ABS(H59)&gt;輸入與假設!$C$151,OR(AND(H40&lt;&gt;0,ABS(H54)&gt;輸入與假設!$C$150*ABS(H40)),AND(H40=0,H54&lt;&gt;0))),IF(ISNUMBER(H102),IF(ABS(H103)&gt;ABS(H102),"調整後 EBITDA vs 共識 "&amp;IF(H54&lt;0,"−","+")&amp;IF(ABS(H54)&lt;0,"−","")&amp;"$"&amp;TEXT(ABS(ABS(H54)),"#,##0.00")&amp;"bn"&amp;IF(ISNUMBER(H59),"／"&amp;IF(H59&lt;0,"−","+")&amp;TEXT(ABS(H59)*100,"#,##0.0")&amp;"pt","")&amp;"：拆法（分配 "&amp;IF(H103&lt;0,"−","+")&amp;IF(ABS(H103)&lt;0,"−","")&amp;"$"&amp;TEXT(ABS(ABS(H103)),"#,##0.000")&amp;"bn"&amp;"（Q4'27 占 FY27 "&amp;TEXT((H26/損益與評價!D11)*100,"#,##0.0")&amp;"%"&amp;"，共識合計 "&amp;TEXT(((H40)/H101)*100,"#,##0.0")&amp;"%"&amp;"）；水準 "&amp;IF(H102&lt;0,"−","+")&amp;IF(ABS(H102)&lt;0,"−","")&amp;"$"&amp;TEXT(ABS(ABS(H102)),"#,##0.000")&amp;"bn"&amp;"）","調整後 EBITDA vs 共識 "&amp;IF(H54&lt;0,"−","+")&amp;IF(ABS(H54)&lt;0,"−","")&amp;"$"&amp;TEXT(ABS(ABS(H54)),"#,##0.00")&amp;"bn"&amp;IF(ISNUMBER(H59),"／"&amp;IF(H59&lt;0,"−","+")&amp;TEXT(ABS(H59)*100,"#,##0.0")&amp;"pt","")&amp;"：觀點（水準 "&amp;IF(H102&lt;0,"−","+")&amp;IF(ABS(H102)&lt;0,"−","")&amp;"$"&amp;TEXT(ABS(ABS(H102)),"#,##0.000")&amp;"bn"&amp;"（FY27 模型 "&amp;IF(損益與評價!D11&lt;0,"−","")&amp;"$"&amp;TEXT(ABS(損益與評價!D11),"#,##0.000")&amp;"bn"&amp;"，共識合計 "&amp;IF(H101&lt;0,"−","")&amp;"$"&amp;TEXT(ABS(H101),"#,##0.000")&amp;"bn"&amp;"）；分配 "&amp;IF(H103&lt;0,"−","+")&amp;IF(ABS(H103)&lt;0,"−","")&amp;"$"&amp;TEXT(ABS(ABS(H103)),"#,##0.000")&amp;"bn"&amp;"）"),"調整後 EBITDA vs 共識 "&amp;IF(H54&lt;0,"−","+")&amp;IF(ABS(H54)&lt;0,"−","")&amp;"$"&amp;TEXT(ABS(ABS(H54)),"#,##0.00")&amp;"bn"&amp;IF(ISNUMBER(H59),"／"&amp;IF(H59&lt;0,"−","+")&amp;TEXT(ABS(H59)*100,"#,##0.0")&amp;"pt","")&amp;"：未歸類（差異原因待補）"),""),"")</f>
        <v/>
      </c>
    </row>
    <row r="105" customFormat="false" ht="15" hidden="true" customHeight="false" outlineLevel="1" collapsed="false">
      <c r="A105" s="6" t="s">
        <v>527</v>
      </c>
      <c r="C105" s="64" t="str">
        <f aca="false">IF(ISNUMBER(C54),IF(IF(ISNUMBER(C59),ABS(C59)&gt;輸入與假設!$C$151,OR(AND(C40&lt;&gt;0,ABS(C54)&gt;輸入與假設!$C$150*ABS(C40)),AND(C40=0,C54&lt;&gt;0))),IF(ISNUMBER(C102),IF(ABS(C103)&gt;ABS(C102),"拆法","觀點"),"未歸類"),""),"")</f>
        <v/>
      </c>
      <c r="D105" s="64" t="str">
        <f aca="false">IF(ISNUMBER(D54),IF(IF(ISNUMBER(D59),ABS(D59)&gt;輸入與假設!$C$151,OR(AND(D40&lt;&gt;0,ABS(D54)&gt;輸入與假設!$C$150*ABS(D40)),AND(D40=0,D54&lt;&gt;0))),IF(ISNUMBER(D102),IF(ABS(D103)&gt;ABS(D102),"拆法","觀點"),"未歸類"),""),"")</f>
        <v>拆法</v>
      </c>
      <c r="E105" s="64" t="str">
        <f aca="false">IF(ISNUMBER(E54),IF(IF(ISNUMBER(E59),ABS(E59)&gt;輸入與假設!$C$151,OR(AND(E40&lt;&gt;0,ABS(E54)&gt;輸入與假設!$C$150*ABS(E40)),AND(E40=0,E54&lt;&gt;0))),IF(ISNUMBER(E102),IF(ABS(E103)&gt;ABS(E102),"拆法","觀點"),"未歸類"),""),"")</f>
        <v/>
      </c>
      <c r="F105" s="64" t="str">
        <f aca="false">IF(ISNUMBER(F54),IF(IF(ISNUMBER(F59),ABS(F59)&gt;輸入與假設!$C$151,OR(AND(F40&lt;&gt;0,ABS(F54)&gt;輸入與假設!$C$150*ABS(F40)),AND(F40=0,F54&lt;&gt;0))),IF(ISNUMBER(F102),IF(ABS(F103)&gt;ABS(F102),"拆法","觀點"),"未歸類"),""),"")</f>
        <v/>
      </c>
      <c r="G105" s="64" t="str">
        <f aca="false">IF(ISNUMBER(G54),IF(IF(ISNUMBER(G59),ABS(G59)&gt;輸入與假設!$C$151,OR(AND(G40&lt;&gt;0,ABS(G54)&gt;輸入與假設!$C$150*ABS(G40)),AND(G40=0,G54&lt;&gt;0))),IF(ISNUMBER(G102),IF(ABS(G103)&gt;ABS(G102),"拆法","觀點"),"未歸類"),""),"")</f>
        <v/>
      </c>
      <c r="H105" s="64" t="str">
        <f aca="false">IF(ISNUMBER(H54),IF(IF(ISNUMBER(H59),ABS(H59)&gt;輸入與假設!$C$151,OR(AND(H40&lt;&gt;0,ABS(H54)&gt;輸入與假設!$C$150*ABS(H40)),AND(H40=0,H54&lt;&gt;0))),IF(ISNUMBER(H102),IF(ABS(H103)&gt;ABS(H102),"拆法","觀點"),"未歸類"),""),"")</f>
        <v/>
      </c>
    </row>
    <row r="106" customFormat="false" ht="15" hidden="true" customHeight="false" outlineLevel="1" collapsed="false">
      <c r="A106" s="6" t="s">
        <v>528</v>
      </c>
      <c r="C106" s="64"/>
      <c r="D106" s="64"/>
      <c r="E106" s="64"/>
      <c r="F106" s="64"/>
      <c r="G106" s="64"/>
      <c r="H106" s="64"/>
    </row>
    <row r="107" customFormat="false" ht="15" hidden="true" customHeight="false" outlineLevel="1" collapsed="false">
      <c r="A107" s="6" t="s">
        <v>529</v>
      </c>
      <c r="C107" s="64"/>
      <c r="D107" s="64"/>
      <c r="E107" s="64"/>
      <c r="F107" s="64"/>
      <c r="G107" s="64"/>
      <c r="H107" s="64"/>
    </row>
    <row r="108" customFormat="false" ht="15" hidden="true" customHeight="false" outlineLevel="1" collapsed="false">
      <c r="A108" s="6" t="s">
        <v>530</v>
      </c>
      <c r="C108" s="64"/>
      <c r="D108" s="64"/>
      <c r="E108" s="64"/>
      <c r="F108" s="64"/>
      <c r="G108" s="64"/>
      <c r="H108" s="64"/>
    </row>
    <row r="109" customFormat="false" ht="15" hidden="true" customHeight="false" outlineLevel="1" collapsed="false">
      <c r="A109" s="6" t="s">
        <v>531</v>
      </c>
      <c r="C109" s="64"/>
      <c r="D109" s="64"/>
      <c r="E109" s="64"/>
      <c r="F109" s="64"/>
      <c r="G109" s="64"/>
      <c r="H109" s="64"/>
    </row>
    <row r="110" customFormat="false" ht="15" hidden="true" customHeight="false" outlineLevel="1" collapsed="false">
      <c r="A110" s="6" t="s">
        <v>532</v>
      </c>
      <c r="C110" s="64"/>
      <c r="D110" s="64"/>
      <c r="E110" s="64"/>
      <c r="F110" s="64"/>
      <c r="G110" s="64"/>
      <c r="H110" s="64"/>
    </row>
    <row r="111" customFormat="false" ht="15" hidden="true" customHeight="false" outlineLevel="1" collapsed="false">
      <c r="A111" s="6" t="s">
        <v>533</v>
      </c>
      <c r="C111" s="64"/>
      <c r="D111" s="64"/>
      <c r="E111" s="64"/>
      <c r="F111" s="64"/>
      <c r="G111" s="64"/>
      <c r="H111" s="64"/>
    </row>
    <row r="112" customFormat="false" ht="15" hidden="true" customHeight="false" outlineLevel="1" collapsed="false">
      <c r="A112" s="6" t="s">
        <v>534</v>
      </c>
      <c r="C112" s="64" t="str">
        <f aca="false">IF(ISNUMBER(C70),IF(OR(IF(ISNUMBER(C75),ABS(C75)&gt;輸入與假設!$C$151,OR(AND(((C31+C32)/2)&lt;&gt;0,ABS(C70)&gt;輸入與假設!$C$150*ABS(((C31+C32)/2))),AND(((C31+C32)/2)=0,C70&lt;&gt;0))),C28&gt;C32,C28&lt;C31),"調整後營業利益 vs 指引中點 "&amp;IF(C70&lt;0,"−","+")&amp;IF(ABS(C70)&lt;0,"−","")&amp;"$"&amp;TEXT(ABS(ABS(C70)),"#,##0.00")&amp;"bn"&amp;IF(ISNUMBER(C75),"／"&amp;IF(C75&lt;0,"−","+")&amp;TEXT(ABS(C75)*100,"#,##0.0")&amp;"pt","")&amp;"：已知限制（"&amp;"對照指引隱含折舊 "&amp;IF((輸入與假設!$C$148-((C31+C32)/2))&lt;0,"−","")&amp;TEXT(ABS((輸入與假設!$C$148-((C31+C32)/2))),"#,##0.00")&amp;"（＝共識 EBITDA "&amp;IF((輸入與假設!$C$148)&lt;0,"−","")&amp;TEXT(ABS((輸入與假設!$C$148)),"#,##0.00")&amp;" − 指引中點 "&amp;IF((((C31+C32)/2))&lt;0,"−","")&amp;TEXT(ABS((((C31+C32)/2))),"#,##0.00")&amp;"，Derived），模型折舊 "&amp;IF((C27)&lt;0,"−","")&amp;TEXT(ABS((C27)),"#,##0.00")&amp;"；缺口 "&amp;IF((C28-((C31+C32)/2))&lt;0,"−","+")&amp;TEXT(ABS((C28-((C31+C32)/2))),"#,##0.00")&amp;" ≈ 折舊 "&amp;IF((輸入與假設!$C$148-((C31+C32)/2)-C27)&lt;0,"−","+")&amp;TEXT(ABS((輸入與假設!$C$148-((C31+C32)/2)-C27)),"#,##0.00")&amp;" ＋ EBITDA "&amp;IF((C26-輸入與假設!$C$148)&lt;0,"−","+")&amp;TEXT(ABS((C26-輸入與假設!$C$148)),"#,##0.00")&amp;"；待辦 6 修正折舊"&amp;"）",""),"")</f>
        <v>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  <c r="D112" s="64" t="str">
        <f aca="false">IF(ISNUMBER(D70),IF(OR(IF(ISNUMBER(D75),ABS(D75)&gt;輸入與假設!$C$151,OR(AND(((D31+D32)/2)&lt;&gt;0,ABS(D70)&gt;輸入與假設!$C$150*ABS(((D31+D32)/2))),AND(((D31+D32)/2)=0,D70&lt;&gt;0))),D28&gt;D32,D28&lt;D31),"調整後營業利益 vs 指引中點 "&amp;IF(D70&lt;0,"−","+")&amp;IF(ABS(D70)&lt;0,"−","")&amp;"$"&amp;TEXT(ABS(ABS(D70)),"#,##0.00")&amp;"bn"&amp;IF(ISNUMBER(D75),"／"&amp;IF(D75&lt;0,"−","+")&amp;TEXT(ABS(D75)*100,"#,##0.0")&amp;"pt","")&amp;"：已知限制（"&amp;"對照指引隱含折舊 "&amp;"不適用"&amp;"（＝共識 EBITDA "&amp;IF((輸入與假設!$D$148)&lt;0,"−","")&amp;TEXT(ABS((輸入與假設!$D$148)),"#,##0.00")&amp;" − 指引中點 "&amp;"不適用"&amp;"，Derived），模型折舊 "&amp;IF((D27)&lt;0,"−","")&amp;TEXT(ABS((D27)),"#,##0.00")&amp;"；缺口 "&amp;"不適用"&amp;" ≈ 折舊 "&amp;"不適用"&amp;" ＋ EBITDA "&amp;IF((D26-輸入與假設!$D$148)&lt;0,"−","+")&amp;TEXT(ABS((D26-輸入與假設!$D$148)),"#,##0.00")&amp;"；待辦 6 修正折舊"&amp;"）",""),"")</f>
        <v/>
      </c>
      <c r="E112" s="64" t="str">
        <f aca="false">IF(ISNUMBER(E70),IF(OR(IF(ISNUMBER(E75),ABS(E75)&gt;輸入與假設!$C$151,OR(AND(((E31+E32)/2)&lt;&gt;0,ABS(E70)&gt;輸入與假設!$C$150*ABS(((E31+E32)/2))),AND(((E31+E32)/2)=0,E70&lt;&gt;0))),E28&gt;E32,E28&lt;E31),"調整後營業利益 vs 指引中點 "&amp;IF(E70&lt;0,"−","+")&amp;IF(ABS(E70)&lt;0,"−","")&amp;"$"&amp;TEXT(ABS(ABS(E70)),"#,##0.00")&amp;"bn"&amp;IF(ISNUMBER(E75),"／"&amp;IF(E75&lt;0,"−","+")&amp;TEXT(ABS(E75)*100,"#,##0.0")&amp;"pt","")&amp;"：已知限制（"&amp;"對照指引隱含折舊 "&amp;"不適用"&amp;"（＝共識 EBITDA "&amp;"不適用"&amp;" − 指引中點 "&amp;"不適用"&amp;"，Derived），模型折舊 "&amp;IF((E27)&lt;0,"−","")&amp;TEXT(ABS((E27)),"#,##0.00")&amp;"；缺口 "&amp;"不適用"&amp;" ≈ 折舊 "&amp;"不適用"&amp;" ＋ EBITDA "&amp;"不適用"&amp;"；待辦 6 修正折舊"&amp;"）",""),"")</f>
        <v/>
      </c>
      <c r="F112" s="64" t="str">
        <f aca="false">IF(ISNUMBER(F70),IF(OR(IF(ISNUMBER(F75),ABS(F75)&gt;輸入與假設!$C$151,OR(AND(((F31+F32)/2)&lt;&gt;0,ABS(F70)&gt;輸入與假設!$C$150*ABS(((F31+F32)/2))),AND(((F31+F32)/2)=0,F70&lt;&gt;0))),F28&gt;F32,F28&lt;F31),"調整後營業利益 vs 指引中點 "&amp;IF(F70&lt;0,"−","+")&amp;IF(ABS(F70)&lt;0,"−","")&amp;"$"&amp;TEXT(ABS(ABS(F70)),"#,##0.00")&amp;"bn"&amp;IF(ISNUMBER(F75),"／"&amp;IF(F75&lt;0,"−","+")&amp;TEXT(ABS(F75)*100,"#,##0.0")&amp;"pt","")&amp;"：已知限制（"&amp;"對照指引隱含折舊 "&amp;"不適用"&amp;"（＝共識 EBITDA "&amp;"不適用"&amp;" − 指引中點 "&amp;"不適用"&amp;"，Derived），模型折舊 "&amp;IF((F27)&lt;0,"−","")&amp;TEXT(ABS((F27)),"#,##0.00")&amp;"；缺口 "&amp;"不適用"&amp;" ≈ 折舊 "&amp;"不適用"&amp;" ＋ EBITDA "&amp;"不適用"&amp;"；待辦 6 修正折舊"&amp;"）",""),"")</f>
        <v/>
      </c>
      <c r="G112" s="64" t="str">
        <f aca="false">IF(ISNUMBER(G70),IF(OR(IF(ISNUMBER(G75),ABS(G75)&gt;輸入與假設!$C$151,OR(AND(((G31+G32)/2)&lt;&gt;0,ABS(G70)&gt;輸入與假設!$C$150*ABS(((G31+G32)/2))),AND(((G31+G32)/2)=0,G70&lt;&gt;0))),G28&gt;G32,G28&lt;G31),"調整後營業利益 vs 指引中點 "&amp;IF(G70&lt;0,"−","+")&amp;IF(ABS(G70)&lt;0,"−","")&amp;"$"&amp;TEXT(ABS(ABS(G70)),"#,##0.00")&amp;"bn"&amp;IF(ISNUMBER(G75),"／"&amp;IF(G75&lt;0,"−","+")&amp;TEXT(ABS(G75)*100,"#,##0.0")&amp;"pt","")&amp;"：已知限制（"&amp;"對照指引隱含折舊 "&amp;"不適用"&amp;"（＝共識 EBITDA "&amp;"不適用"&amp;" − 指引中點 "&amp;"不適用"&amp;"，Derived），模型折舊 "&amp;IF((G27)&lt;0,"−","")&amp;TEXT(ABS((G27)),"#,##0.00")&amp;"；缺口 "&amp;"不適用"&amp;" ≈ 折舊 "&amp;"不適用"&amp;" ＋ EBITDA "&amp;"不適用"&amp;"；待辦 6 修正折舊"&amp;"）",""),"")</f>
        <v/>
      </c>
      <c r="H112" s="64" t="str">
        <f aca="false">IF(ISNUMBER(H70),IF(OR(IF(ISNUMBER(H75),ABS(H75)&gt;輸入與假設!$C$151,OR(AND(((H31+H32)/2)&lt;&gt;0,ABS(H70)&gt;輸入與假設!$C$150*ABS(((H31+H32)/2))),AND(((H31+H32)/2)=0,H70&lt;&gt;0))),H28&gt;H32,H28&lt;H31),"調整後營業利益 vs 指引中點 "&amp;IF(H70&lt;0,"−","+")&amp;IF(ABS(H70)&lt;0,"−","")&amp;"$"&amp;TEXT(ABS(ABS(H70)),"#,##0.00")&amp;"bn"&amp;IF(ISNUMBER(H75),"／"&amp;IF(H75&lt;0,"−","+")&amp;TEXT(ABS(H75)*100,"#,##0.0")&amp;"pt","")&amp;"：已知限制（"&amp;"對照指引隱含折舊 "&amp;"不適用"&amp;"（＝共識 EBITDA "&amp;"不適用"&amp;" − 指引中點 "&amp;"不適用"&amp;"，Derived），模型折舊 "&amp;IF((H27)&lt;0,"−","")&amp;TEXT(ABS((H27)),"#,##0.00")&amp;"；缺口 "&amp;"不適用"&amp;" ≈ 折舊 "&amp;"不適用"&amp;" ＋ EBITDA "&amp;"不適用"&amp;"；待辦 6 修正折舊"&amp;"）",""),"")</f>
        <v/>
      </c>
    </row>
    <row r="113" customFormat="false" ht="15" hidden="true" customHeight="false" outlineLevel="1" collapsed="false">
      <c r="A113" s="6" t="s">
        <v>535</v>
      </c>
      <c r="C113" s="64" t="str">
        <f aca="false">IF(ISNUMBER(C70),IF(OR(IF(ISNUMBER(C75),ABS(C75)&gt;輸入與假設!$C$151,OR(AND(((C31+C32)/2)&lt;&gt;0,ABS(C70)&gt;輸入與假設!$C$150*ABS(((C31+C32)/2))),AND(((C31+C32)/2)=0,C70&lt;&gt;0))),C28&gt;C32,C28&lt;C31),"已知限制",""),"")</f>
        <v>已知限制</v>
      </c>
      <c r="D113" s="64" t="str">
        <f aca="false">IF(ISNUMBER(D70),IF(OR(IF(ISNUMBER(D75),ABS(D75)&gt;輸入與假設!$C$151,OR(AND(((D31+D32)/2)&lt;&gt;0,ABS(D70)&gt;輸入與假設!$C$150*ABS(((D31+D32)/2))),AND(((D31+D32)/2)=0,D70&lt;&gt;0))),D28&gt;D32,D28&lt;D31),"已知限制",""),"")</f>
        <v/>
      </c>
      <c r="E113" s="64" t="str">
        <f aca="false">IF(ISNUMBER(E70),IF(OR(IF(ISNUMBER(E75),ABS(E75)&gt;輸入與假設!$C$151,OR(AND(((E31+E32)/2)&lt;&gt;0,ABS(E70)&gt;輸入與假設!$C$150*ABS(((E31+E32)/2))),AND(((E31+E32)/2)=0,E70&lt;&gt;0))),E28&gt;E32,E28&lt;E31),"已知限制",""),"")</f>
        <v/>
      </c>
      <c r="F113" s="64" t="str">
        <f aca="false">IF(ISNUMBER(F70),IF(OR(IF(ISNUMBER(F75),ABS(F75)&gt;輸入與假設!$C$151,OR(AND(((F31+F32)/2)&lt;&gt;0,ABS(F70)&gt;輸入與假設!$C$150*ABS(((F31+F32)/2))),AND(((F31+F32)/2)=0,F70&lt;&gt;0))),F28&gt;F32,F28&lt;F31),"已知限制",""),"")</f>
        <v/>
      </c>
      <c r="G113" s="64" t="str">
        <f aca="false">IF(ISNUMBER(G70),IF(OR(IF(ISNUMBER(G75),ABS(G75)&gt;輸入與假設!$C$151,OR(AND(((G31+G32)/2)&lt;&gt;0,ABS(G70)&gt;輸入與假設!$C$150*ABS(((G31+G32)/2))),AND(((G31+G32)/2)=0,G70&lt;&gt;0))),G28&gt;G32,G28&lt;G31),"已知限制",""),"")</f>
        <v/>
      </c>
      <c r="H113" s="64" t="str">
        <f aca="false">IF(ISNUMBER(H70),IF(OR(IF(ISNUMBER(H75),ABS(H75)&gt;輸入與假設!$C$151,OR(AND(((H31+H32)/2)&lt;&gt;0,ABS(H70)&gt;輸入與假設!$C$150*ABS(((H31+H32)/2))),AND(((H31+H32)/2)=0,H70&lt;&gt;0))),H28&gt;H32,H28&lt;H31),"已知限制",""),"")</f>
        <v/>
      </c>
    </row>
    <row r="114" customFormat="false" ht="15" hidden="true" customHeight="false" outlineLevel="1" collapsed="false">
      <c r="A114" s="6" t="s">
        <v>536</v>
      </c>
      <c r="C114" s="64"/>
      <c r="D114" s="64"/>
      <c r="E114" s="64"/>
      <c r="F114" s="64"/>
      <c r="G114" s="64"/>
      <c r="H114" s="64"/>
    </row>
    <row r="115" customFormat="false" ht="15" hidden="true" customHeight="false" outlineLevel="1" collapsed="false">
      <c r="A115" s="6" t="s">
        <v>537</v>
      </c>
      <c r="C115" s="64"/>
      <c r="D115" s="64"/>
      <c r="E115" s="64"/>
      <c r="F115" s="64"/>
      <c r="G115" s="64"/>
      <c r="H115" s="64"/>
    </row>
    <row r="116" customFormat="false" ht="15" hidden="true" customHeight="false" outlineLevel="1" collapsed="false">
      <c r="A116" s="6" t="s">
        <v>538</v>
      </c>
      <c r="B116" s="10" t="s">
        <v>17</v>
      </c>
      <c r="C116" s="52" t="n">
        <f aca="false">(輸入與假設!$C$170+輸入與假設!$D$170)/2-輸入與假設!$E$170</f>
        <v>20.861</v>
      </c>
      <c r="D116" s="52" t="n">
        <f aca="false">(輸入與假設!$C$170+輸入與假設!$D$170)/2-輸入與假設!$E$170</f>
        <v>20.861</v>
      </c>
      <c r="E116" s="52" t="s">
        <v>423</v>
      </c>
      <c r="F116" s="52" t="s">
        <v>423</v>
      </c>
      <c r="G116" s="52" t="s">
        <v>423</v>
      </c>
      <c r="H116" s="52" t="s">
        <v>423</v>
      </c>
      <c r="J116" s="3"/>
    </row>
    <row r="117" customFormat="false" ht="15" hidden="true" customHeight="false" outlineLevel="1" collapsed="false">
      <c r="A117" s="6" t="s">
        <v>539</v>
      </c>
      <c r="B117" s="10" t="s">
        <v>17</v>
      </c>
      <c r="C117" s="52" t="n">
        <f aca="false">IF(AND(ISNUMBER(C116),C116&lt;&gt;0,ISNUMBER(((C34+C35)/2)),ISNUMBER(C38)),(輸入與假設!C$63-C116)*(((C34+C35)/2))/C116,"不適用")</f>
        <v>-0.0149801064186751</v>
      </c>
      <c r="D117" s="52" t="str">
        <f aca="false">IF(AND(ISNUMBER(D116),D116&lt;&gt;0,ISNUMBER(((D34+D35)/2)),ISNUMBER(D38)),(輸入與假設!C$63-D116)*(((D34+D35)/2))/D116,"不適用")</f>
        <v>不適用</v>
      </c>
      <c r="E117" s="52" t="str">
        <f aca="false">IF(AND(ISNUMBER(E116),E116&lt;&gt;0,ISNUMBER(((E34+E35)/2)),ISNUMBER(E38)),(輸入與假設!D$63-E116)*(((E34+E35)/2))/E116,"不適用")</f>
        <v>不適用</v>
      </c>
      <c r="F117" s="52" t="str">
        <f aca="false">IF(AND(ISNUMBER(F116),F116&lt;&gt;0,ISNUMBER(((F34+F35)/2)),ISNUMBER(F38)),(輸入與假設!D$63-F116)*(((F34+F35)/2))/F116,"不適用")</f>
        <v>不適用</v>
      </c>
      <c r="G117" s="52" t="str">
        <f aca="false">IF(AND(ISNUMBER(G116),G116&lt;&gt;0,ISNUMBER(((G34+G35)/2)),ISNUMBER(G38)),(輸入與假設!D$63-G116)*(((G34+G35)/2))/G116,"不適用")</f>
        <v>不適用</v>
      </c>
      <c r="H117" s="52" t="str">
        <f aca="false">IF(AND(ISNUMBER(H116),H116&lt;&gt;0,ISNUMBER(((H34+H35)/2)),ISNUMBER(H38)),(輸入與假設!D$63-H116)*(((H34+H35)/2))/H116,"不適用")</f>
        <v>不適用</v>
      </c>
      <c r="J117" s="10"/>
    </row>
    <row r="118" customFormat="false" ht="15" hidden="true" customHeight="false" outlineLevel="1" collapsed="false">
      <c r="A118" s="6" t="s">
        <v>540</v>
      </c>
      <c r="B118" s="10" t="s">
        <v>17</v>
      </c>
      <c r="C118" s="52" t="n">
        <f aca="false">IF(AND(ISNUMBER(C116),C116&lt;&gt;0,ISNUMBER(((C34+C35)/2)),ISNUMBER(C38)),(C38/輸入與假設!C$63-(((C34+C35)/2))/C116)*輸入與假設!C$63,"不適用")</f>
        <v>0.0149801064186753</v>
      </c>
      <c r="D118" s="52" t="str">
        <f aca="false">IF(AND(ISNUMBER(D116),D116&lt;&gt;0,ISNUMBER(((D34+D35)/2)),ISNUMBER(D38)),(D38/輸入與假設!C$63-(((D34+D35)/2))/D116)*輸入與假設!C$63,"不適用")</f>
        <v>不適用</v>
      </c>
      <c r="E118" s="52" t="str">
        <f aca="false">IF(AND(ISNUMBER(E116),E116&lt;&gt;0,ISNUMBER(((E34+E35)/2)),ISNUMBER(E38)),(E38/輸入與假設!D$63-(((E34+E35)/2))/E116)*輸入與假設!D$63,"不適用")</f>
        <v>不適用</v>
      </c>
      <c r="F118" s="52" t="str">
        <f aca="false">IF(AND(ISNUMBER(F116),F116&lt;&gt;0,ISNUMBER(((F34+F35)/2)),ISNUMBER(F38)),(F38/輸入與假設!D$63-(((F34+F35)/2))/F116)*輸入與假設!D$63,"不適用")</f>
        <v>不適用</v>
      </c>
      <c r="G118" s="52" t="str">
        <f aca="false">IF(AND(ISNUMBER(G116),G116&lt;&gt;0,ISNUMBER(((G34+G35)/2)),ISNUMBER(G38)),(G38/輸入與假設!D$63-(((G34+G35)/2))/G116)*輸入與假設!D$63,"不適用")</f>
        <v>不適用</v>
      </c>
      <c r="H118" s="52" t="str">
        <f aca="false">IF(AND(ISNUMBER(H116),H116&lt;&gt;0,ISNUMBER(((H34+H35)/2)),ISNUMBER(H38)),(H38/輸入與假設!D$63-(((H34+H35)/2))/H116)*輸入與假設!D$63,"不適用")</f>
        <v>不適用</v>
      </c>
      <c r="J118" s="10"/>
    </row>
    <row r="119" customFormat="false" ht="15" hidden="true" customHeight="false" outlineLevel="1" collapsed="false">
      <c r="A119" s="6" t="s">
        <v>541</v>
      </c>
      <c r="C119" s="64"/>
      <c r="D119" s="64"/>
      <c r="E119" s="64"/>
      <c r="F119" s="64"/>
      <c r="G119" s="64"/>
      <c r="H119" s="64"/>
    </row>
    <row r="120" customFormat="false" ht="15" hidden="true" customHeight="false" outlineLevel="1" collapsed="false">
      <c r="A120" s="6" t="s">
        <v>542</v>
      </c>
      <c r="C120" s="64"/>
      <c r="D120" s="64"/>
      <c r="E120" s="64"/>
      <c r="F120" s="64"/>
      <c r="G120" s="64"/>
      <c r="H120" s="64"/>
    </row>
    <row r="121" customFormat="false" ht="15" hidden="true" customHeight="false" outlineLevel="1" collapsed="false">
      <c r="A121" s="6" t="s">
        <v>543</v>
      </c>
      <c r="C121" s="64" t="str">
        <f aca="false">IF(ISNUMBER(C80),IF(OR(ABS(C80)&gt;輸入與假設!$C$150,C38&gt;C35,C38&lt;C34),IF(ISNUMBER(C117),IF(ABS(C118)&gt;ABS(C117),"CapEx（毛額） vs 指引中點 "&amp;IF(C80&lt;0,"−","+")&amp;TEXT(ABS(C80)*100,"#,##0.0")&amp;"%"&amp;"：拆法（分配 "&amp;IF(C118&lt;0,"−","+")&amp;IF(ABS(C118)&lt;0,"−","")&amp;"$"&amp;TEXT(ABS(ABS(C118)),"#,##0.000")&amp;"bn"&amp;"（Q3'26 占 2H26 "&amp;TEXT((C38/輸入與假設!C$63)*100,"#,##0.0")&amp;"%"&amp;"，指引隱含 "&amp;TEXT(((((C34+C35)/2))/C116)*100,"#,##0.0")&amp;"%"&amp;"）；水準 "&amp;IF(C117&lt;0,"−","+")&amp;IF(ABS(C117)&lt;0,"−","")&amp;"$"&amp;TEXT(ABS(ABS(C117)),"#,##0.000")&amp;"bn"&amp;"）","CapEx（毛額） vs 指引中點 "&amp;IF(C80&lt;0,"−","+")&amp;TEXT(ABS(C80)*100,"#,##0.0")&amp;"%"&amp;"：觀點（水準 "&amp;IF(C117&lt;0,"−","+")&amp;IF(ABS(C117)&lt;0,"−","")&amp;"$"&amp;TEXT(ABS(ABS(C117)),"#,##0.000")&amp;"bn"&amp;"（2H26 模型 "&amp;IF(輸入與假設!C$63&lt;0,"−","")&amp;"$"&amp;TEXT(ABS(輸入與假設!C$63),"#,##0.000")&amp;"bn"&amp;"，指引隱含 "&amp;IF(C116&lt;0,"−","")&amp;"$"&amp;TEXT(ABS(C116),"#,##0.000")&amp;"bn"&amp;"）；分配 "&amp;IF(C118&lt;0,"−","+")&amp;IF(ABS(C118)&lt;0,"−","")&amp;"$"&amp;TEXT(ABS(ABS(C118)),"#,##0.000")&amp;"bn"&amp;"）"),"CapEx（毛額） vs 指引中點 "&amp;IF(C80&lt;0,"−","+")&amp;TEXT(ABS(C80)*100,"#,##0.0")&amp;"%"&amp;"：未歸類（差異原因待補）"),""),"")</f>
        <v/>
      </c>
      <c r="D121" s="64" t="str">
        <f aca="false">IF(ISNUMBER(D80),IF(OR(ABS(D80)&gt;輸入與假設!$C$150,D38&gt;D35,D38&lt;D34),IF(ISNUMBER(D117),IF(ABS(D118)&gt;ABS(D117),"CapEx（毛額） vs 指引中點 "&amp;IF(D80&lt;0,"−","+")&amp;TEXT(ABS(D80)*100,"#,##0.0")&amp;"%"&amp;"：拆法（分配 "&amp;IF(D118&lt;0,"−","+")&amp;IF(ABS(D118)&lt;0,"−","")&amp;"$"&amp;TEXT(ABS(ABS(D118)),"#,##0.000")&amp;"bn"&amp;"（Q4'26 占 2H26 "&amp;TEXT((D38/輸入與假設!C$63)*100,"#,##0.0")&amp;"%"&amp;"，指引隱含 "&amp;TEXT(((((D34+D35)/2))/D116)*100,"#,##0.0")&amp;"%"&amp;"）；水準 "&amp;IF(D117&lt;0,"−","+")&amp;IF(ABS(D117)&lt;0,"−","")&amp;"$"&amp;TEXT(ABS(ABS(D117)),"#,##0.000")&amp;"bn"&amp;"）","CapEx（毛額） vs 指引中點 "&amp;IF(D80&lt;0,"−","+")&amp;TEXT(ABS(D80)*100,"#,##0.0")&amp;"%"&amp;"：觀點（水準 "&amp;IF(D117&lt;0,"−","+")&amp;IF(ABS(D117)&lt;0,"−","")&amp;"$"&amp;TEXT(ABS(ABS(D117)),"#,##0.000")&amp;"bn"&amp;"（2H26 模型 "&amp;IF(輸入與假設!C$63&lt;0,"−","")&amp;"$"&amp;TEXT(ABS(輸入與假設!C$63),"#,##0.000")&amp;"bn"&amp;"，指引隱含 "&amp;IF(D116&lt;0,"−","")&amp;"$"&amp;TEXT(ABS(D116),"#,##0.000")&amp;"bn"&amp;"）；分配 "&amp;IF(D118&lt;0,"−","+")&amp;IF(ABS(D118)&lt;0,"−","")&amp;"$"&amp;TEXT(ABS(ABS(D118)),"#,##0.000")&amp;"bn"&amp;"）"),"CapEx（毛額） vs 指引中點 "&amp;IF(D80&lt;0,"−","+")&amp;TEXT(ABS(D80)*100,"#,##0.0")&amp;"%"&amp;"：未歸類（差異原因待補）"),""),"")</f>
        <v/>
      </c>
      <c r="E121" s="64" t="str">
        <f aca="false">IF(ISNUMBER(E80),IF(OR(ABS(E80)&gt;輸入與假設!$C$150,E38&gt;E35,E38&lt;E34),IF(ISNUMBER(E117),IF(ABS(E118)&gt;ABS(E117),"CapEx（毛額） vs 指引中點 "&amp;IF(E80&lt;0,"−","+")&amp;TEXT(ABS(E80)*100,"#,##0.0")&amp;"%"&amp;"：拆法（分配 "&amp;IF(E118&lt;0,"−","+")&amp;IF(ABS(E118)&lt;0,"−","")&amp;"$"&amp;TEXT(ABS(ABS(E118)),"#,##0.000")&amp;"bn"&amp;"（Q1'27 占 FY27 "&amp;TEXT((E38/輸入與假設!D$63)*100,"#,##0.0")&amp;"%"&amp;"，指引隱含 "&amp;TEXT(((((E34+E35)/2))/E116)*100,"#,##0.0")&amp;"%"&amp;"）；水準 "&amp;IF(E117&lt;0,"−","+")&amp;IF(ABS(E117)&lt;0,"−","")&amp;"$"&amp;TEXT(ABS(ABS(E117)),"#,##0.000")&amp;"bn"&amp;"）","CapEx（毛額） vs 指引中點 "&amp;IF(E80&lt;0,"−","+")&amp;TEXT(ABS(E80)*100,"#,##0.0")&amp;"%"&amp;"：觀點（水準 "&amp;IF(E117&lt;0,"−","+")&amp;IF(ABS(E117)&lt;0,"−","")&amp;"$"&amp;TEXT(ABS(ABS(E117)),"#,##0.000")&amp;"bn"&amp;"（FY27 模型 "&amp;IF(輸入與假設!D$63&lt;0,"−","")&amp;"$"&amp;TEXT(ABS(輸入與假設!D$63),"#,##0.000")&amp;"bn"&amp;"，指引隱含 "&amp;IF(E116&lt;0,"−","")&amp;"$"&amp;TEXT(ABS(E116),"#,##0.000")&amp;"bn"&amp;"）；分配 "&amp;IF(E118&lt;0,"−","+")&amp;IF(ABS(E118)&lt;0,"−","")&amp;"$"&amp;TEXT(ABS(ABS(E118)),"#,##0.000")&amp;"bn"&amp;"）"),"CapEx（毛額） vs 指引中點 "&amp;IF(E80&lt;0,"−","+")&amp;TEXT(ABS(E80)*100,"#,##0.0")&amp;"%"&amp;"：未歸類（差異原因待補）"),""),"")</f>
        <v/>
      </c>
      <c r="F121" s="64" t="str">
        <f aca="false">IF(ISNUMBER(F80),IF(OR(ABS(F80)&gt;輸入與假設!$C$150,F38&gt;F35,F38&lt;F34),IF(ISNUMBER(F117),IF(ABS(F118)&gt;ABS(F117),"CapEx（毛額） vs 指引中點 "&amp;IF(F80&lt;0,"−","+")&amp;TEXT(ABS(F80)*100,"#,##0.0")&amp;"%"&amp;"：拆法（分配 "&amp;IF(F118&lt;0,"−","+")&amp;IF(ABS(F118)&lt;0,"−","")&amp;"$"&amp;TEXT(ABS(ABS(F118)),"#,##0.000")&amp;"bn"&amp;"（Q2'27 占 FY27 "&amp;TEXT((F38/輸入與假設!D$63)*100,"#,##0.0")&amp;"%"&amp;"，指引隱含 "&amp;TEXT(((((F34+F35)/2))/F116)*100,"#,##0.0")&amp;"%"&amp;"）；水準 "&amp;IF(F117&lt;0,"−","+")&amp;IF(ABS(F117)&lt;0,"−","")&amp;"$"&amp;TEXT(ABS(ABS(F117)),"#,##0.000")&amp;"bn"&amp;"）","CapEx（毛額） vs 指引中點 "&amp;IF(F80&lt;0,"−","+")&amp;TEXT(ABS(F80)*100,"#,##0.0")&amp;"%"&amp;"：觀點（水準 "&amp;IF(F117&lt;0,"−","+")&amp;IF(ABS(F117)&lt;0,"−","")&amp;"$"&amp;TEXT(ABS(ABS(F117)),"#,##0.000")&amp;"bn"&amp;"（FY27 模型 "&amp;IF(輸入與假設!D$63&lt;0,"−","")&amp;"$"&amp;TEXT(ABS(輸入與假設!D$63),"#,##0.000")&amp;"bn"&amp;"，指引隱含 "&amp;IF(F116&lt;0,"−","")&amp;"$"&amp;TEXT(ABS(F116),"#,##0.000")&amp;"bn"&amp;"）；分配 "&amp;IF(F118&lt;0,"−","+")&amp;IF(ABS(F118)&lt;0,"−","")&amp;"$"&amp;TEXT(ABS(ABS(F118)),"#,##0.000")&amp;"bn"&amp;"）"),"CapEx（毛額） vs 指引中點 "&amp;IF(F80&lt;0,"−","+")&amp;TEXT(ABS(F80)*100,"#,##0.0")&amp;"%"&amp;"：未歸類（差異原因待補）"),""),"")</f>
        <v/>
      </c>
      <c r="G121" s="64" t="str">
        <f aca="false">IF(ISNUMBER(G80),IF(OR(ABS(G80)&gt;輸入與假設!$C$150,G38&gt;G35,G38&lt;G34),IF(ISNUMBER(G117),IF(ABS(G118)&gt;ABS(G117),"CapEx（毛額） vs 指引中點 "&amp;IF(G80&lt;0,"−","+")&amp;TEXT(ABS(G80)*100,"#,##0.0")&amp;"%"&amp;"：拆法（分配 "&amp;IF(G118&lt;0,"−","+")&amp;IF(ABS(G118)&lt;0,"−","")&amp;"$"&amp;TEXT(ABS(ABS(G118)),"#,##0.000")&amp;"bn"&amp;"（Q3'27 占 FY27 "&amp;TEXT((G38/輸入與假設!D$63)*100,"#,##0.0")&amp;"%"&amp;"，指引隱含 "&amp;TEXT(((((G34+G35)/2))/G116)*100,"#,##0.0")&amp;"%"&amp;"）；水準 "&amp;IF(G117&lt;0,"−","+")&amp;IF(ABS(G117)&lt;0,"−","")&amp;"$"&amp;TEXT(ABS(ABS(G117)),"#,##0.000")&amp;"bn"&amp;"）","CapEx（毛額） vs 指引中點 "&amp;IF(G80&lt;0,"−","+")&amp;TEXT(ABS(G80)*100,"#,##0.0")&amp;"%"&amp;"：觀點（水準 "&amp;IF(G117&lt;0,"−","+")&amp;IF(ABS(G117)&lt;0,"−","")&amp;"$"&amp;TEXT(ABS(ABS(G117)),"#,##0.000")&amp;"bn"&amp;"（FY27 模型 "&amp;IF(輸入與假設!D$63&lt;0,"−","")&amp;"$"&amp;TEXT(ABS(輸入與假設!D$63),"#,##0.000")&amp;"bn"&amp;"，指引隱含 "&amp;IF(G116&lt;0,"−","")&amp;"$"&amp;TEXT(ABS(G116),"#,##0.000")&amp;"bn"&amp;"）；分配 "&amp;IF(G118&lt;0,"−","+")&amp;IF(ABS(G118)&lt;0,"−","")&amp;"$"&amp;TEXT(ABS(ABS(G118)),"#,##0.000")&amp;"bn"&amp;"）"),"CapEx（毛額） vs 指引中點 "&amp;IF(G80&lt;0,"−","+")&amp;TEXT(ABS(G80)*100,"#,##0.0")&amp;"%"&amp;"：未歸類（差異原因待補）"),""),"")</f>
        <v/>
      </c>
      <c r="H121" s="64" t="str">
        <f aca="false">IF(ISNUMBER(H80),IF(OR(ABS(H80)&gt;輸入與假設!$C$150,H38&gt;H35,H38&lt;H34),IF(ISNUMBER(H117),IF(ABS(H118)&gt;ABS(H117),"CapEx（毛額） vs 指引中點 "&amp;IF(H80&lt;0,"−","+")&amp;TEXT(ABS(H80)*100,"#,##0.0")&amp;"%"&amp;"：拆法（分配 "&amp;IF(H118&lt;0,"−","+")&amp;IF(ABS(H118)&lt;0,"−","")&amp;"$"&amp;TEXT(ABS(ABS(H118)),"#,##0.000")&amp;"bn"&amp;"（Q4'27 占 FY27 "&amp;TEXT((H38/輸入與假設!D$63)*100,"#,##0.0")&amp;"%"&amp;"，指引隱含 "&amp;TEXT(((((H34+H35)/2))/H116)*100,"#,##0.0")&amp;"%"&amp;"）；水準 "&amp;IF(H117&lt;0,"−","+")&amp;IF(ABS(H117)&lt;0,"−","")&amp;"$"&amp;TEXT(ABS(ABS(H117)),"#,##0.000")&amp;"bn"&amp;"）","CapEx（毛額） vs 指引中點 "&amp;IF(H80&lt;0,"−","+")&amp;TEXT(ABS(H80)*100,"#,##0.0")&amp;"%"&amp;"：觀點（水準 "&amp;IF(H117&lt;0,"−","+")&amp;IF(ABS(H117)&lt;0,"−","")&amp;"$"&amp;TEXT(ABS(ABS(H117)),"#,##0.000")&amp;"bn"&amp;"（FY27 模型 "&amp;IF(輸入與假設!D$63&lt;0,"−","")&amp;"$"&amp;TEXT(ABS(輸入與假設!D$63),"#,##0.000")&amp;"bn"&amp;"，指引隱含 "&amp;IF(H116&lt;0,"−","")&amp;"$"&amp;TEXT(ABS(H116),"#,##0.000")&amp;"bn"&amp;"）；分配 "&amp;IF(H118&lt;0,"−","+")&amp;IF(ABS(H118)&lt;0,"−","")&amp;"$"&amp;TEXT(ABS(ABS(H118)),"#,##0.000")&amp;"bn"&amp;"）"),"CapEx（毛額） vs 指引中點 "&amp;IF(H80&lt;0,"−","+")&amp;TEXT(ABS(H80)*100,"#,##0.0")&amp;"%"&amp;"：未歸類（差異原因待補）"),""),"")</f>
        <v/>
      </c>
    </row>
    <row r="122" customFormat="false" ht="15" hidden="true" customHeight="false" outlineLevel="1" collapsed="false">
      <c r="A122" s="6" t="s">
        <v>544</v>
      </c>
      <c r="C122" s="64" t="str">
        <f aca="false">IF(ISNUMBER(C80),IF(OR(ABS(C80)&gt;輸入與假設!$C$150,C38&gt;C35,C38&lt;C34),IF(ISNUMBER(C117),IF(ABS(C118)&gt;ABS(C117),"拆法","觀點"),"未歸類"),""),"")</f>
        <v/>
      </c>
      <c r="D122" s="64" t="str">
        <f aca="false">IF(ISNUMBER(D80),IF(OR(ABS(D80)&gt;輸入與假設!$C$150,D38&gt;D35,D38&lt;D34),IF(ISNUMBER(D117),IF(ABS(D118)&gt;ABS(D117),"拆法","觀點"),"未歸類"),""),"")</f>
        <v/>
      </c>
      <c r="E122" s="64" t="str">
        <f aca="false">IF(ISNUMBER(E80),IF(OR(ABS(E80)&gt;輸入與假設!$C$150,E38&gt;E35,E38&lt;E34),IF(ISNUMBER(E117),IF(ABS(E118)&gt;ABS(E117),"拆法","觀點"),"未歸類"),""),"")</f>
        <v/>
      </c>
      <c r="F122" s="64" t="str">
        <f aca="false">IF(ISNUMBER(F80),IF(OR(ABS(F80)&gt;輸入與假設!$C$150,F38&gt;F35,F38&lt;F34),IF(ISNUMBER(F117),IF(ABS(F118)&gt;ABS(F117),"拆法","觀點"),"未歸類"),""),"")</f>
        <v/>
      </c>
      <c r="G122" s="64" t="str">
        <f aca="false">IF(ISNUMBER(G80),IF(OR(ABS(G80)&gt;輸入與假設!$C$150,G38&gt;G35,G38&lt;G34),IF(ISNUMBER(G117),IF(ABS(G118)&gt;ABS(G117),"拆法","觀點"),"未歸類"),""),"")</f>
        <v/>
      </c>
      <c r="H122" s="64" t="str">
        <f aca="false">IF(ISNUMBER(H80),IF(OR(ABS(H80)&gt;輸入與假設!$C$150,H38&gt;H35,H38&lt;H34),IF(ISNUMBER(H117),IF(ABS(H118)&gt;ABS(H117),"拆法","觀點"),"未歸類"),""),"")</f>
        <v/>
      </c>
    </row>
    <row r="123" customFormat="false" ht="15" hidden="true" customHeight="false" outlineLevel="1" collapsed="false">
      <c r="A123" s="6" t="s">
        <v>545</v>
      </c>
      <c r="C123" s="64"/>
      <c r="D123" s="64"/>
      <c r="E123" s="64"/>
      <c r="F123" s="64"/>
      <c r="G123" s="64"/>
      <c r="H123" s="64"/>
    </row>
    <row r="124" customFormat="false" ht="15" hidden="true" customHeight="false" outlineLevel="1" collapsed="false">
      <c r="A124" s="6" t="s">
        <v>546</v>
      </c>
      <c r="C124" s="64"/>
      <c r="D124" s="64"/>
      <c r="E124" s="64"/>
      <c r="F124" s="64"/>
      <c r="G124" s="64"/>
      <c r="H124" s="64"/>
    </row>
    <row r="125" customFormat="false" ht="15" hidden="true" customHeight="false" outlineLevel="1" collapsed="false">
      <c r="A125" s="6" t="s">
        <v>547</v>
      </c>
      <c r="C125" s="64"/>
      <c r="D125" s="64"/>
      <c r="E125" s="64"/>
      <c r="F125" s="64"/>
      <c r="G125" s="64"/>
      <c r="H125" s="64"/>
    </row>
    <row r="126" customFormat="false" ht="15" hidden="true" customHeight="false" outlineLevel="1" collapsed="false">
      <c r="A126" s="6" t="s">
        <v>548</v>
      </c>
      <c r="C126" s="64"/>
      <c r="D126" s="64"/>
      <c r="E126" s="64"/>
      <c r="F126" s="64"/>
      <c r="G126" s="64"/>
      <c r="H126" s="64"/>
    </row>
    <row r="127" customFormat="false" ht="15" hidden="true" customHeight="false" outlineLevel="1" collapsed="false">
      <c r="A127" s="6" t="s">
        <v>549</v>
      </c>
      <c r="C127" s="64"/>
      <c r="D127" s="64"/>
      <c r="E127" s="64"/>
      <c r="F127" s="64"/>
      <c r="G127" s="64"/>
      <c r="H127" s="64"/>
    </row>
    <row r="128" customFormat="false" ht="15" hidden="true" customHeight="false" outlineLevel="1" collapsed="false">
      <c r="A128" s="6" t="s">
        <v>550</v>
      </c>
      <c r="C128" s="64"/>
      <c r="D128" s="64"/>
      <c r="E128" s="64"/>
      <c r="F128" s="64"/>
      <c r="G128" s="64"/>
      <c r="H128" s="64"/>
    </row>
    <row r="129" customFormat="false" ht="15" hidden="true" customHeight="false" outlineLevel="1" collapsed="false">
      <c r="A129" s="6" t="s">
        <v>551</v>
      </c>
      <c r="C129" s="64"/>
      <c r="D129" s="64"/>
      <c r="E129" s="64"/>
      <c r="F129" s="64"/>
      <c r="G129" s="64"/>
      <c r="H129" s="64"/>
    </row>
    <row r="130" customFormat="false" ht="15" hidden="true" customHeight="false" outlineLevel="1" collapsed="false">
      <c r="A130" s="6" t="s">
        <v>552</v>
      </c>
      <c r="C130" s="64"/>
      <c r="D130" s="64"/>
      <c r="E130" s="64"/>
      <c r="F130" s="64"/>
      <c r="G130" s="64"/>
      <c r="H130" s="64"/>
    </row>
    <row r="131" customFormat="false" ht="15" hidden="true" customHeight="false" outlineLevel="1" collapsed="false">
      <c r="A131" s="6" t="s">
        <v>553</v>
      </c>
      <c r="C131" s="64" t="str">
        <f aca="false">MID(IF(C95&lt;&gt;"","；"&amp;C95,"")&amp;IF(C97&lt;&gt;"","；"&amp;C97,"")&amp;IF(C99&lt;&gt;"","；"&amp;C99,"")&amp;IF(C104&lt;&gt;"","；"&amp;C104,"")&amp;IF(C106&lt;&gt;"","；"&amp;C106,"")&amp;IF(C108&lt;&gt;"","；"&amp;C108,"")&amp;IF(C110&lt;&gt;"","；"&amp;C110,"")&amp;IF(C112&lt;&gt;"","；"&amp;C112,"")&amp;IF(C114&lt;&gt;"","；"&amp;C114,"")&amp;IF(C119&lt;&gt;"","；"&amp;C119,"")&amp;IF(C121&lt;&gt;"","；"&amp;C121,"")&amp;IF(C123&lt;&gt;"","；"&amp;C123,"")&amp;IF(C125&lt;&gt;"","；"&amp;C125,"")&amp;IF(C127&lt;&gt;"","；"&amp;C127,"")&amp;IF(C129&lt;&gt;"","；"&amp;C129,""),2,9999)</f>
        <v>營收 vs 指引中點 +3.9%：觀點（水準 +$0.115bn（2H26 模型 $8.413bn，指引隱含 $8.147bn）；分配 +$0.023bn）；調整後營業利益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  <c r="D131" s="64" t="str">
        <f aca="false">MID(IF(D95&lt;&gt;"","；"&amp;D95,"")&amp;IF(D97&lt;&gt;"","；"&amp;D97,"")&amp;IF(D99&lt;&gt;"","；"&amp;D99,"")&amp;IF(D104&lt;&gt;"","；"&amp;D104,"")&amp;IF(D106&lt;&gt;"","；"&amp;D106,"")&amp;IF(D108&lt;&gt;"","；"&amp;D108,"")&amp;IF(D110&lt;&gt;"","；"&amp;D110,"")&amp;IF(D112&lt;&gt;"","；"&amp;D112,"")&amp;IF(D114&lt;&gt;"","；"&amp;D114,"")&amp;IF(D119&lt;&gt;"","；"&amp;D119,"")&amp;IF(D121&lt;&gt;"","；"&amp;D121,"")&amp;IF(D123&lt;&gt;"","；"&amp;D123,"")&amp;IF(D125&lt;&gt;"","；"&amp;D125,"")&amp;IF(D127&lt;&gt;"","；"&amp;D127,"")&amp;IF(D129&lt;&gt;"","；"&amp;D129,""),2,9999)</f>
        <v>調整後 EBITDA vs 共識 −$0.08bn／−2.3pt：拆法（分配 −$0.096bn（Q4'26 占 2H26 56.7%，共識合計 58.6%）；水準 +$0.012bn）</v>
      </c>
      <c r="E131" s="64" t="str">
        <f aca="false">MID(IF(E95&lt;&gt;"","；"&amp;E95,"")&amp;IF(E97&lt;&gt;"","；"&amp;E97,"")&amp;IF(E99&lt;&gt;"","；"&amp;E99,"")&amp;IF(E104&lt;&gt;"","；"&amp;E104,"")&amp;IF(E106&lt;&gt;"","；"&amp;E106,"")&amp;IF(E108&lt;&gt;"","；"&amp;E108,"")&amp;IF(E110&lt;&gt;"","；"&amp;E110,"")&amp;IF(E112&lt;&gt;"","；"&amp;E112,"")&amp;IF(E114&lt;&gt;"","；"&amp;E114,"")&amp;IF(E119&lt;&gt;"","；"&amp;E119,"")&amp;IF(E121&lt;&gt;"","；"&amp;E121,"")&amp;IF(E123&lt;&gt;"","；"&amp;E123,"")&amp;IF(E125&lt;&gt;"","；"&amp;E125,"")&amp;IF(E127&lt;&gt;"","；"&amp;E127,"")&amp;IF(E129&lt;&gt;"","；"&amp;E129,""),2,9999)</f>
        <v/>
      </c>
      <c r="F131" s="64" t="str">
        <f aca="false">MID(IF(F95&lt;&gt;"","；"&amp;F95,"")&amp;IF(F97&lt;&gt;"","；"&amp;F97,"")&amp;IF(F99&lt;&gt;"","；"&amp;F99,"")&amp;IF(F104&lt;&gt;"","；"&amp;F104,"")&amp;IF(F106&lt;&gt;"","；"&amp;F106,"")&amp;IF(F108&lt;&gt;"","；"&amp;F108,"")&amp;IF(F110&lt;&gt;"","；"&amp;F110,"")&amp;IF(F112&lt;&gt;"","；"&amp;F112,"")&amp;IF(F114&lt;&gt;"","；"&amp;F114,"")&amp;IF(F119&lt;&gt;"","；"&amp;F119,"")&amp;IF(F121&lt;&gt;"","；"&amp;F121,"")&amp;IF(F123&lt;&gt;"","；"&amp;F123,"")&amp;IF(F125&lt;&gt;"","；"&amp;F125,"")&amp;IF(F127&lt;&gt;"","；"&amp;F127,"")&amp;IF(F129&lt;&gt;"","；"&amp;F129,""),2,9999)</f>
        <v/>
      </c>
      <c r="G131" s="64" t="str">
        <f aca="false">MID(IF(G95&lt;&gt;"","；"&amp;G95,"")&amp;IF(G97&lt;&gt;"","；"&amp;G97,"")&amp;IF(G99&lt;&gt;"","；"&amp;G99,"")&amp;IF(G104&lt;&gt;"","；"&amp;G104,"")&amp;IF(G106&lt;&gt;"","；"&amp;G106,"")&amp;IF(G108&lt;&gt;"","；"&amp;G108,"")&amp;IF(G110&lt;&gt;"","；"&amp;G110,"")&amp;IF(G112&lt;&gt;"","；"&amp;G112,"")&amp;IF(G114&lt;&gt;"","；"&amp;G114,"")&amp;IF(G119&lt;&gt;"","；"&amp;G119,"")&amp;IF(G121&lt;&gt;"","；"&amp;G121,"")&amp;IF(G123&lt;&gt;"","；"&amp;G123,"")&amp;IF(G125&lt;&gt;"","；"&amp;G125,"")&amp;IF(G127&lt;&gt;"","；"&amp;G127,"")&amp;IF(G129&lt;&gt;"","；"&amp;G129,""),2,9999)</f>
        <v/>
      </c>
      <c r="H131" s="64" t="str">
        <f aca="false">MID(IF(H95&lt;&gt;"","；"&amp;H95,"")&amp;IF(H97&lt;&gt;"","；"&amp;H97,"")&amp;IF(H99&lt;&gt;"","；"&amp;H99,"")&amp;IF(H104&lt;&gt;"","；"&amp;H104,"")&amp;IF(H106&lt;&gt;"","；"&amp;H106,"")&amp;IF(H108&lt;&gt;"","；"&amp;H108,"")&amp;IF(H110&lt;&gt;"","；"&amp;H110,"")&amp;IF(H112&lt;&gt;"","；"&amp;H112,"")&amp;IF(H114&lt;&gt;"","；"&amp;H114,"")&amp;IF(H119&lt;&gt;"","；"&amp;H119,"")&amp;IF(H121&lt;&gt;"","；"&amp;H121,"")&amp;IF(H123&lt;&gt;"","；"&amp;H123,"")&amp;IF(H125&lt;&gt;"","；"&amp;H125,"")&amp;IF(H127&lt;&gt;"","；"&amp;H127,"")&amp;IF(H129&lt;&gt;"","；"&amp;H129,""),2,9999)</f>
        <v/>
      </c>
    </row>
    <row r="132" customFormat="false" ht="15" hidden="true" customHeight="false" outlineLevel="1" collapsed="false">
      <c r="A132" s="6" t="s">
        <v>554</v>
      </c>
      <c r="C132" s="64" t="str">
        <f aca="false">IF((C96&amp;IF(AND(C98&lt;&gt;"",C98&lt;&gt;C96),IF((C96)&lt;&gt;"","、","")&amp;C98,"")&amp;IF(AND(C100&lt;&gt;"",C100&lt;&gt;C96,C100&lt;&gt;C98),IF((C96&amp;C98)&lt;&gt;"","、","")&amp;C100,""))&lt;&gt;"","〔"&amp;(C96&amp;IF(AND(C98&lt;&gt;"",C98&lt;&gt;C96),IF((C96)&lt;&gt;"","、","")&amp;C98,"")&amp;IF(AND(C100&lt;&gt;"",C100&lt;&gt;C96,C100&lt;&gt;C98),IF((C96&amp;C98)&lt;&gt;"","、","")&amp;C100,""))&amp;"〕","")</f>
        <v>〔觀點〕</v>
      </c>
      <c r="D132" s="64" t="str">
        <f aca="false">IF((D96&amp;IF(AND(D98&lt;&gt;"",D98&lt;&gt;D96),IF((D96)&lt;&gt;"","、","")&amp;D98,"")&amp;IF(AND(D100&lt;&gt;"",D100&lt;&gt;D96,D100&lt;&gt;D98),IF((D96&amp;D98)&lt;&gt;"","、","")&amp;D100,""))&lt;&gt;"","〔"&amp;(D96&amp;IF(AND(D98&lt;&gt;"",D98&lt;&gt;D96),IF((D96)&lt;&gt;"","、","")&amp;D98,"")&amp;IF(AND(D100&lt;&gt;"",D100&lt;&gt;D96,D100&lt;&gt;D98),IF((D96&amp;D98)&lt;&gt;"","、","")&amp;D100,""))&amp;"〕","")</f>
        <v/>
      </c>
      <c r="E132" s="64" t="str">
        <f aca="false">IF((E96&amp;IF(AND(E98&lt;&gt;"",E98&lt;&gt;E96),IF((E96)&lt;&gt;"","、","")&amp;E98,"")&amp;IF(AND(E100&lt;&gt;"",E100&lt;&gt;E96,E100&lt;&gt;E98),IF((E96&amp;E98)&lt;&gt;"","、","")&amp;E100,""))&lt;&gt;"","〔"&amp;(E96&amp;IF(AND(E98&lt;&gt;"",E98&lt;&gt;E96),IF((E96)&lt;&gt;"","、","")&amp;E98,"")&amp;IF(AND(E100&lt;&gt;"",E100&lt;&gt;E96,E100&lt;&gt;E98),IF((E96&amp;E98)&lt;&gt;"","、","")&amp;E100,""))&amp;"〕","")</f>
        <v/>
      </c>
      <c r="F132" s="64" t="str">
        <f aca="false">IF((F96&amp;IF(AND(F98&lt;&gt;"",F98&lt;&gt;F96),IF((F96)&lt;&gt;"","、","")&amp;F98,"")&amp;IF(AND(F100&lt;&gt;"",F100&lt;&gt;F96,F100&lt;&gt;F98),IF((F96&amp;F98)&lt;&gt;"","、","")&amp;F100,""))&lt;&gt;"","〔"&amp;(F96&amp;IF(AND(F98&lt;&gt;"",F98&lt;&gt;F96),IF((F96)&lt;&gt;"","、","")&amp;F98,"")&amp;IF(AND(F100&lt;&gt;"",F100&lt;&gt;F96,F100&lt;&gt;F98),IF((F96&amp;F98)&lt;&gt;"","、","")&amp;F100,""))&amp;"〕","")</f>
        <v/>
      </c>
      <c r="G132" s="64" t="str">
        <f aca="false">IF((G96&amp;IF(AND(G98&lt;&gt;"",G98&lt;&gt;G96),IF((G96)&lt;&gt;"","、","")&amp;G98,"")&amp;IF(AND(G100&lt;&gt;"",G100&lt;&gt;G96,G100&lt;&gt;G98),IF((G96&amp;G98)&lt;&gt;"","、","")&amp;G100,""))&lt;&gt;"","〔"&amp;(G96&amp;IF(AND(G98&lt;&gt;"",G98&lt;&gt;G96),IF((G96)&lt;&gt;"","、","")&amp;G98,"")&amp;IF(AND(G100&lt;&gt;"",G100&lt;&gt;G96,G100&lt;&gt;G98),IF((G96&amp;G98)&lt;&gt;"","、","")&amp;G100,""))&amp;"〕","")</f>
        <v/>
      </c>
      <c r="H132" s="64" t="str">
        <f aca="false">IF((H96&amp;IF(AND(H98&lt;&gt;"",H98&lt;&gt;H96),IF((H96)&lt;&gt;"","、","")&amp;H98,"")&amp;IF(AND(H100&lt;&gt;"",H100&lt;&gt;H96,H100&lt;&gt;H98),IF((H96&amp;H98)&lt;&gt;"","、","")&amp;H100,""))&lt;&gt;"","〔"&amp;(H96&amp;IF(AND(H98&lt;&gt;"",H98&lt;&gt;H96),IF((H96)&lt;&gt;"","、","")&amp;H98,"")&amp;IF(AND(H100&lt;&gt;"",H100&lt;&gt;H96,H100&lt;&gt;H98),IF((H96&amp;H98)&lt;&gt;"","、","")&amp;H100,""))&amp;"〕","")</f>
        <v/>
      </c>
    </row>
    <row r="133" customFormat="false" ht="15" hidden="true" customHeight="false" outlineLevel="1" collapsed="false">
      <c r="A133" s="6" t="s">
        <v>555</v>
      </c>
      <c r="C133" s="64" t="str">
        <f aca="false">IF((C105&amp;IF(AND(C107&lt;&gt;"",C107&lt;&gt;C105),IF((C105)&lt;&gt;"","、","")&amp;C107,"")&amp;IF(AND(C109&lt;&gt;"",C109&lt;&gt;C105,C109&lt;&gt;C107),IF((C105&amp;C107)&lt;&gt;"","、","")&amp;C109,""))&lt;&gt;"","〔"&amp;(C105&amp;IF(AND(C107&lt;&gt;"",C107&lt;&gt;C105),IF((C105)&lt;&gt;"","、","")&amp;C107,"")&amp;IF(AND(C109&lt;&gt;"",C109&lt;&gt;C105,C109&lt;&gt;C107),IF((C105&amp;C107)&lt;&gt;"","、","")&amp;C109,""))&amp;"〕","")</f>
        <v/>
      </c>
      <c r="D133" s="64" t="str">
        <f aca="false">IF((D105&amp;IF(AND(D107&lt;&gt;"",D107&lt;&gt;D105),IF((D105)&lt;&gt;"","、","")&amp;D107,"")&amp;IF(AND(D109&lt;&gt;"",D109&lt;&gt;D105,D109&lt;&gt;D107),IF((D105&amp;D107)&lt;&gt;"","、","")&amp;D109,""))&lt;&gt;"","〔"&amp;(D105&amp;IF(AND(D107&lt;&gt;"",D107&lt;&gt;D105),IF((D105)&lt;&gt;"","、","")&amp;D107,"")&amp;IF(AND(D109&lt;&gt;"",D109&lt;&gt;D105,D109&lt;&gt;D107),IF((D105&amp;D107)&lt;&gt;"","、","")&amp;D109,""))&amp;"〕","")</f>
        <v>〔拆法〕</v>
      </c>
      <c r="E133" s="64" t="str">
        <f aca="false">IF((E105&amp;IF(AND(E107&lt;&gt;"",E107&lt;&gt;E105),IF((E105)&lt;&gt;"","、","")&amp;E107,"")&amp;IF(AND(E109&lt;&gt;"",E109&lt;&gt;E105,E109&lt;&gt;E107),IF((E105&amp;E107)&lt;&gt;"","、","")&amp;E109,""))&lt;&gt;"","〔"&amp;(E105&amp;IF(AND(E107&lt;&gt;"",E107&lt;&gt;E105),IF((E105)&lt;&gt;"","、","")&amp;E107,"")&amp;IF(AND(E109&lt;&gt;"",E109&lt;&gt;E105,E109&lt;&gt;E107),IF((E105&amp;E107)&lt;&gt;"","、","")&amp;E109,""))&amp;"〕","")</f>
        <v/>
      </c>
      <c r="F133" s="64" t="str">
        <f aca="false">IF((F105&amp;IF(AND(F107&lt;&gt;"",F107&lt;&gt;F105),IF((F105)&lt;&gt;"","、","")&amp;F107,"")&amp;IF(AND(F109&lt;&gt;"",F109&lt;&gt;F105,F109&lt;&gt;F107),IF((F105&amp;F107)&lt;&gt;"","、","")&amp;F109,""))&lt;&gt;"","〔"&amp;(F105&amp;IF(AND(F107&lt;&gt;"",F107&lt;&gt;F105),IF((F105)&lt;&gt;"","、","")&amp;F107,"")&amp;IF(AND(F109&lt;&gt;"",F109&lt;&gt;F105,F109&lt;&gt;F107),IF((F105&amp;F107)&lt;&gt;"","、","")&amp;F109,""))&amp;"〕","")</f>
        <v/>
      </c>
      <c r="G133" s="64" t="str">
        <f aca="false">IF((G105&amp;IF(AND(G107&lt;&gt;"",G107&lt;&gt;G105),IF((G105)&lt;&gt;"","、","")&amp;G107,"")&amp;IF(AND(G109&lt;&gt;"",G109&lt;&gt;G105,G109&lt;&gt;G107),IF((G105&amp;G107)&lt;&gt;"","、","")&amp;G109,""))&lt;&gt;"","〔"&amp;(G105&amp;IF(AND(G107&lt;&gt;"",G107&lt;&gt;G105),IF((G105)&lt;&gt;"","、","")&amp;G107,"")&amp;IF(AND(G109&lt;&gt;"",G109&lt;&gt;G105,G109&lt;&gt;G107),IF((G105&amp;G107)&lt;&gt;"","、","")&amp;G109,""))&amp;"〕","")</f>
        <v/>
      </c>
      <c r="H133" s="64" t="str">
        <f aca="false">IF((H105&amp;IF(AND(H107&lt;&gt;"",H107&lt;&gt;H105),IF((H105)&lt;&gt;"","、","")&amp;H107,"")&amp;IF(AND(H109&lt;&gt;"",H109&lt;&gt;H105,H109&lt;&gt;H107),IF((H105&amp;H107)&lt;&gt;"","、","")&amp;H109,""))&lt;&gt;"","〔"&amp;(H105&amp;IF(AND(H107&lt;&gt;"",H107&lt;&gt;H105),IF((H105)&lt;&gt;"","、","")&amp;H107,"")&amp;IF(AND(H109&lt;&gt;"",H109&lt;&gt;H105,H109&lt;&gt;H107),IF((H105&amp;H107)&lt;&gt;"","、","")&amp;H109,""))&amp;"〕","")</f>
        <v/>
      </c>
    </row>
    <row r="134" customFormat="false" ht="15" hidden="true" customHeight="false" outlineLevel="1" collapsed="false">
      <c r="A134" s="6" t="s">
        <v>556</v>
      </c>
      <c r="C134" s="64" t="str">
        <f aca="false">IF((C111&amp;IF(AND(C113&lt;&gt;"",C113&lt;&gt;C111),IF((C111)&lt;&gt;"","、","")&amp;C113,"")&amp;IF(AND(C115&lt;&gt;"",C115&lt;&gt;C111,C115&lt;&gt;C113),IF((C111&amp;C113)&lt;&gt;"","、","")&amp;C115,""))&lt;&gt;"","〔"&amp;(C111&amp;IF(AND(C113&lt;&gt;"",C113&lt;&gt;C111),IF((C111)&lt;&gt;"","、","")&amp;C113,"")&amp;IF(AND(C115&lt;&gt;"",C115&lt;&gt;C111,C115&lt;&gt;C113),IF((C111&amp;C113)&lt;&gt;"","、","")&amp;C115,""))&amp;"〕","")</f>
        <v>〔已知限制〕</v>
      </c>
      <c r="D134" s="64" t="str">
        <f aca="false">IF((D111&amp;IF(AND(D113&lt;&gt;"",D113&lt;&gt;D111),IF((D111)&lt;&gt;"","、","")&amp;D113,"")&amp;IF(AND(D115&lt;&gt;"",D115&lt;&gt;D111,D115&lt;&gt;D113),IF((D111&amp;D113)&lt;&gt;"","、","")&amp;D115,""))&lt;&gt;"","〔"&amp;(D111&amp;IF(AND(D113&lt;&gt;"",D113&lt;&gt;D111),IF((D111)&lt;&gt;"","、","")&amp;D113,"")&amp;IF(AND(D115&lt;&gt;"",D115&lt;&gt;D111,D115&lt;&gt;D113),IF((D111&amp;D113)&lt;&gt;"","、","")&amp;D115,""))&amp;"〕","")</f>
        <v/>
      </c>
      <c r="E134" s="64" t="str">
        <f aca="false">IF((E111&amp;IF(AND(E113&lt;&gt;"",E113&lt;&gt;E111),IF((E111)&lt;&gt;"","、","")&amp;E113,"")&amp;IF(AND(E115&lt;&gt;"",E115&lt;&gt;E111,E115&lt;&gt;E113),IF((E111&amp;E113)&lt;&gt;"","、","")&amp;E115,""))&lt;&gt;"","〔"&amp;(E111&amp;IF(AND(E113&lt;&gt;"",E113&lt;&gt;E111),IF((E111)&lt;&gt;"","、","")&amp;E113,"")&amp;IF(AND(E115&lt;&gt;"",E115&lt;&gt;E111,E115&lt;&gt;E113),IF((E111&amp;E113)&lt;&gt;"","、","")&amp;E115,""))&amp;"〕","")</f>
        <v/>
      </c>
      <c r="F134" s="64" t="str">
        <f aca="false">IF((F111&amp;IF(AND(F113&lt;&gt;"",F113&lt;&gt;F111),IF((F111)&lt;&gt;"","、","")&amp;F113,"")&amp;IF(AND(F115&lt;&gt;"",F115&lt;&gt;F111,F115&lt;&gt;F113),IF((F111&amp;F113)&lt;&gt;"","、","")&amp;F115,""))&lt;&gt;"","〔"&amp;(F111&amp;IF(AND(F113&lt;&gt;"",F113&lt;&gt;F111),IF((F111)&lt;&gt;"","、","")&amp;F113,"")&amp;IF(AND(F115&lt;&gt;"",F115&lt;&gt;F111,F115&lt;&gt;F113),IF((F111&amp;F113)&lt;&gt;"","、","")&amp;F115,""))&amp;"〕","")</f>
        <v/>
      </c>
      <c r="G134" s="64" t="str">
        <f aca="false">IF((G111&amp;IF(AND(G113&lt;&gt;"",G113&lt;&gt;G111),IF((G111)&lt;&gt;"","、","")&amp;G113,"")&amp;IF(AND(G115&lt;&gt;"",G115&lt;&gt;G111,G115&lt;&gt;G113),IF((G111&amp;G113)&lt;&gt;"","、","")&amp;G115,""))&lt;&gt;"","〔"&amp;(G111&amp;IF(AND(G113&lt;&gt;"",G113&lt;&gt;G111),IF((G111)&lt;&gt;"","、","")&amp;G113,"")&amp;IF(AND(G115&lt;&gt;"",G115&lt;&gt;G111,G115&lt;&gt;G113),IF((G111&amp;G113)&lt;&gt;"","、","")&amp;G115,""))&amp;"〕","")</f>
        <v/>
      </c>
      <c r="H134" s="64" t="str">
        <f aca="false">IF((H111&amp;IF(AND(H113&lt;&gt;"",H113&lt;&gt;H111),IF((H111)&lt;&gt;"","、","")&amp;H113,"")&amp;IF(AND(H115&lt;&gt;"",H115&lt;&gt;H111,H115&lt;&gt;H113),IF((H111&amp;H113)&lt;&gt;"","、","")&amp;H115,""))&lt;&gt;"","〔"&amp;(H111&amp;IF(AND(H113&lt;&gt;"",H113&lt;&gt;H111),IF((H111)&lt;&gt;"","、","")&amp;H113,"")&amp;IF(AND(H115&lt;&gt;"",H115&lt;&gt;H111,H115&lt;&gt;H113),IF((H111&amp;H113)&lt;&gt;"","、","")&amp;H115,""))&amp;"〕","")</f>
        <v/>
      </c>
    </row>
    <row r="135" customFormat="false" ht="15" hidden="true" customHeight="false" outlineLevel="1" collapsed="false">
      <c r="A135" s="6" t="s">
        <v>557</v>
      </c>
      <c r="C135" s="64" t="str">
        <f aca="false">IF((C120&amp;IF(AND(C122&lt;&gt;"",C122&lt;&gt;C120),IF((C120)&lt;&gt;"","、","")&amp;C122,"")&amp;IF(AND(C124&lt;&gt;"",C124&lt;&gt;C120,C124&lt;&gt;C122),IF((C120&amp;C122)&lt;&gt;"","、","")&amp;C124,""))&lt;&gt;"","〔"&amp;(C120&amp;IF(AND(C122&lt;&gt;"",C122&lt;&gt;C120),IF((C120)&lt;&gt;"","、","")&amp;C122,"")&amp;IF(AND(C124&lt;&gt;"",C124&lt;&gt;C120,C124&lt;&gt;C122),IF((C120&amp;C122)&lt;&gt;"","、","")&amp;C124,""))&amp;"〕","")</f>
        <v/>
      </c>
      <c r="D135" s="64" t="str">
        <f aca="false">IF((D120&amp;IF(AND(D122&lt;&gt;"",D122&lt;&gt;D120),IF((D120)&lt;&gt;"","、","")&amp;D122,"")&amp;IF(AND(D124&lt;&gt;"",D124&lt;&gt;D120,D124&lt;&gt;D122),IF((D120&amp;D122)&lt;&gt;"","、","")&amp;D124,""))&lt;&gt;"","〔"&amp;(D120&amp;IF(AND(D122&lt;&gt;"",D122&lt;&gt;D120),IF((D120)&lt;&gt;"","、","")&amp;D122,"")&amp;IF(AND(D124&lt;&gt;"",D124&lt;&gt;D120,D124&lt;&gt;D122),IF((D120&amp;D122)&lt;&gt;"","、","")&amp;D124,""))&amp;"〕","")</f>
        <v/>
      </c>
      <c r="E135" s="64" t="str">
        <f aca="false">IF((E120&amp;IF(AND(E122&lt;&gt;"",E122&lt;&gt;E120),IF((E120)&lt;&gt;"","、","")&amp;E122,"")&amp;IF(AND(E124&lt;&gt;"",E124&lt;&gt;E120,E124&lt;&gt;E122),IF((E120&amp;E122)&lt;&gt;"","、","")&amp;E124,""))&lt;&gt;"","〔"&amp;(E120&amp;IF(AND(E122&lt;&gt;"",E122&lt;&gt;E120),IF((E120)&lt;&gt;"","、","")&amp;E122,"")&amp;IF(AND(E124&lt;&gt;"",E124&lt;&gt;E120,E124&lt;&gt;E122),IF((E120&amp;E122)&lt;&gt;"","、","")&amp;E124,""))&amp;"〕","")</f>
        <v/>
      </c>
      <c r="F135" s="64" t="str">
        <f aca="false">IF((F120&amp;IF(AND(F122&lt;&gt;"",F122&lt;&gt;F120),IF((F120)&lt;&gt;"","、","")&amp;F122,"")&amp;IF(AND(F124&lt;&gt;"",F124&lt;&gt;F120,F124&lt;&gt;F122),IF((F120&amp;F122)&lt;&gt;"","、","")&amp;F124,""))&lt;&gt;"","〔"&amp;(F120&amp;IF(AND(F122&lt;&gt;"",F122&lt;&gt;F120),IF((F120)&lt;&gt;"","、","")&amp;F122,"")&amp;IF(AND(F124&lt;&gt;"",F124&lt;&gt;F120,F124&lt;&gt;F122),IF((F120&amp;F122)&lt;&gt;"","、","")&amp;F124,""))&amp;"〕","")</f>
        <v/>
      </c>
      <c r="G135" s="64" t="str">
        <f aca="false">IF((G120&amp;IF(AND(G122&lt;&gt;"",G122&lt;&gt;G120),IF((G120)&lt;&gt;"","、","")&amp;G122,"")&amp;IF(AND(G124&lt;&gt;"",G124&lt;&gt;G120,G124&lt;&gt;G122),IF((G120&amp;G122)&lt;&gt;"","、","")&amp;G124,""))&lt;&gt;"","〔"&amp;(G120&amp;IF(AND(G122&lt;&gt;"",G122&lt;&gt;G120),IF((G120)&lt;&gt;"","、","")&amp;G122,"")&amp;IF(AND(G124&lt;&gt;"",G124&lt;&gt;G120,G124&lt;&gt;G122),IF((G120&amp;G122)&lt;&gt;"","、","")&amp;G124,""))&amp;"〕","")</f>
        <v/>
      </c>
      <c r="H135" s="64" t="str">
        <f aca="false">IF((H120&amp;IF(AND(H122&lt;&gt;"",H122&lt;&gt;H120),IF((H120)&lt;&gt;"","、","")&amp;H122,"")&amp;IF(AND(H124&lt;&gt;"",H124&lt;&gt;H120,H124&lt;&gt;H122),IF((H120&amp;H122)&lt;&gt;"","、","")&amp;H124,""))&lt;&gt;"","〔"&amp;(H120&amp;IF(AND(H122&lt;&gt;"",H122&lt;&gt;H120),IF((H120)&lt;&gt;"","、","")&amp;H122,"")&amp;IF(AND(H124&lt;&gt;"",H124&lt;&gt;H120,H124&lt;&gt;H122),IF((H120&amp;H122)&lt;&gt;"","、","")&amp;H124,""))&amp;"〕","")</f>
        <v/>
      </c>
    </row>
    <row r="136" customFormat="false" ht="15" hidden="true" customHeight="false" outlineLevel="1" collapsed="false">
      <c r="A136" s="6" t="s">
        <v>558</v>
      </c>
      <c r="C136" s="64" t="str">
        <f aca="false">IF((C126&amp;IF(AND(C128&lt;&gt;"",C128&lt;&gt;C126),IF((C126)&lt;&gt;"","、","")&amp;C128,"")&amp;IF(AND(C130&lt;&gt;"",C130&lt;&gt;C126,C130&lt;&gt;C128),IF((C126&amp;C128)&lt;&gt;"","、","")&amp;C130,""))&lt;&gt;"","〔"&amp;(C126&amp;IF(AND(C128&lt;&gt;"",C128&lt;&gt;C126),IF((C126)&lt;&gt;"","、","")&amp;C128,"")&amp;IF(AND(C130&lt;&gt;"",C130&lt;&gt;C126,C130&lt;&gt;C128),IF((C126&amp;C128)&lt;&gt;"","、","")&amp;C130,""))&amp;"〕","")</f>
        <v/>
      </c>
      <c r="D136" s="64" t="str">
        <f aca="false">IF((D126&amp;IF(AND(D128&lt;&gt;"",D128&lt;&gt;D126),IF((D126)&lt;&gt;"","、","")&amp;D128,"")&amp;IF(AND(D130&lt;&gt;"",D130&lt;&gt;D126,D130&lt;&gt;D128),IF((D126&amp;D128)&lt;&gt;"","、","")&amp;D130,""))&lt;&gt;"","〔"&amp;(D126&amp;IF(AND(D128&lt;&gt;"",D128&lt;&gt;D126),IF((D126)&lt;&gt;"","、","")&amp;D128,"")&amp;IF(AND(D130&lt;&gt;"",D130&lt;&gt;D126,D130&lt;&gt;D128),IF((D126&amp;D128)&lt;&gt;"","、","")&amp;D130,""))&amp;"〕","")</f>
        <v/>
      </c>
      <c r="E136" s="64" t="str">
        <f aca="false">IF((E126&amp;IF(AND(E128&lt;&gt;"",E128&lt;&gt;E126),IF((E126)&lt;&gt;"","、","")&amp;E128,"")&amp;IF(AND(E130&lt;&gt;"",E130&lt;&gt;E126,E130&lt;&gt;E128),IF((E126&amp;E128)&lt;&gt;"","、","")&amp;E130,""))&lt;&gt;"","〔"&amp;(E126&amp;IF(AND(E128&lt;&gt;"",E128&lt;&gt;E126),IF((E126)&lt;&gt;"","、","")&amp;E128,"")&amp;IF(AND(E130&lt;&gt;"",E130&lt;&gt;E126,E130&lt;&gt;E128),IF((E126&amp;E128)&lt;&gt;"","、","")&amp;E130,""))&amp;"〕","")</f>
        <v/>
      </c>
      <c r="F136" s="64" t="str">
        <f aca="false">IF((F126&amp;IF(AND(F128&lt;&gt;"",F128&lt;&gt;F126),IF((F126)&lt;&gt;"","、","")&amp;F128,"")&amp;IF(AND(F130&lt;&gt;"",F130&lt;&gt;F126,F130&lt;&gt;F128),IF((F126&amp;F128)&lt;&gt;"","、","")&amp;F130,""))&lt;&gt;"","〔"&amp;(F126&amp;IF(AND(F128&lt;&gt;"",F128&lt;&gt;F126),IF((F126)&lt;&gt;"","、","")&amp;F128,"")&amp;IF(AND(F130&lt;&gt;"",F130&lt;&gt;F126,F130&lt;&gt;F128),IF((F126&amp;F128)&lt;&gt;"","、","")&amp;F130,""))&amp;"〕","")</f>
        <v/>
      </c>
      <c r="G136" s="64" t="str">
        <f aca="false">IF((G126&amp;IF(AND(G128&lt;&gt;"",G128&lt;&gt;G126),IF((G126)&lt;&gt;"","、","")&amp;G128,"")&amp;IF(AND(G130&lt;&gt;"",G130&lt;&gt;G126,G130&lt;&gt;G128),IF((G126&amp;G128)&lt;&gt;"","、","")&amp;G130,""))&lt;&gt;"","〔"&amp;(G126&amp;IF(AND(G128&lt;&gt;"",G128&lt;&gt;G126),IF((G126)&lt;&gt;"","、","")&amp;G128,"")&amp;IF(AND(G130&lt;&gt;"",G130&lt;&gt;G126,G130&lt;&gt;G128),IF((G126&amp;G128)&lt;&gt;"","、","")&amp;G130,""))&amp;"〕","")</f>
        <v/>
      </c>
      <c r="H136" s="64" t="str">
        <f aca="false">IF((H126&amp;IF(AND(H128&lt;&gt;"",H128&lt;&gt;H126),IF((H126)&lt;&gt;"","、","")&amp;H128,"")&amp;IF(AND(H130&lt;&gt;"",H130&lt;&gt;H126,H130&lt;&gt;H128),IF((H126&amp;H128)&lt;&gt;"","、","")&amp;H130,""))&lt;&gt;"","〔"&amp;(H126&amp;IF(AND(H128&lt;&gt;"",H128&lt;&gt;H126),IF((H126)&lt;&gt;"","、","")&amp;H128,"")&amp;IF(AND(H130&lt;&gt;"",H130&lt;&gt;H126,H130&lt;&gt;H128),IF((H126&amp;H128)&lt;&gt;"","、","")&amp;H130,""))&amp;"〕","")</f>
        <v/>
      </c>
    </row>
    <row r="137" customFormat="false" ht="15" hidden="true" customHeight="false" outlineLevel="1" collapsed="false">
      <c r="A137" s="6" t="s">
        <v>559</v>
      </c>
      <c r="C137" s="64" t="str">
        <f aca="false">"營收：模型 "&amp;IF(ISNUMBER(C20),IF(C20&lt;0,"−","")&amp;"$"&amp;TEXT(ABS(C20),"#,##0.00")&amp;"bn","不適用")&amp;IF(ISNUMBER(C39),"｜共識 "&amp;IF(C39&lt;0,"−","")&amp;"$"&amp;TEXT(ABS(C39),"#,##0.00")&amp;"bn"&amp;"（"&amp;IF(ISNUMBER(C49),IF(C49&lt;0,"−","+")&amp;TEXT(ABS(C49)*100,"#,##0.0")&amp;"%","不適用")&amp;"）","")&amp;IF(AND(ISNUMBER(C29),ISNUMBER(C30)),"｜指引 "&amp;"$"&amp;IF(C29&lt;0,"−","")&amp;TEXT(ABS(C29),"#,##0.00")&amp;"–"&amp;IF(C30&lt;0,"−","")&amp;TEXT(ABS(C30),"#,##0.00")&amp;"bn"&amp;"（中點 "&amp;IF(ISNUMBER(C50),IF(C50&lt;0,"−","+")&amp;TEXT(ABS(C50)*100,"#,##0.0")&amp;"%","不適用")&amp;"，"&amp;IF(C20&gt;C30,"高於上緣",IF(C20&lt;C29,"低於下緣",IF(C20&gt;=(C29+C30)/2,"區間上半部","區間下半部")))&amp;"）","")&amp;IF(ISNUMBER(C43),"｜實際 "&amp;IF(C43&lt;0,"−","")&amp;"$"&amp;TEXT(ABS(C43),"#,##0.00")&amp;"bn"&amp;"（較模型 "&amp;IF(ISNUMBER(C51),IF(C51&lt;0,"−","+")&amp;TEXT(ABS(C51)*100,"#,##0.0")&amp;"%","不適用")&amp;IF(ISNUMBER(C39),"、較共識 "&amp;IF(ISNUMBER(C52),IF(C52&lt;0,"−","+")&amp;TEXT(ABS(C52)*100,"#,##0.0")&amp;"%","不適用"),"")&amp;IF(AND(ISNUMBER(C29),ISNUMBER(C30)),"、"&amp;IF(C43&gt;C30,"高於上緣",IF(C43&lt;C29,"低於下緣",IF(C43&gt;=(C29+C30)/2,"區間上半部","區間下半部"))),"")&amp;"）","")&amp;C132</f>
        <v>營收：模型 $3.66bn｜共識 $3.54bn（+3.4%）｜指引 $3.45–3.60bn（中點 +3.9%，高於上緣）〔觀點〕</v>
      </c>
      <c r="D137" s="64" t="str">
        <f aca="false">"營收：模型 "&amp;IF(ISNUMBER(D20),IF(D20&lt;0,"−","")&amp;"$"&amp;TEXT(ABS(D20),"#,##0.00")&amp;"bn","不適用")&amp;IF(ISNUMBER(D39),"｜共識 "&amp;IF(D39&lt;0,"−","")&amp;"$"&amp;TEXT(ABS(D39),"#,##0.00")&amp;"bn"&amp;"（"&amp;IF(ISNUMBER(D49),IF(D49&lt;0,"−","+")&amp;TEXT(ABS(D49)*100,"#,##0.0")&amp;"%","不適用")&amp;"）","")&amp;IF(AND(ISNUMBER(D29),ISNUMBER(D30)),"｜指引 "&amp;"$"&amp;IF(D29&lt;0,"−","")&amp;TEXT(ABS(D29),"#,##0.00")&amp;"–"&amp;IF(D30&lt;0,"−","")&amp;TEXT(ABS(D30),"#,##0.00")&amp;"bn"&amp;"（中點 "&amp;IF(ISNUMBER(D50),IF(D50&lt;0,"−","+")&amp;TEXT(ABS(D50)*100,"#,##0.0")&amp;"%","不適用")&amp;"，"&amp;IF(D20&gt;D30,"高於上緣",IF(D20&lt;D29,"低於下緣",IF(D20&gt;=(D29+D30)/2,"區間上半部","區間下半部")))&amp;"）","")&amp;IF(ISNUMBER(D43),"｜實際 "&amp;IF(D43&lt;0,"−","")&amp;"$"&amp;TEXT(ABS(D43),"#,##0.00")&amp;"bn"&amp;"（較模型 "&amp;IF(ISNUMBER(D51),IF(D51&lt;0,"−","+")&amp;TEXT(ABS(D51)*100,"#,##0.0")&amp;"%","不適用")&amp;IF(ISNUMBER(D39),"、較共識 "&amp;IF(ISNUMBER(D52),IF(D52&lt;0,"−","+")&amp;TEXT(ABS(D52)*100,"#,##0.0")&amp;"%","不適用"),"")&amp;IF(AND(ISNUMBER(D29),ISNUMBER(D30)),"、"&amp;IF(D43&gt;D30,"高於上緣",IF(D43&lt;D29,"低於下緣",IF(D43&gt;=(D29+D30)/2,"區間上半部","區間下半部"))),"")&amp;"）","")&amp;D132</f>
        <v>營收：模型 $4.75bn｜共識 $4.71bn（+0.9%）</v>
      </c>
      <c r="E137" s="64" t="str">
        <f aca="false">"營收：模型 "&amp;IF(ISNUMBER(E20),IF(E20&lt;0,"−","")&amp;"$"&amp;TEXT(ABS(E20),"#,##0.00")&amp;"bn","不適用")&amp;IF(ISNUMBER(E39),"｜共識 "&amp;IF(E39&lt;0,"−","")&amp;"$"&amp;TEXT(ABS(E39),"#,##0.00")&amp;"bn"&amp;"（"&amp;IF(ISNUMBER(E49),IF(E49&lt;0,"−","+")&amp;TEXT(ABS(E49)*100,"#,##0.0")&amp;"%","不適用")&amp;"）","")&amp;IF(AND(ISNUMBER(E29),ISNUMBER(E30)),"｜指引 "&amp;"$"&amp;IF(E29&lt;0,"−","")&amp;TEXT(ABS(E29),"#,##0.00")&amp;"–"&amp;IF(E30&lt;0,"−","")&amp;TEXT(ABS(E30),"#,##0.00")&amp;"bn"&amp;"（中點 "&amp;IF(ISNUMBER(E50),IF(E50&lt;0,"−","+")&amp;TEXT(ABS(E50)*100,"#,##0.0")&amp;"%","不適用")&amp;"，"&amp;IF(E20&gt;E30,"高於上緣",IF(E20&lt;E29,"低於下緣",IF(E20&gt;=(E29+E30)/2,"區間上半部","區間下半部")))&amp;"）","")&amp;IF(ISNUMBER(E43),"｜實際 "&amp;IF(E43&lt;0,"−","")&amp;"$"&amp;TEXT(ABS(E43),"#,##0.00")&amp;"bn"&amp;"（較模型 "&amp;IF(ISNUMBER(E51),IF(E51&lt;0,"−","+")&amp;TEXT(ABS(E51)*100,"#,##0.0")&amp;"%","不適用")&amp;IF(ISNUMBER(E39),"、較共識 "&amp;IF(ISNUMBER(E52),IF(E52&lt;0,"−","+")&amp;TEXT(ABS(E52)*100,"#,##0.0")&amp;"%","不適用"),"")&amp;IF(AND(ISNUMBER(E29),ISNUMBER(E30)),"、"&amp;IF(E43&gt;E30,"高於上緣",IF(E43&lt;E29,"低於下緣",IF(E43&gt;=(E29+E30)/2,"區間上半部","區間下半部"))),"")&amp;"）","")&amp;E132</f>
        <v>營收：模型 $5.25bn</v>
      </c>
      <c r="F137" s="64" t="str">
        <f aca="false">"營收：模型 "&amp;IF(ISNUMBER(F20),IF(F20&lt;0,"−","")&amp;"$"&amp;TEXT(ABS(F20),"#,##0.00")&amp;"bn","不適用")&amp;IF(ISNUMBER(F39),"｜共識 "&amp;IF(F39&lt;0,"−","")&amp;"$"&amp;TEXT(ABS(F39),"#,##0.00")&amp;"bn"&amp;"（"&amp;IF(ISNUMBER(F49),IF(F49&lt;0,"−","+")&amp;TEXT(ABS(F49)*100,"#,##0.0")&amp;"%","不適用")&amp;"）","")&amp;IF(AND(ISNUMBER(F29),ISNUMBER(F30)),"｜指引 "&amp;"$"&amp;IF(F29&lt;0,"−","")&amp;TEXT(ABS(F29),"#,##0.00")&amp;"–"&amp;IF(F30&lt;0,"−","")&amp;TEXT(ABS(F30),"#,##0.00")&amp;"bn"&amp;"（中點 "&amp;IF(ISNUMBER(F50),IF(F50&lt;0,"−","+")&amp;TEXT(ABS(F50)*100,"#,##0.0")&amp;"%","不適用")&amp;"，"&amp;IF(F20&gt;F30,"高於上緣",IF(F20&lt;F29,"低於下緣",IF(F20&gt;=(F29+F30)/2,"區間上半部","區間下半部")))&amp;"）","")&amp;IF(ISNUMBER(F43),"｜實際 "&amp;IF(F43&lt;0,"−","")&amp;"$"&amp;TEXT(ABS(F43),"#,##0.00")&amp;"bn"&amp;"（較模型 "&amp;IF(ISNUMBER(F51),IF(F51&lt;0,"−","+")&amp;TEXT(ABS(F51)*100,"#,##0.0")&amp;"%","不適用")&amp;IF(ISNUMBER(F39),"、較共識 "&amp;IF(ISNUMBER(F52),IF(F52&lt;0,"−","+")&amp;TEXT(ABS(F52)*100,"#,##0.0")&amp;"%","不適用"),"")&amp;IF(AND(ISNUMBER(F29),ISNUMBER(F30)),"、"&amp;IF(F43&gt;F30,"高於上緣",IF(F43&lt;F29,"低於下緣",IF(F43&gt;=(F29+F30)/2,"區間上半部","區間下半部"))),"")&amp;"）","")&amp;F132</f>
        <v>營收：模型 $6.11bn</v>
      </c>
      <c r="G137" s="64" t="str">
        <f aca="false">"營收：模型 "&amp;IF(ISNUMBER(G20),IF(G20&lt;0,"−","")&amp;"$"&amp;TEXT(ABS(G20),"#,##0.00")&amp;"bn","不適用")&amp;IF(ISNUMBER(G39),"｜共識 "&amp;IF(G39&lt;0,"−","")&amp;"$"&amp;TEXT(ABS(G39),"#,##0.00")&amp;"bn"&amp;"（"&amp;IF(ISNUMBER(G49),IF(G49&lt;0,"−","+")&amp;TEXT(ABS(G49)*100,"#,##0.0")&amp;"%","不適用")&amp;"）","")&amp;IF(AND(ISNUMBER(G29),ISNUMBER(G30)),"｜指引 "&amp;"$"&amp;IF(G29&lt;0,"−","")&amp;TEXT(ABS(G29),"#,##0.00")&amp;"–"&amp;IF(G30&lt;0,"−","")&amp;TEXT(ABS(G30),"#,##0.00")&amp;"bn"&amp;"（中點 "&amp;IF(ISNUMBER(G50),IF(G50&lt;0,"−","+")&amp;TEXT(ABS(G50)*100,"#,##0.0")&amp;"%","不適用")&amp;"，"&amp;IF(G20&gt;G30,"高於上緣",IF(G20&lt;G29,"低於下緣",IF(G20&gt;=(G29+G30)/2,"區間上半部","區間下半部")))&amp;"）","")&amp;IF(ISNUMBER(G43),"｜實際 "&amp;IF(G43&lt;0,"−","")&amp;"$"&amp;TEXT(ABS(G43),"#,##0.00")&amp;"bn"&amp;"（較模型 "&amp;IF(ISNUMBER(G51),IF(G51&lt;0,"−","+")&amp;TEXT(ABS(G51)*100,"#,##0.0")&amp;"%","不適用")&amp;IF(ISNUMBER(G39),"、較共識 "&amp;IF(ISNUMBER(G52),IF(G52&lt;0,"−","+")&amp;TEXT(ABS(G52)*100,"#,##0.0")&amp;"%","不適用"),"")&amp;IF(AND(ISNUMBER(G29),ISNUMBER(G30)),"、"&amp;IF(G43&gt;G30,"高於上緣",IF(G43&lt;G29,"低於下緣",IF(G43&gt;=(G29+G30)/2,"區間上半部","區間下半部"))),"")&amp;"）","")&amp;G132</f>
        <v>營收：模型 $6.96bn</v>
      </c>
      <c r="H137" s="64" t="str">
        <f aca="false">"營收：模型 "&amp;IF(ISNUMBER(H20),IF(H20&lt;0,"−","")&amp;"$"&amp;TEXT(ABS(H20),"#,##0.00")&amp;"bn","不適用")&amp;IF(ISNUMBER(H39),"｜共識 "&amp;IF(H39&lt;0,"−","")&amp;"$"&amp;TEXT(ABS(H39),"#,##0.00")&amp;"bn"&amp;"（"&amp;IF(ISNUMBER(H49),IF(H49&lt;0,"−","+")&amp;TEXT(ABS(H49)*100,"#,##0.0")&amp;"%","不適用")&amp;"）","")&amp;IF(AND(ISNUMBER(H29),ISNUMBER(H30)),"｜指引 "&amp;"$"&amp;IF(H29&lt;0,"−","")&amp;TEXT(ABS(H29),"#,##0.00")&amp;"–"&amp;IF(H30&lt;0,"−","")&amp;TEXT(ABS(H30),"#,##0.00")&amp;"bn"&amp;"（中點 "&amp;IF(ISNUMBER(H50),IF(H50&lt;0,"−","+")&amp;TEXT(ABS(H50)*100,"#,##0.0")&amp;"%","不適用")&amp;"，"&amp;IF(H20&gt;H30,"高於上緣",IF(H20&lt;H29,"低於下緣",IF(H20&gt;=(H29+H30)/2,"區間上半部","區間下半部")))&amp;"）","")&amp;IF(ISNUMBER(H43),"｜實際 "&amp;IF(H43&lt;0,"−","")&amp;"$"&amp;TEXT(ABS(H43),"#,##0.00")&amp;"bn"&amp;"（較模型 "&amp;IF(ISNUMBER(H51),IF(H51&lt;0,"−","+")&amp;TEXT(ABS(H51)*100,"#,##0.0")&amp;"%","不適用")&amp;IF(ISNUMBER(H39),"、較共識 "&amp;IF(ISNUMBER(H52),IF(H52&lt;0,"−","+")&amp;TEXT(ABS(H52)*100,"#,##0.0")&amp;"%","不適用"),"")&amp;IF(AND(ISNUMBER(H29),ISNUMBER(H30)),"、"&amp;IF(H43&gt;H30,"高於上緣",IF(H43&lt;H29,"低於下緣",IF(H43&gt;=(H29+H30)/2,"區間上半部","區間下半部"))),"")&amp;"）","")&amp;H132</f>
        <v>營收：模型 $7.81bn</v>
      </c>
    </row>
    <row r="138" customFormat="false" ht="15" hidden="true" customHeight="false" outlineLevel="1" collapsed="false">
      <c r="A138" s="6" t="s">
        <v>560</v>
      </c>
      <c r="C138" s="64" t="str">
        <f aca="false">"調整後 EBITDA：模型 "&amp;IF(ISNUMBER(C26),IF(C26&lt;0,"−","")&amp;"$"&amp;TEXT(ABS(C26),"#,##0.00")&amp;"bn","不適用")&amp;IF(ISNUMBER(C40),"｜共識 "&amp;IF(C40&lt;0,"−","")&amp;"$"&amp;TEXT(ABS(C40),"#,##0.00")&amp;"bn"&amp;"（"&amp;IF(ISNUMBER(C54),IF(C54&lt;0,"−","+")&amp;IF(ABS(C54)&lt;0,"−","")&amp;"$"&amp;TEXT(ABS(ABS(C54)),"#,##0.00")&amp;"bn"&amp;IF(ISNUMBER(C59),"／"&amp;IF(C59&lt;0,"−","+")&amp;TEXT(ABS(C59)*100,"#,##0.0")&amp;"pt",""),"不適用")&amp;"）","")&amp;IF(ISNUMBER(C44),"｜實際 "&amp;IF(C44&lt;0,"−","")&amp;"$"&amp;TEXT(ABS(C44),"#,##0.00")&amp;"bn"&amp;"（較模型 "&amp;IF(ISNUMBER(C56),IF(C56&lt;0,"−","+")&amp;IF(ABS(C56)&lt;0,"−","")&amp;"$"&amp;TEXT(ABS(ABS(C56)),"#,##0.00")&amp;"bn"&amp;IF(ISNUMBER(C61),"／"&amp;IF(C61&lt;0,"−","+")&amp;TEXT(ABS(C61)*100,"#,##0.0")&amp;"pt",""),"不適用")&amp;IF(ISNUMBER(C40),"、較共識 "&amp;IF(ISNUMBER(C57),IF(C57&lt;0,"−","+")&amp;IF(ABS(C57)&lt;0,"−","")&amp;"$"&amp;TEXT(ABS(ABS(C57)),"#,##0.00")&amp;"bn"&amp;IF(ISNUMBER(C62),"／"&amp;IF(C62&lt;0,"−","+")&amp;TEXT(ABS(C62)*100,"#,##0.0")&amp;"pt",""),"不適用"),"")&amp;"）","")&amp;C133</f>
        <v>調整後 EBITDA：模型 $2.15bn｜共識 $2.05bn（+$0.10bn／+0.9pt）</v>
      </c>
      <c r="D138" s="64" t="str">
        <f aca="false">"調整後 EBITDA：模型 "&amp;IF(ISNUMBER(D26),IF(D26&lt;0,"−","")&amp;"$"&amp;TEXT(ABS(D26),"#,##0.00")&amp;"bn","不適用")&amp;IF(ISNUMBER(D40),"｜共識 "&amp;IF(D40&lt;0,"−","")&amp;"$"&amp;TEXT(ABS(D40),"#,##0.00")&amp;"bn"&amp;"（"&amp;IF(ISNUMBER(D54),IF(D54&lt;0,"−","+")&amp;IF(ABS(D54)&lt;0,"−","")&amp;"$"&amp;TEXT(ABS(ABS(D54)),"#,##0.00")&amp;"bn"&amp;IF(ISNUMBER(D59),"／"&amp;IF(D59&lt;0,"−","+")&amp;TEXT(ABS(D59)*100,"#,##0.0")&amp;"pt",""),"不適用")&amp;"）","")&amp;IF(ISNUMBER(D44),"｜實際 "&amp;IF(D44&lt;0,"−","")&amp;"$"&amp;TEXT(ABS(D44),"#,##0.00")&amp;"bn"&amp;"（較模型 "&amp;IF(ISNUMBER(D56),IF(D56&lt;0,"−","+")&amp;IF(ABS(D56)&lt;0,"−","")&amp;"$"&amp;TEXT(ABS(ABS(D56)),"#,##0.00")&amp;"bn"&amp;IF(ISNUMBER(D61),"／"&amp;IF(D61&lt;0,"−","+")&amp;TEXT(ABS(D61)*100,"#,##0.0")&amp;"pt",""),"不適用")&amp;IF(ISNUMBER(D40),"、較共識 "&amp;IF(ISNUMBER(D57),IF(D57&lt;0,"−","+")&amp;IF(ABS(D57)&lt;0,"−","")&amp;"$"&amp;TEXT(ABS(ABS(D57)),"#,##0.00")&amp;"bn"&amp;IF(ISNUMBER(D62),"／"&amp;IF(D62&lt;0,"−","+")&amp;TEXT(ABS(D62)*100,"#,##0.0")&amp;"pt",""),"不適用"),"")&amp;"）","")&amp;D133</f>
        <v>調整後 EBITDA：模型 $2.81bn｜共識 $2.90bn（−$0.08bn／−2.3pt）〔拆法〕</v>
      </c>
      <c r="E138" s="64" t="str">
        <f aca="false">"調整後 EBITDA：模型 "&amp;IF(ISNUMBER(E26),IF(E26&lt;0,"−","")&amp;"$"&amp;TEXT(ABS(E26),"#,##0.00")&amp;"bn","不適用")&amp;IF(ISNUMBER(E40),"｜共識 "&amp;IF(E40&lt;0,"−","")&amp;"$"&amp;TEXT(ABS(E40),"#,##0.00")&amp;"bn"&amp;"（"&amp;IF(ISNUMBER(E54),IF(E54&lt;0,"−","+")&amp;IF(ABS(E54)&lt;0,"−","")&amp;"$"&amp;TEXT(ABS(ABS(E54)),"#,##0.00")&amp;"bn"&amp;IF(ISNUMBER(E59),"／"&amp;IF(E59&lt;0,"−","+")&amp;TEXT(ABS(E59)*100,"#,##0.0")&amp;"pt",""),"不適用")&amp;"）","")&amp;IF(ISNUMBER(E44),"｜實際 "&amp;IF(E44&lt;0,"−","")&amp;"$"&amp;TEXT(ABS(E44),"#,##0.00")&amp;"bn"&amp;"（較模型 "&amp;IF(ISNUMBER(E56),IF(E56&lt;0,"−","+")&amp;IF(ABS(E56)&lt;0,"−","")&amp;"$"&amp;TEXT(ABS(ABS(E56)),"#,##0.00")&amp;"bn"&amp;IF(ISNUMBER(E61),"／"&amp;IF(E61&lt;0,"−","+")&amp;TEXT(ABS(E61)*100,"#,##0.0")&amp;"pt",""),"不適用")&amp;IF(ISNUMBER(E40),"、較共識 "&amp;IF(ISNUMBER(E57),IF(E57&lt;0,"−","+")&amp;IF(ABS(E57)&lt;0,"−","")&amp;"$"&amp;TEXT(ABS(ABS(E57)),"#,##0.00")&amp;"bn"&amp;IF(ISNUMBER(E62),"／"&amp;IF(E62&lt;0,"−","+")&amp;TEXT(ABS(E62)*100,"#,##0.0")&amp;"pt",""),"不適用"),"")&amp;"）","")&amp;E133</f>
        <v>調整後 EBITDA：模型 $3.14bn</v>
      </c>
      <c r="F138" s="64" t="str">
        <f aca="false">"調整後 EBITDA：模型 "&amp;IF(ISNUMBER(F26),IF(F26&lt;0,"−","")&amp;"$"&amp;TEXT(ABS(F26),"#,##0.00")&amp;"bn","不適用")&amp;IF(ISNUMBER(F40),"｜共識 "&amp;IF(F40&lt;0,"−","")&amp;"$"&amp;TEXT(ABS(F40),"#,##0.00")&amp;"bn"&amp;"（"&amp;IF(ISNUMBER(F54),IF(F54&lt;0,"−","+")&amp;IF(ABS(F54)&lt;0,"−","")&amp;"$"&amp;TEXT(ABS(ABS(F54)),"#,##0.00")&amp;"bn"&amp;IF(ISNUMBER(F59),"／"&amp;IF(F59&lt;0,"−","+")&amp;TEXT(ABS(F59)*100,"#,##0.0")&amp;"pt",""),"不適用")&amp;"）","")&amp;IF(ISNUMBER(F44),"｜實際 "&amp;IF(F44&lt;0,"−","")&amp;"$"&amp;TEXT(ABS(F44),"#,##0.00")&amp;"bn"&amp;"（較模型 "&amp;IF(ISNUMBER(F56),IF(F56&lt;0,"−","+")&amp;IF(ABS(F56)&lt;0,"−","")&amp;"$"&amp;TEXT(ABS(ABS(F56)),"#,##0.00")&amp;"bn"&amp;IF(ISNUMBER(F61),"／"&amp;IF(F61&lt;0,"−","+")&amp;TEXT(ABS(F61)*100,"#,##0.0")&amp;"pt",""),"不適用")&amp;IF(ISNUMBER(F40),"、較共識 "&amp;IF(ISNUMBER(F57),IF(F57&lt;0,"−","+")&amp;IF(ABS(F57)&lt;0,"−","")&amp;"$"&amp;TEXT(ABS(ABS(F57)),"#,##0.00")&amp;"bn"&amp;IF(ISNUMBER(F62),"／"&amp;IF(F62&lt;0,"−","+")&amp;TEXT(ABS(F62)*100,"#,##0.0")&amp;"pt",""),"不適用"),"")&amp;"）","")&amp;F133</f>
        <v>調整後 EBITDA：模型 $3.67bn</v>
      </c>
      <c r="G138" s="64" t="str">
        <f aca="false">"調整後 EBITDA：模型 "&amp;IF(ISNUMBER(G26),IF(G26&lt;0,"−","")&amp;"$"&amp;TEXT(ABS(G26),"#,##0.00")&amp;"bn","不適用")&amp;IF(ISNUMBER(G40),"｜共識 "&amp;IF(G40&lt;0,"−","")&amp;"$"&amp;TEXT(ABS(G40),"#,##0.00")&amp;"bn"&amp;"（"&amp;IF(ISNUMBER(G54),IF(G54&lt;0,"−","+")&amp;IF(ABS(G54)&lt;0,"−","")&amp;"$"&amp;TEXT(ABS(ABS(G54)),"#,##0.00")&amp;"bn"&amp;IF(ISNUMBER(G59),"／"&amp;IF(G59&lt;0,"−","+")&amp;TEXT(ABS(G59)*100,"#,##0.0")&amp;"pt",""),"不適用")&amp;"）","")&amp;IF(ISNUMBER(G44),"｜實際 "&amp;IF(G44&lt;0,"−","")&amp;"$"&amp;TEXT(ABS(G44),"#,##0.00")&amp;"bn"&amp;"（較模型 "&amp;IF(ISNUMBER(G56),IF(G56&lt;0,"−","+")&amp;IF(ABS(G56)&lt;0,"−","")&amp;"$"&amp;TEXT(ABS(ABS(G56)),"#,##0.00")&amp;"bn"&amp;IF(ISNUMBER(G61),"／"&amp;IF(G61&lt;0,"−","+")&amp;TEXT(ABS(G61)*100,"#,##0.0")&amp;"pt",""),"不適用")&amp;IF(ISNUMBER(G40),"、較共識 "&amp;IF(ISNUMBER(G57),IF(G57&lt;0,"−","+")&amp;IF(ABS(G57)&lt;0,"−","")&amp;"$"&amp;TEXT(ABS(ABS(G57)),"#,##0.00")&amp;"bn"&amp;IF(ISNUMBER(G62),"／"&amp;IF(G62&lt;0,"−","+")&amp;TEXT(ABS(G62)*100,"#,##0.0")&amp;"pt",""),"不適用"),"")&amp;"）","")&amp;G133</f>
        <v>調整後 EBITDA：模型 $4.22bn</v>
      </c>
      <c r="H138" s="64" t="str">
        <f aca="false">"調整後 EBITDA：模型 "&amp;IF(ISNUMBER(H26),IF(H26&lt;0,"−","")&amp;"$"&amp;TEXT(ABS(H26),"#,##0.00")&amp;"bn","不適用")&amp;IF(ISNUMBER(H40),"｜共識 "&amp;IF(H40&lt;0,"−","")&amp;"$"&amp;TEXT(ABS(H40),"#,##0.00")&amp;"bn"&amp;"（"&amp;IF(ISNUMBER(H54),IF(H54&lt;0,"−","+")&amp;IF(ABS(H54)&lt;0,"−","")&amp;"$"&amp;TEXT(ABS(ABS(H54)),"#,##0.00")&amp;"bn"&amp;IF(ISNUMBER(H59),"／"&amp;IF(H59&lt;0,"−","+")&amp;TEXT(ABS(H59)*100,"#,##0.0")&amp;"pt",""),"不適用")&amp;"）","")&amp;IF(ISNUMBER(H44),"｜實際 "&amp;IF(H44&lt;0,"−","")&amp;"$"&amp;TEXT(ABS(H44),"#,##0.00")&amp;"bn"&amp;"（較模型 "&amp;IF(ISNUMBER(H56),IF(H56&lt;0,"−","+")&amp;IF(ABS(H56)&lt;0,"−","")&amp;"$"&amp;TEXT(ABS(ABS(H56)),"#,##0.00")&amp;"bn"&amp;IF(ISNUMBER(H61),"／"&amp;IF(H61&lt;0,"−","+")&amp;TEXT(ABS(H61)*100,"#,##0.0")&amp;"pt",""),"不適用")&amp;IF(ISNUMBER(H40),"、較共識 "&amp;IF(ISNUMBER(H57),IF(H57&lt;0,"−","+")&amp;IF(ABS(H57)&lt;0,"−","")&amp;"$"&amp;TEXT(ABS(ABS(H57)),"#,##0.00")&amp;"bn"&amp;IF(ISNUMBER(H62),"／"&amp;IF(H62&lt;0,"−","+")&amp;TEXT(ABS(H62)*100,"#,##0.0")&amp;"pt",""),"不適用"),"")&amp;"）","")&amp;H133</f>
        <v>調整後 EBITDA：模型 $4.78bn</v>
      </c>
    </row>
    <row r="139" customFormat="false" ht="15" hidden="true" customHeight="false" outlineLevel="1" collapsed="false">
      <c r="A139" s="6" t="s">
        <v>561</v>
      </c>
      <c r="C139" s="64" t="str">
        <f aca="false">"EBITDA 率：模型 "&amp;IF(ISNUMBER(C25),IF(C25&lt;0,"−","")&amp;TEXT(ABS(C25)*100,"#,##0.0")&amp;"%","不適用")&amp;IF(ISNUMBER(C41),"｜共識 "&amp;IF(C41&lt;0,"−","")&amp;TEXT(ABS(C41)*100,"#,##0.0")&amp;"%"&amp;"（"&amp;IF(ISNUMBER(C64),IF(C64&lt;0,"−","+")&amp;TEXT(ABS(C64)*100,"#,##0.0")&amp;"pt","不適用")&amp;"）","")&amp;IF(ISNUMBER(C45),"｜實際 "&amp;IF(C45&lt;0,"−","")&amp;TEXT(ABS(C45)*100,"#,##0.0")&amp;"%"&amp;"（較模型 "&amp;IF(ISNUMBER(C66),IF(C66&lt;0,"−","+")&amp;TEXT(ABS(C66)*100,"#,##0.0")&amp;"pt","不適用")&amp;IF(ISNUMBER(C41),"、較共識 "&amp;IF(ISNUMBER(C67),IF(C67&lt;0,"−","+")&amp;TEXT(ABS(C67)*100,"#,##0.0")&amp;"pt","不適用"),"")&amp;"）","")</f>
        <v>EBITDA 率：模型 58.7%｜共識 57.8%（+0.9pt）</v>
      </c>
      <c r="D139" s="64" t="str">
        <f aca="false">"EBITDA 率：模型 "&amp;IF(ISNUMBER(D25),IF(D25&lt;0,"−","")&amp;TEXT(ABS(D25)*100,"#,##0.0")&amp;"%","不適用")&amp;IF(ISNUMBER(D41),"｜共識 "&amp;IF(D41&lt;0,"−","")&amp;TEXT(ABS(D41)*100,"#,##0.0")&amp;"%"&amp;"（"&amp;IF(ISNUMBER(D64),IF(D64&lt;0,"−","+")&amp;TEXT(ABS(D64)*100,"#,##0.0")&amp;"pt","不適用")&amp;"）","")&amp;IF(ISNUMBER(D45),"｜實際 "&amp;IF(D45&lt;0,"−","")&amp;TEXT(ABS(D45)*100,"#,##0.0")&amp;"%"&amp;"（較模型 "&amp;IF(ISNUMBER(D66),IF(D66&lt;0,"−","+")&amp;TEXT(ABS(D66)*100,"#,##0.0")&amp;"pt","不適用")&amp;IF(ISNUMBER(D41),"、較共識 "&amp;IF(ISNUMBER(D67),IF(D67&lt;0,"−","+")&amp;TEXT(ABS(D67)*100,"#,##0.0")&amp;"pt","不適用"),"")&amp;"）","")</f>
        <v>EBITDA 率：模型 59.2%｜共識 61.6%（−2.3pt）</v>
      </c>
      <c r="E139" s="64" t="str">
        <f aca="false">"EBITDA 率：模型 "&amp;IF(ISNUMBER(E25),IF(E25&lt;0,"−","")&amp;TEXT(ABS(E25)*100,"#,##0.0")&amp;"%","不適用")&amp;IF(ISNUMBER(E41),"｜共識 "&amp;IF(E41&lt;0,"−","")&amp;TEXT(ABS(E41)*100,"#,##0.0")&amp;"%"&amp;"（"&amp;IF(ISNUMBER(E64),IF(E64&lt;0,"−","+")&amp;TEXT(ABS(E64)*100,"#,##0.0")&amp;"pt","不適用")&amp;"）","")&amp;IF(ISNUMBER(E45),"｜實際 "&amp;IF(E45&lt;0,"−","")&amp;TEXT(ABS(E45)*100,"#,##0.0")&amp;"%"&amp;"（較模型 "&amp;IF(ISNUMBER(E66),IF(E66&lt;0,"−","+")&amp;TEXT(ABS(E66)*100,"#,##0.0")&amp;"pt","不適用")&amp;IF(ISNUMBER(E41),"、較共識 "&amp;IF(ISNUMBER(E67),IF(E67&lt;0,"−","+")&amp;TEXT(ABS(E67)*100,"#,##0.0")&amp;"pt","不適用"),"")&amp;"）","")</f>
        <v>EBITDA 率：模型 59.7%</v>
      </c>
      <c r="F139" s="64" t="str">
        <f aca="false">"EBITDA 率：模型 "&amp;IF(ISNUMBER(F25),IF(F25&lt;0,"−","")&amp;TEXT(ABS(F25)*100,"#,##0.0")&amp;"%","不適用")&amp;IF(ISNUMBER(F41),"｜共識 "&amp;IF(F41&lt;0,"−","")&amp;TEXT(ABS(F41)*100,"#,##0.0")&amp;"%"&amp;"（"&amp;IF(ISNUMBER(F64),IF(F64&lt;0,"−","+")&amp;TEXT(ABS(F64)*100,"#,##0.0")&amp;"pt","不適用")&amp;"）","")&amp;IF(ISNUMBER(F45),"｜實際 "&amp;IF(F45&lt;0,"−","")&amp;TEXT(ABS(F45)*100,"#,##0.0")&amp;"%"&amp;"（較模型 "&amp;IF(ISNUMBER(F66),IF(F66&lt;0,"−","+")&amp;TEXT(ABS(F66)*100,"#,##0.0")&amp;"pt","不適用")&amp;IF(ISNUMBER(F41),"、較共識 "&amp;IF(ISNUMBER(F67),IF(F67&lt;0,"−","+")&amp;TEXT(ABS(F67)*100,"#,##0.0")&amp;"pt","不適用"),"")&amp;"）","")</f>
        <v>EBITDA 率：模型 60.2%</v>
      </c>
      <c r="G139" s="64" t="str">
        <f aca="false">"EBITDA 率：模型 "&amp;IF(ISNUMBER(G25),IF(G25&lt;0,"−","")&amp;TEXT(ABS(G25)*100,"#,##0.0")&amp;"%","不適用")&amp;IF(ISNUMBER(G41),"｜共識 "&amp;IF(G41&lt;0,"−","")&amp;TEXT(ABS(G41)*100,"#,##0.0")&amp;"%"&amp;"（"&amp;IF(ISNUMBER(G64),IF(G64&lt;0,"−","+")&amp;TEXT(ABS(G64)*100,"#,##0.0")&amp;"pt","不適用")&amp;"）","")&amp;IF(ISNUMBER(G45),"｜實際 "&amp;IF(G45&lt;0,"−","")&amp;TEXT(ABS(G45)*100,"#,##0.0")&amp;"%"&amp;"（較模型 "&amp;IF(ISNUMBER(G66),IF(G66&lt;0,"−","+")&amp;TEXT(ABS(G66)*100,"#,##0.0")&amp;"pt","不適用")&amp;IF(ISNUMBER(G41),"、較共識 "&amp;IF(ISNUMBER(G67),IF(G67&lt;0,"−","+")&amp;TEXT(ABS(G67)*100,"#,##0.0")&amp;"pt","不適用"),"")&amp;"）","")</f>
        <v>EBITDA 率：模型 60.7%</v>
      </c>
      <c r="H139" s="64" t="str">
        <f aca="false">"EBITDA 率：模型 "&amp;IF(ISNUMBER(H25),IF(H25&lt;0,"−","")&amp;TEXT(ABS(H25)*100,"#,##0.0")&amp;"%","不適用")&amp;IF(ISNUMBER(H41),"｜共識 "&amp;IF(H41&lt;0,"−","")&amp;TEXT(ABS(H41)*100,"#,##0.0")&amp;"%"&amp;"（"&amp;IF(ISNUMBER(H64),IF(H64&lt;0,"−","+")&amp;TEXT(ABS(H64)*100,"#,##0.0")&amp;"pt","不適用")&amp;"）","")&amp;IF(ISNUMBER(H45),"｜實際 "&amp;IF(H45&lt;0,"−","")&amp;TEXT(ABS(H45)*100,"#,##0.0")&amp;"%"&amp;"（較模型 "&amp;IF(ISNUMBER(H66),IF(H66&lt;0,"−","+")&amp;TEXT(ABS(H66)*100,"#,##0.0")&amp;"pt","不適用")&amp;IF(ISNUMBER(H41),"、較共識 "&amp;IF(ISNUMBER(H67),IF(H67&lt;0,"−","+")&amp;TEXT(ABS(H67)*100,"#,##0.0")&amp;"pt","不適用"),"")&amp;"）","")</f>
        <v>EBITDA 率：模型 61.1%</v>
      </c>
    </row>
    <row r="140" customFormat="false" ht="15" hidden="true" customHeight="false" outlineLevel="1" collapsed="false">
      <c r="A140" s="6" t="s">
        <v>562</v>
      </c>
      <c r="C140" s="64" t="str">
        <f aca="false">"調整後營業利益：模型 "&amp;IF(ISNUMBER(C28),IF(C28&lt;0,"−","")&amp;"$"&amp;TEXT(ABS(C28),"#,##0.00")&amp;"bn","不適用")&amp;IF(AND(ISNUMBER(C31),ISNUMBER(C32)),"｜指引 "&amp;"$"&amp;IF(C31&lt;0,"−","")&amp;TEXT(ABS(C31),"#,##0.00")&amp;"–"&amp;IF(C32&lt;0,"−","")&amp;TEXT(ABS(C32),"#,##0.00")&amp;"bn"&amp;"（中點 "&amp;IF(ISNUMBER(C70),IF(C70&lt;0,"−","+")&amp;IF(ABS(C70)&lt;0,"−","")&amp;"$"&amp;TEXT(ABS(ABS(C70)),"#,##0.00")&amp;"bn"&amp;IF(ISNUMBER(C75),"／"&amp;IF(C75&lt;0,"−","+")&amp;TEXT(ABS(C75)*100,"#,##0.0")&amp;"pt",""),"不適用")&amp;"，"&amp;IF(C28&gt;C32,"高於上緣",IF(C28&lt;C31,"低於下緣",IF(C28&gt;=(C31+C32)/2,"區間上半部","區間下半部")))&amp;"）",IF(C33&lt;&gt;"","｜指引（文字）"&amp;C33,""))&amp;IF(ISNUMBER(C46),"｜實際 "&amp;IF(C46&lt;0,"−","")&amp;"$"&amp;TEXT(ABS(C46),"#,##0.00")&amp;"bn"&amp;"（較模型 "&amp;IF(ISNUMBER(C71),IF(C71&lt;0,"−","+")&amp;IF(ABS(C71)&lt;0,"−","")&amp;"$"&amp;TEXT(ABS(ABS(C71)),"#,##0.00")&amp;"bn"&amp;IF(ISNUMBER(C76),"／"&amp;IF(C76&lt;0,"−","+")&amp;TEXT(ABS(C76)*100,"#,##0.0")&amp;"pt",""),"不適用")&amp;IF(AND(ISNUMBER(C31),ISNUMBER(C32)),"、"&amp;IF(C46&gt;C32,"高於上緣",IF(C46&lt;C31,"低於下緣",IF(C46&gt;=(C31+C32)/2,"區間上半部","區間下半部"))),"")&amp;"）","")&amp;C134</f>
        <v>調整後營業利益：模型 −$0.01bn｜指引 $0.20–0.26bn（中點 −$0.24bn／−6.9pt，低於下緣）〔已知限制〕</v>
      </c>
      <c r="D140" s="64" t="str">
        <f aca="false">"調整後營業利益：模型 "&amp;IF(ISNUMBER(D28),IF(D28&lt;0,"−","")&amp;"$"&amp;TEXT(ABS(D28),"#,##0.00")&amp;"bn","不適用")&amp;IF(AND(ISNUMBER(D31),ISNUMBER(D32)),"｜指引 "&amp;"$"&amp;IF(D31&lt;0,"−","")&amp;TEXT(ABS(D31),"#,##0.00")&amp;"–"&amp;IF(D32&lt;0,"−","")&amp;TEXT(ABS(D32),"#,##0.00")&amp;"bn"&amp;"（中點 "&amp;IF(ISNUMBER(D70),IF(D70&lt;0,"−","+")&amp;IF(ABS(D70)&lt;0,"−","")&amp;"$"&amp;TEXT(ABS(ABS(D70)),"#,##0.00")&amp;"bn"&amp;IF(ISNUMBER(D75),"／"&amp;IF(D75&lt;0,"−","+")&amp;TEXT(ABS(D75)*100,"#,##0.0")&amp;"pt",""),"不適用")&amp;"，"&amp;IF(D28&gt;D32,"高於上緣",IF(D28&lt;D31,"低於下緣",IF(D28&gt;=(D31+D32)/2,"區間上半部","區間下半部")))&amp;"）",IF(D33&lt;&gt;"","｜指引（文字）"&amp;D33,""))&amp;IF(ISNUMBER(D46),"｜實際 "&amp;IF(D46&lt;0,"−","")&amp;"$"&amp;TEXT(ABS(D46),"#,##0.00")&amp;"bn"&amp;"（較模型 "&amp;IF(ISNUMBER(D71),IF(D71&lt;0,"−","+")&amp;IF(ABS(D71)&lt;0,"−","")&amp;"$"&amp;TEXT(ABS(ABS(D71)),"#,##0.00")&amp;"bn"&amp;IF(ISNUMBER(D76),"／"&amp;IF(D76&lt;0,"−","+")&amp;TEXT(ABS(D76)*100,"#,##0.0")&amp;"pt",""),"不適用")&amp;IF(AND(ISNUMBER(D31),ISNUMBER(D32)),"、"&amp;IF(D46&gt;D32,"高於上緣",IF(D46&lt;D31,"低於下緣",IF(D46&gt;=(D31+D32)/2,"區間上半部","區間下半部"))),"")&amp;"）","")&amp;D134</f>
        <v>調整後營業利益：模型 $0.21bn｜指引（文字）調整後營業利益率 low teens</v>
      </c>
      <c r="E140" s="64" t="str">
        <f aca="false">"調整後營業利益：模型 "&amp;IF(ISNUMBER(E28),IF(E28&lt;0,"−","")&amp;"$"&amp;TEXT(ABS(E28),"#,##0.00")&amp;"bn","不適用")&amp;IF(AND(ISNUMBER(E31),ISNUMBER(E32)),"｜指引 "&amp;"$"&amp;IF(E31&lt;0,"−","")&amp;TEXT(ABS(E31),"#,##0.00")&amp;"–"&amp;IF(E32&lt;0,"−","")&amp;TEXT(ABS(E32),"#,##0.00")&amp;"bn"&amp;"（中點 "&amp;IF(ISNUMBER(E70),IF(E70&lt;0,"−","+")&amp;IF(ABS(E70)&lt;0,"−","")&amp;"$"&amp;TEXT(ABS(ABS(E70)),"#,##0.00")&amp;"bn"&amp;IF(ISNUMBER(E75),"／"&amp;IF(E75&lt;0,"−","+")&amp;TEXT(ABS(E75)*100,"#,##0.0")&amp;"pt",""),"不適用")&amp;"，"&amp;IF(E28&gt;E32,"高於上緣",IF(E28&lt;E31,"低於下緣",IF(E28&gt;=(E31+E32)/2,"區間上半部","區間下半部")))&amp;"）",IF(E33&lt;&gt;"","｜指引（文字）"&amp;E33,""))&amp;IF(ISNUMBER(E46),"｜實際 "&amp;IF(E46&lt;0,"−","")&amp;"$"&amp;TEXT(ABS(E46),"#,##0.00")&amp;"bn"&amp;"（較模型 "&amp;IF(ISNUMBER(E71),IF(E71&lt;0,"−","+")&amp;IF(ABS(E71)&lt;0,"−","")&amp;"$"&amp;TEXT(ABS(ABS(E71)),"#,##0.00")&amp;"bn"&amp;IF(ISNUMBER(E76),"／"&amp;IF(E76&lt;0,"−","+")&amp;TEXT(ABS(E76)*100,"#,##0.0")&amp;"pt",""),"不適用")&amp;IF(AND(ISNUMBER(E31),ISNUMBER(E32)),"、"&amp;IF(E46&gt;E32,"高於上緣",IF(E46&lt;E31,"低於下緣",IF(E46&gt;=(E31+E32)/2,"區間上半部","區間下半部"))),"")&amp;"）","")&amp;E134</f>
        <v>調整後營業利益：模型 $0.12bn</v>
      </c>
      <c r="F140" s="64" t="str">
        <f aca="false">"調整後營業利益：模型 "&amp;IF(ISNUMBER(F28),IF(F28&lt;0,"−","")&amp;"$"&amp;TEXT(ABS(F28),"#,##0.00")&amp;"bn","不適用")&amp;IF(AND(ISNUMBER(F31),ISNUMBER(F32)),"｜指引 "&amp;"$"&amp;IF(F31&lt;0,"−","")&amp;TEXT(ABS(F31),"#,##0.00")&amp;"–"&amp;IF(F32&lt;0,"−","")&amp;TEXT(ABS(F32),"#,##0.00")&amp;"bn"&amp;"（中點 "&amp;IF(ISNUMBER(F70),IF(F70&lt;0,"−","+")&amp;IF(ABS(F70)&lt;0,"−","")&amp;"$"&amp;TEXT(ABS(ABS(F70)),"#,##0.00")&amp;"bn"&amp;IF(ISNUMBER(F75),"／"&amp;IF(F75&lt;0,"−","+")&amp;TEXT(ABS(F75)*100,"#,##0.0")&amp;"pt",""),"不適用")&amp;"，"&amp;IF(F28&gt;F32,"高於上緣",IF(F28&lt;F31,"低於下緣",IF(F28&gt;=(F31+F32)/2,"區間上半部","區間下半部")))&amp;"）",IF(F33&lt;&gt;"","｜指引（文字）"&amp;F33,""))&amp;IF(ISNUMBER(F46),"｜實際 "&amp;IF(F46&lt;0,"−","")&amp;"$"&amp;TEXT(ABS(F46),"#,##0.00")&amp;"bn"&amp;"（較模型 "&amp;IF(ISNUMBER(F71),IF(F71&lt;0,"−","+")&amp;IF(ABS(F71)&lt;0,"−","")&amp;"$"&amp;TEXT(ABS(ABS(F71)),"#,##0.00")&amp;"bn"&amp;IF(ISNUMBER(F76),"／"&amp;IF(F76&lt;0,"−","+")&amp;TEXT(ABS(F76)*100,"#,##0.0")&amp;"pt",""),"不適用")&amp;IF(AND(ISNUMBER(F31),ISNUMBER(F32)),"、"&amp;IF(F46&gt;F32,"高於上緣",IF(F46&lt;F31,"低於下緣",IF(F46&gt;=(F31+F32)/2,"區間上半部","區間下半部"))),"")&amp;"）","")&amp;F134</f>
        <v>調整後營業利益：模型 $0.26bn</v>
      </c>
      <c r="G140" s="64" t="str">
        <f aca="false">"調整後營業利益：模型 "&amp;IF(ISNUMBER(G28),IF(G28&lt;0,"−","")&amp;"$"&amp;TEXT(ABS(G28),"#,##0.00")&amp;"bn","不適用")&amp;IF(AND(ISNUMBER(G31),ISNUMBER(G32)),"｜指引 "&amp;"$"&amp;IF(G31&lt;0,"−","")&amp;TEXT(ABS(G31),"#,##0.00")&amp;"–"&amp;IF(G32&lt;0,"−","")&amp;TEXT(ABS(G32),"#,##0.00")&amp;"bn"&amp;"（中點 "&amp;IF(ISNUMBER(G70),IF(G70&lt;0,"−","+")&amp;IF(ABS(G70)&lt;0,"−","")&amp;"$"&amp;TEXT(ABS(ABS(G70)),"#,##0.00")&amp;"bn"&amp;IF(ISNUMBER(G75),"／"&amp;IF(G75&lt;0,"−","+")&amp;TEXT(ABS(G75)*100,"#,##0.0")&amp;"pt",""),"不適用")&amp;"，"&amp;IF(G28&gt;G32,"高於上緣",IF(G28&lt;G31,"低於下緣",IF(G28&gt;=(G31+G32)/2,"區間上半部","區間下半部")))&amp;"）",IF(G33&lt;&gt;"","｜指引（文字）"&amp;G33,""))&amp;IF(ISNUMBER(G46),"｜實際 "&amp;IF(G46&lt;0,"−","")&amp;"$"&amp;TEXT(ABS(G46),"#,##0.00")&amp;"bn"&amp;"（較模型 "&amp;IF(ISNUMBER(G71),IF(G71&lt;0,"−","+")&amp;IF(ABS(G71)&lt;0,"−","")&amp;"$"&amp;TEXT(ABS(ABS(G71)),"#,##0.00")&amp;"bn"&amp;IF(ISNUMBER(G76),"／"&amp;IF(G76&lt;0,"−","+")&amp;TEXT(ABS(G76)*100,"#,##0.0")&amp;"pt",""),"不適用")&amp;IF(AND(ISNUMBER(G31),ISNUMBER(G32)),"、"&amp;IF(G46&gt;G32,"高於上緣",IF(G46&lt;G31,"低於下緣",IF(G46&gt;=(G31+G32)/2,"區間上半部","區間下半部"))),"")&amp;"）","")&amp;G134</f>
        <v>調整後營業利益：模型 $0.41bn</v>
      </c>
      <c r="H140" s="64" t="str">
        <f aca="false">"調整後營業利益：模型 "&amp;IF(ISNUMBER(H28),IF(H28&lt;0,"−","")&amp;"$"&amp;TEXT(ABS(H28),"#,##0.00")&amp;"bn","不適用")&amp;IF(AND(ISNUMBER(H31),ISNUMBER(H32)),"｜指引 "&amp;"$"&amp;IF(H31&lt;0,"−","")&amp;TEXT(ABS(H31),"#,##0.00")&amp;"–"&amp;IF(H32&lt;0,"−","")&amp;TEXT(ABS(H32),"#,##0.00")&amp;"bn"&amp;"（中點 "&amp;IF(ISNUMBER(H70),IF(H70&lt;0,"−","+")&amp;IF(ABS(H70)&lt;0,"−","")&amp;"$"&amp;TEXT(ABS(ABS(H70)),"#,##0.00")&amp;"bn"&amp;IF(ISNUMBER(H75),"／"&amp;IF(H75&lt;0,"−","+")&amp;TEXT(ABS(H75)*100,"#,##0.0")&amp;"pt",""),"不適用")&amp;"，"&amp;IF(H28&gt;H32,"高於上緣",IF(H28&lt;H31,"低於下緣",IF(H28&gt;=(H31+H32)/2,"區間上半部","區間下半部")))&amp;"）",IF(H33&lt;&gt;"","｜指引（文字）"&amp;H33,""))&amp;IF(ISNUMBER(H46),"｜實際 "&amp;IF(H46&lt;0,"−","")&amp;"$"&amp;TEXT(ABS(H46),"#,##0.00")&amp;"bn"&amp;"（較模型 "&amp;IF(ISNUMBER(H71),IF(H71&lt;0,"−","+")&amp;IF(ABS(H71)&lt;0,"−","")&amp;"$"&amp;TEXT(ABS(ABS(H71)),"#,##0.00")&amp;"bn"&amp;IF(ISNUMBER(H76),"／"&amp;IF(H76&lt;0,"−","+")&amp;TEXT(ABS(H76)*100,"#,##0.0")&amp;"pt",""),"不適用")&amp;IF(AND(ISNUMBER(H31),ISNUMBER(H32)),"、"&amp;IF(H46&gt;H32,"高於上緣",IF(H46&lt;H31,"低於下緣",IF(H46&gt;=(H31+H32)/2,"區間上半部","區間下半部"))),"")&amp;"）","")&amp;H134</f>
        <v>調整後營業利益：模型 $0.56bn</v>
      </c>
    </row>
    <row r="141" customFormat="false" ht="15" hidden="true" customHeight="false" outlineLevel="1" collapsed="false">
      <c r="A141" s="6" t="s">
        <v>563</v>
      </c>
      <c r="C141" s="64" t="str">
        <f aca="false">"CapEx（毛額）：模型 "&amp;IF(ISNUMBER(C38),IF(C38&lt;0,"−","")&amp;"$"&amp;TEXT(ABS(C38),"#,##0.00")&amp;"bn","不適用")&amp;IF(AND(ISNUMBER(C34),ISNUMBER(C35)),"｜指引 "&amp;"$"&amp;IF(C34&lt;0,"−","")&amp;TEXT(ABS(C34),"#,##0.00")&amp;"–"&amp;IF(C35&lt;0,"−","")&amp;TEXT(ABS(C35),"#,##0.00")&amp;"bn"&amp;"（中點 "&amp;IF(ISNUMBER(C80),IF(C80&lt;0,"−","+")&amp;TEXT(ABS(C80)*100,"#,##0.0")&amp;"%","不適用")&amp;"，"&amp;IF(C38&gt;C35,"高於上緣",IF(C38&lt;C34,"低於下緣",IF(C38&gt;=(C34+C35)/2,"區間上半部","區間下半部")))&amp;"）","")&amp;IF(ISNUMBER(C47),"｜實際 "&amp;IF(C47&lt;0,"−","")&amp;"$"&amp;TEXT(ABS(C47),"#,##0.00")&amp;"bn"&amp;"（較模型 "&amp;IF(ISNUMBER(C81),IF(C81&lt;0,"−","+")&amp;TEXT(ABS(C81)*100,"#,##0.0")&amp;"%","不適用")&amp;IF(AND(ISNUMBER(C34),ISNUMBER(C35)),"、"&amp;IF(C47&gt;C35,"高於上緣",IF(C47&lt;C34,"低於下緣",IF(C47&gt;=(C34+C35)/2,"區間上半部","區間下半部"))),"")&amp;"）","")&amp;C135</f>
        <v>CapEx（毛額）：模型 $12.50bn｜指引 $11.50–13.50bn（中點 +0.0%，區間上半部）</v>
      </c>
      <c r="D141" s="64" t="str">
        <f aca="false">"CapEx（毛額）：模型 "&amp;IF(ISNUMBER(D38),IF(D38&lt;0,"−","")&amp;"$"&amp;TEXT(ABS(D38),"#,##0.00")&amp;"bn","不適用")&amp;IF(AND(ISNUMBER(D34),ISNUMBER(D35)),"｜指引 "&amp;"$"&amp;IF(D34&lt;0,"−","")&amp;TEXT(ABS(D34),"#,##0.00")&amp;"–"&amp;IF(D35&lt;0,"−","")&amp;TEXT(ABS(D35),"#,##0.00")&amp;"bn"&amp;"（中點 "&amp;IF(ISNUMBER(D80),IF(D80&lt;0,"−","+")&amp;TEXT(ABS(D80)*100,"#,##0.0")&amp;"%","不適用")&amp;"，"&amp;IF(D38&gt;D35,"高於上緣",IF(D38&lt;D34,"低於下緣",IF(D38&gt;=(D34+D35)/2,"區間上半部","區間下半部")))&amp;"）","")&amp;IF(ISNUMBER(D47),"｜實際 "&amp;IF(D47&lt;0,"−","")&amp;"$"&amp;TEXT(ABS(D47),"#,##0.00")&amp;"bn"&amp;"（較模型 "&amp;IF(ISNUMBER(D81),IF(D81&lt;0,"−","+")&amp;TEXT(ABS(D81)*100,"#,##0.0")&amp;"%","不適用")&amp;IF(AND(ISNUMBER(D34),ISNUMBER(D35)),"、"&amp;IF(D47&gt;D35,"高於上緣",IF(D47&lt;D34,"低於下緣",IF(D47&gt;=(D34+D35)/2,"區間上半部","區間下半部"))),"")&amp;"）","")&amp;D135</f>
        <v>CapEx（毛額）：模型 $8.34bn</v>
      </c>
      <c r="E141" s="64" t="str">
        <f aca="false">"CapEx（毛額）：模型 "&amp;IF(ISNUMBER(E38),IF(E38&lt;0,"−","")&amp;"$"&amp;TEXT(ABS(E38),"#,##0.00")&amp;"bn","不適用")&amp;IF(AND(ISNUMBER(E34),ISNUMBER(E35)),"｜指引 "&amp;"$"&amp;IF(E34&lt;0,"−","")&amp;TEXT(ABS(E34),"#,##0.00")&amp;"–"&amp;IF(E35&lt;0,"−","")&amp;TEXT(ABS(E35),"#,##0.00")&amp;"bn"&amp;"（中點 "&amp;IF(ISNUMBER(E80),IF(E80&lt;0,"−","+")&amp;TEXT(ABS(E80)*100,"#,##0.0")&amp;"%","不適用")&amp;"，"&amp;IF(E38&gt;E35,"高於上緣",IF(E38&lt;E34,"低於下緣",IF(E38&gt;=(E34+E35)/2,"區間上半部","區間下半部")))&amp;"）","")&amp;IF(ISNUMBER(E47),"｜實際 "&amp;IF(E47&lt;0,"−","")&amp;"$"&amp;TEXT(ABS(E47),"#,##0.00")&amp;"bn"&amp;"（較模型 "&amp;IF(ISNUMBER(E81),IF(E81&lt;0,"−","+")&amp;TEXT(ABS(E81)*100,"#,##0.0")&amp;"%","不適用")&amp;IF(AND(ISNUMBER(E34),ISNUMBER(E35)),"、"&amp;IF(E47&gt;E35,"高於上緣",IF(E47&lt;E34,"低於下緣",IF(E47&gt;=(E34+E35)/2,"區間上半部","區間下半部"))),"")&amp;"）","")&amp;E135</f>
        <v>CapEx（毛額）：模型 $9.58bn</v>
      </c>
      <c r="F141" s="64" t="str">
        <f aca="false">"CapEx（毛額）：模型 "&amp;IF(ISNUMBER(F38),IF(F38&lt;0,"−","")&amp;"$"&amp;TEXT(ABS(F38),"#,##0.00")&amp;"bn","不適用")&amp;IF(AND(ISNUMBER(F34),ISNUMBER(F35)),"｜指引 "&amp;"$"&amp;IF(F34&lt;0,"−","")&amp;TEXT(ABS(F34),"#,##0.00")&amp;"–"&amp;IF(F35&lt;0,"−","")&amp;TEXT(ABS(F35),"#,##0.00")&amp;"bn"&amp;"（中點 "&amp;IF(ISNUMBER(F80),IF(F80&lt;0,"−","+")&amp;TEXT(ABS(F80)*100,"#,##0.0")&amp;"%","不適用")&amp;"，"&amp;IF(F38&gt;F35,"高於上緣",IF(F38&lt;F34,"低於下緣",IF(F38&gt;=(F34+F35)/2,"區間上半部","區間下半部")))&amp;"）","")&amp;IF(ISNUMBER(F47),"｜實際 "&amp;IF(F47&lt;0,"−","")&amp;"$"&amp;TEXT(ABS(F47),"#,##0.00")&amp;"bn"&amp;"（較模型 "&amp;IF(ISNUMBER(F81),IF(F81&lt;0,"−","+")&amp;TEXT(ABS(F81)*100,"#,##0.0")&amp;"%","不適用")&amp;IF(AND(ISNUMBER(F34),ISNUMBER(F35)),"、"&amp;IF(F47&gt;F35,"高於上緣",IF(F47&lt;F34,"低於下緣",IF(F47&gt;=(F34+F35)/2,"區間上半部","區間下半部"))),"")&amp;"）","")&amp;F135</f>
        <v>CapEx（毛額）：模型 $9.58bn</v>
      </c>
      <c r="G141" s="64" t="str">
        <f aca="false">"CapEx（毛額）：模型 "&amp;IF(ISNUMBER(G38),IF(G38&lt;0,"−","")&amp;"$"&amp;TEXT(ABS(G38),"#,##0.00")&amp;"bn","不適用")&amp;IF(AND(ISNUMBER(G34),ISNUMBER(G35)),"｜指引 "&amp;"$"&amp;IF(G34&lt;0,"−","")&amp;TEXT(ABS(G34),"#,##0.00")&amp;"–"&amp;IF(G35&lt;0,"−","")&amp;TEXT(ABS(G35),"#,##0.00")&amp;"bn"&amp;"（中點 "&amp;IF(ISNUMBER(G80),IF(G80&lt;0,"−","+")&amp;TEXT(ABS(G80)*100,"#,##0.0")&amp;"%","不適用")&amp;"，"&amp;IF(G38&gt;G35,"高於上緣",IF(G38&lt;G34,"低於下緣",IF(G38&gt;=(G34+G35)/2,"區間上半部","區間下半部")))&amp;"）","")&amp;IF(ISNUMBER(G47),"｜實際 "&amp;IF(G47&lt;0,"−","")&amp;"$"&amp;TEXT(ABS(G47),"#,##0.00")&amp;"bn"&amp;"（較模型 "&amp;IF(ISNUMBER(G81),IF(G81&lt;0,"−","+")&amp;TEXT(ABS(G81)*100,"#,##0.0")&amp;"%","不適用")&amp;IF(AND(ISNUMBER(G34),ISNUMBER(G35)),"、"&amp;IF(G47&gt;G35,"高於上緣",IF(G47&lt;G34,"低於下緣",IF(G47&gt;=(G34+G35)/2,"區間上半部","區間下半部"))),"")&amp;"）","")&amp;G135</f>
        <v>CapEx（毛額）：模型 $9.58bn</v>
      </c>
      <c r="H141" s="64" t="str">
        <f aca="false">"CapEx（毛額）：模型 "&amp;IF(ISNUMBER(H38),IF(H38&lt;0,"−","")&amp;"$"&amp;TEXT(ABS(H38),"#,##0.00")&amp;"bn","不適用")&amp;IF(AND(ISNUMBER(H34),ISNUMBER(H35)),"｜指引 "&amp;"$"&amp;IF(H34&lt;0,"−","")&amp;TEXT(ABS(H34),"#,##0.00")&amp;"–"&amp;IF(H35&lt;0,"−","")&amp;TEXT(ABS(H35),"#,##0.00")&amp;"bn"&amp;"（中點 "&amp;IF(ISNUMBER(H80),IF(H80&lt;0,"−","+")&amp;TEXT(ABS(H80)*100,"#,##0.0")&amp;"%","不適用")&amp;"，"&amp;IF(H38&gt;H35,"高於上緣",IF(H38&lt;H34,"低於下緣",IF(H38&gt;=(H34+H35)/2,"區間上半部","區間下半部")))&amp;"）","")&amp;IF(ISNUMBER(H47),"｜實際 "&amp;IF(H47&lt;0,"−","")&amp;"$"&amp;TEXT(ABS(H47),"#,##0.00")&amp;"bn"&amp;"（較模型 "&amp;IF(ISNUMBER(H81),IF(H81&lt;0,"−","+")&amp;TEXT(ABS(H81)*100,"#,##0.0")&amp;"%","不適用")&amp;IF(AND(ISNUMBER(H34),ISNUMBER(H35)),"、"&amp;IF(H47&gt;H35,"高於上緣",IF(H47&lt;H34,"低於下緣",IF(H47&gt;=(H34+H35)/2,"區間上半部","區間下半部"))),"")&amp;"）","")&amp;H135</f>
        <v>CapEx（毛額）：模型 $9.58bn</v>
      </c>
    </row>
    <row r="142" customFormat="false" ht="15" hidden="true" customHeight="false" outlineLevel="1" collapsed="false">
      <c r="A142" s="6" t="s">
        <v>564</v>
      </c>
      <c r="C142" s="64" t="str">
        <f aca="false">"季末 Accepted MW：模型 "&amp;IF(ISNUMBER(C17),IF(C17&lt;0,"−","")&amp;TEXT(ABS(C17),"#,##0")&amp;" MW","不適用")&amp;IF(ISNUMBER(C48),"｜實際 "&amp;IF(C48&lt;0,"−","")&amp;TEXT(ABS(C48),"#,##0")&amp;" MW"&amp;"（較模型 "&amp;IF(ISNUMBER(C86),IF(C86&lt;0,"−","+")&amp;IF(ABS(C86)&lt;0,"−","")&amp;TEXT(ABS(ABS(C86)),"#,##0")&amp;" MW","不適用")&amp;"）","")&amp;C136</f>
        <v>季末 Accepted MW：模型 1,675 MW</v>
      </c>
      <c r="D142" s="64" t="str">
        <f aca="false">"季末 Accepted MW：模型 "&amp;IF(ISNUMBER(D17),IF(D17&lt;0,"−","")&amp;TEXT(ABS(D17),"#,##0")&amp;" MW","不適用")&amp;IF(ISNUMBER(D48),"｜實際 "&amp;IF(D48&lt;0,"−","")&amp;TEXT(ABS(D48),"#,##0")&amp;" MW"&amp;"（較模型 "&amp;IF(ISNUMBER(D86),IF(D86&lt;0,"−","+")&amp;IF(ABS(D86)&lt;0,"−","")&amp;TEXT(ABS(ABS(D86)),"#,##0")&amp;" MW","不適用")&amp;"）","")&amp;D136</f>
        <v>季末 Accepted MW：模型 1,850 MW</v>
      </c>
      <c r="E142" s="64" t="str">
        <f aca="false">"季末 Accepted MW：模型 "&amp;IF(ISNUMBER(E17),IF(E17&lt;0,"−","")&amp;TEXT(ABS(E17),"#,##0")&amp;" MW","不適用")&amp;IF(ISNUMBER(E48),"｜實際 "&amp;IF(E48&lt;0,"−","")&amp;TEXT(ABS(E48),"#,##0")&amp;" MW"&amp;"（較模型 "&amp;IF(ISNUMBER(E86),IF(E86&lt;0,"−","+")&amp;IF(ABS(E86)&lt;0,"−","")&amp;TEXT(ABS(ABS(E86)),"#,##0")&amp;" MW","不適用")&amp;"）","")&amp;E136</f>
        <v>季末 Accepted MW：模型 2,163 MW</v>
      </c>
      <c r="F142" s="64" t="str">
        <f aca="false">"季末 Accepted MW：模型 "&amp;IF(ISNUMBER(F17),IF(F17&lt;0,"−","")&amp;TEXT(ABS(F17),"#,##0")&amp;" MW","不適用")&amp;IF(ISNUMBER(F48),"｜實際 "&amp;IF(F48&lt;0,"−","")&amp;TEXT(ABS(F48),"#,##0")&amp;" MW"&amp;"（較模型 "&amp;IF(ISNUMBER(F86),IF(F86&lt;0,"−","+")&amp;IF(ABS(F86)&lt;0,"−","")&amp;TEXT(ABS(ABS(F86)),"#,##0")&amp;" MW","不適用")&amp;"）","")&amp;F136</f>
        <v>季末 Accepted MW：模型 2,475 MW</v>
      </c>
      <c r="G142" s="64" t="str">
        <f aca="false">"季末 Accepted MW：模型 "&amp;IF(ISNUMBER(G17),IF(G17&lt;0,"−","")&amp;TEXT(ABS(G17),"#,##0")&amp;" MW","不適用")&amp;IF(ISNUMBER(G48),"｜實際 "&amp;IF(G48&lt;0,"−","")&amp;TEXT(ABS(G48),"#,##0")&amp;" MW"&amp;"（較模型 "&amp;IF(ISNUMBER(G86),IF(G86&lt;0,"−","+")&amp;IF(ABS(G86)&lt;0,"−","")&amp;TEXT(ABS(ABS(G86)),"#,##0")&amp;" MW","不適用")&amp;"）","")&amp;G136</f>
        <v>季末 Accepted MW：模型 2,788 MW</v>
      </c>
      <c r="H142" s="64" t="str">
        <f aca="false">"季末 Accepted MW：模型 "&amp;IF(ISNUMBER(H17),IF(H17&lt;0,"−","")&amp;TEXT(ABS(H17),"#,##0")&amp;" MW","不適用")&amp;IF(ISNUMBER(H48),"｜實際 "&amp;IF(H48&lt;0,"−","")&amp;TEXT(ABS(H48),"#,##0")&amp;" MW"&amp;"（較模型 "&amp;IF(ISNUMBER(H86),IF(H86&lt;0,"−","+")&amp;IF(ABS(H86)&lt;0,"−","")&amp;TEXT(ABS(ABS(H86)),"#,##0")&amp;" MW","不適用")&amp;"）","")&amp;H136</f>
        <v>季末 Accepted MW：模型 3,100 MW</v>
      </c>
    </row>
    <row r="143" customFormat="false" ht="15" hidden="true" customHeight="false" outlineLevel="1" collapsed="false">
      <c r="A143" s="6" t="s">
        <v>565</v>
      </c>
      <c r="C143" s="67" t="n">
        <f aca="false">C20+D20-損益與評價!C8</f>
        <v>0</v>
      </c>
      <c r="D143" s="67" t="n">
        <f aca="false">E20+F20+G20+H20-損益與評價!D8</f>
        <v>0</v>
      </c>
    </row>
    <row r="144" customFormat="false" ht="15" hidden="true" customHeight="false" outlineLevel="1" collapsed="false">
      <c r="A144" s="6" t="s">
        <v>566</v>
      </c>
      <c r="C144" s="67" t="n">
        <f aca="false">C26+D26-損益與評價!C11</f>
        <v>0</v>
      </c>
      <c r="D144" s="67" t="n">
        <f aca="false">E26+F26+G26+H26-損益與評價!D11</f>
        <v>0</v>
      </c>
    </row>
    <row r="145" customFormat="false" ht="15" hidden="true" customHeight="false" outlineLevel="1" collapsed="false">
      <c r="A145" s="6" t="s">
        <v>567</v>
      </c>
      <c r="C145" s="67" t="n">
        <f aca="false">C28+D28-損益與評價!C9</f>
        <v>0</v>
      </c>
      <c r="D145" s="67" t="n">
        <f aca="false">E28+F28+G28+H28-損益與評價!D9</f>
        <v>4.88498130835069E-015</v>
      </c>
    </row>
    <row r="146" customFormat="false" ht="15" hidden="true" customHeight="false" outlineLevel="1" collapsed="false">
      <c r="A146" s="6" t="s">
        <v>568</v>
      </c>
      <c r="C146" s="67" t="n">
        <f aca="false">C38+D38-輸入與假設!C$63</f>
        <v>0</v>
      </c>
      <c r="D146" s="67" t="n">
        <f aca="false">E38+F38+G38+H38-輸入與假設!D$63</f>
        <v>0</v>
      </c>
    </row>
    <row r="147" customFormat="false" ht="15" hidden="true" customHeight="false" outlineLevel="1" collapsed="false">
      <c r="A147" s="6" t="s">
        <v>569</v>
      </c>
      <c r="C147" s="67" t="n">
        <f aca="false">C27+D27-輸入與假設!C$64</f>
        <v>0</v>
      </c>
      <c r="D147" s="67" t="n">
        <f aca="false">E27+F27+G27+H27-輸入與假設!D$64</f>
        <v>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7" min="3" style="1" width="13"/>
    <col collapsed="false" customWidth="true" hidden="false" outlineLevel="0" max="9" min="9" style="1" width="96"/>
  </cols>
  <sheetData>
    <row r="1" customFormat="false" ht="19.4" hidden="false" customHeight="false" outlineLevel="0" collapsed="false">
      <c r="A1" s="2" t="s">
        <v>570</v>
      </c>
    </row>
    <row r="2" customFormat="false" ht="15" hidden="false" customHeight="false" outlineLevel="0" collapsed="false">
      <c r="A2" s="3" t="s">
        <v>571</v>
      </c>
    </row>
    <row r="3" customFormat="false" ht="15" hidden="false" customHeight="false" outlineLevel="0" collapsed="false">
      <c r="A3" s="10" t="s">
        <v>572</v>
      </c>
    </row>
    <row r="5" customFormat="false" ht="15" hidden="false" customHeight="false" outlineLevel="0" collapsed="false">
      <c r="A5" s="6" t="s">
        <v>100</v>
      </c>
      <c r="B5" s="3"/>
      <c r="C5" s="34" t="n">
        <f aca="false">輸入與假設!C$21</f>
        <v>0.5</v>
      </c>
      <c r="D5" s="34" t="n">
        <f aca="false">輸入與假設!D$21</f>
        <v>1</v>
      </c>
      <c r="E5" s="34" t="n">
        <f aca="false">輸入與假設!E$21</f>
        <v>1</v>
      </c>
      <c r="F5" s="34" t="n">
        <f aca="false">輸入與假設!F$21</f>
        <v>1</v>
      </c>
      <c r="G5" s="34" t="n">
        <f aca="false">輸入與假設!G$21</f>
        <v>1</v>
      </c>
      <c r="I5" s="3"/>
    </row>
    <row r="6" customFormat="false" ht="15" hidden="false" customHeight="false" outlineLevel="0" collapsed="false">
      <c r="A6" s="43" t="s">
        <v>573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1" collapsed="false">
      <c r="A7" s="16" t="s">
        <v>574</v>
      </c>
      <c r="B7" s="10" t="s">
        <v>86</v>
      </c>
      <c r="C7" s="66" t="n">
        <f aca="false">MAX(0,輸入與假設!C$23)</f>
        <v>1850</v>
      </c>
      <c r="D7" s="66" t="n">
        <f aca="false">MAX(輸入與假設!D$23,C7)</f>
        <v>3100</v>
      </c>
      <c r="E7" s="66" t="n">
        <f aca="false">MAX(輸入與假設!E$23,D7)</f>
        <v>4000</v>
      </c>
      <c r="F7" s="66" t="n">
        <f aca="false">MAX(輸入與假設!F$23,E7)</f>
        <v>4800</v>
      </c>
      <c r="G7" s="66" t="n">
        <f aca="false">MAX(輸入與假設!G$23,F7)</f>
        <v>5600</v>
      </c>
      <c r="I7" s="3"/>
    </row>
    <row r="8" customFormat="false" ht="15" hidden="false" customHeight="false" outlineLevel="1" collapsed="false">
      <c r="A8" s="16" t="s">
        <v>575</v>
      </c>
      <c r="B8" s="10" t="s">
        <v>86</v>
      </c>
      <c r="C8" s="66" t="n">
        <f aca="false">MIN(MAX(0,輸入與假設!C$24),C7)</f>
        <v>1700</v>
      </c>
      <c r="D8" s="66" t="n">
        <f aca="false">MIN(MAX(0,輸入與假設!D$24),D7)</f>
        <v>2900</v>
      </c>
      <c r="E8" s="66" t="n">
        <f aca="false">MIN(MAX(0,輸入與假設!E$24),E7)</f>
        <v>3739</v>
      </c>
      <c r="F8" s="66" t="n">
        <f aca="false">MIN(MAX(0,輸入與假設!F$24),F7)</f>
        <v>4495</v>
      </c>
      <c r="G8" s="66" t="n">
        <f aca="false">MIN(MAX(0,輸入與假設!G$24),G7)</f>
        <v>5250</v>
      </c>
      <c r="I8" s="3"/>
    </row>
    <row r="9" customFormat="false" ht="15" hidden="false" customHeight="false" outlineLevel="1" collapsed="false">
      <c r="A9" s="6" t="s">
        <v>576</v>
      </c>
      <c r="B9" s="10" t="s">
        <v>86</v>
      </c>
      <c r="C9" s="66" t="n">
        <f aca="false">輸入與假設!$C$18</f>
        <v>1350</v>
      </c>
      <c r="D9" s="66" t="n">
        <f aca="false">C8</f>
        <v>1700</v>
      </c>
      <c r="E9" s="66" t="n">
        <f aca="false">D8</f>
        <v>2900</v>
      </c>
      <c r="F9" s="66" t="n">
        <f aca="false">E8</f>
        <v>3739</v>
      </c>
      <c r="G9" s="66" t="n">
        <f aca="false">F8</f>
        <v>4495</v>
      </c>
      <c r="I9" s="3"/>
    </row>
    <row r="10" customFormat="false" ht="15" hidden="false" customHeight="false" outlineLevel="1" collapsed="false">
      <c r="A10" s="6" t="s">
        <v>577</v>
      </c>
      <c r="B10" s="10" t="s">
        <v>86</v>
      </c>
      <c r="C10" s="66" t="n">
        <f aca="false">IF(輸入與假設!$C$19=1,(C9+C8)/2,C8)</f>
        <v>1525</v>
      </c>
      <c r="D10" s="66" t="n">
        <f aca="false">IF(輸入與假設!$C$19=1,(D9+D8)/2,D8)</f>
        <v>2300</v>
      </c>
      <c r="E10" s="66" t="n">
        <f aca="false">IF(輸入與假設!$C$19=1,(E9+E8)/2,E8)</f>
        <v>3319.5</v>
      </c>
      <c r="F10" s="66" t="n">
        <f aca="false">IF(輸入與假設!$C$19=1,(F9+F8)/2,F8)</f>
        <v>4117</v>
      </c>
      <c r="G10" s="66" t="n">
        <f aca="false">IF(輸入與假設!$C$19=1,(G9+G8)/2,G8)</f>
        <v>4872.5</v>
      </c>
      <c r="I10" s="3"/>
    </row>
    <row r="11" customFormat="false" ht="15" hidden="false" customHeight="false" outlineLevel="1" collapsed="false">
      <c r="A11" s="6" t="s">
        <v>578</v>
      </c>
      <c r="B11" s="10" t="s">
        <v>17</v>
      </c>
      <c r="C11" s="31" t="n">
        <f aca="false">C10*輸入與假設!C$26*輸入與假設!$C$20*輸入與假設!C$25*C5</f>
        <v>8.113</v>
      </c>
      <c r="D11" s="31" t="n">
        <f aca="false">D10*輸入與假設!D$26*輸入與假設!$C$20*輸入與假設!D$25*D5</f>
        <v>25.1275</v>
      </c>
      <c r="E11" s="31" t="n">
        <f aca="false">E10*輸入與假設!E$26*輸入與假設!$C$20*輸入與假設!E$25*E5</f>
        <v>35.883795</v>
      </c>
      <c r="F11" s="31" t="n">
        <f aca="false">F10*輸入與假設!F$26*輸入與假設!$C$20*輸入與假設!F$25*F5</f>
        <v>42.11691</v>
      </c>
      <c r="G11" s="31" t="n">
        <f aca="false">G10*輸入與假設!G$26*輸入與假設!$C$20*輸入與假設!G$25*G5</f>
        <v>47.06835</v>
      </c>
      <c r="I11" s="3"/>
    </row>
    <row r="12" customFormat="false" ht="15" hidden="false" customHeight="false" outlineLevel="0" collapsed="false">
      <c r="A12" s="43" t="s">
        <v>579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1" collapsed="false">
      <c r="A13" s="6" t="s">
        <v>580</v>
      </c>
      <c r="B13" s="10" t="s">
        <v>17</v>
      </c>
      <c r="C13" s="52" t="n">
        <f aca="false">(輸入與假設!$C$13+輸入與假設!$C$14)*(輸入與假設!C$22/輸入與假設!$C$16)*輸入與假設!$C$15</f>
        <v>13.19175</v>
      </c>
      <c r="D13" s="52" t="n">
        <f aca="false">(輸入與假設!$C$13+輸入與假設!$C$14)*(輸入與假設!D$22/輸入與假設!$C$16)*輸入與假設!$C$15</f>
        <v>26.3835</v>
      </c>
      <c r="E13" s="52" t="n">
        <f aca="false">(輸入與假設!$C$13+輸入與假設!$C$14)*(輸入與假設!E$22/輸入與假設!$C$16)*輸入與假設!$C$15</f>
        <v>25.74</v>
      </c>
      <c r="F13" s="52" t="n">
        <f aca="false">(輸入與假設!$C$13+輸入與假設!$C$14)*(輸入與假設!F$22/輸入與假設!$C$16)*輸入與假設!$C$15</f>
        <v>25.0965</v>
      </c>
      <c r="G13" s="52" t="n">
        <f aca="false">(輸入與假設!$C$13+輸入與假設!$C$14)*(輸入與假設!G$22/輸入與假設!$C$16)*輸入與假設!$C$15</f>
        <v>17.69625</v>
      </c>
      <c r="I13" s="3"/>
    </row>
    <row r="14" customFormat="false" ht="15" hidden="false" customHeight="false" outlineLevel="0" collapsed="false">
      <c r="A14" s="43" t="s">
        <v>581</v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1" collapsed="false">
      <c r="A15" s="6" t="s">
        <v>582</v>
      </c>
      <c r="B15" s="10" t="s">
        <v>17</v>
      </c>
      <c r="C15" s="31" t="n">
        <f aca="false">MAX(0,C13-C11)</f>
        <v>5.07875</v>
      </c>
      <c r="D15" s="31" t="n">
        <f aca="false">MAX(0,D13-D11)</f>
        <v>1.256</v>
      </c>
      <c r="E15" s="31" t="n">
        <f aca="false">MAX(0,E13-E11)</f>
        <v>0</v>
      </c>
      <c r="F15" s="31" t="n">
        <f aca="false">MAX(0,F13-F11)</f>
        <v>0</v>
      </c>
      <c r="G15" s="31" t="n">
        <f aca="false">MAX(0,G13-G11)</f>
        <v>0</v>
      </c>
      <c r="I15" s="3"/>
    </row>
    <row r="16" customFormat="false" ht="15" hidden="false" customHeight="false" outlineLevel="1" collapsed="false">
      <c r="A16" s="6" t="s">
        <v>583</v>
      </c>
      <c r="B16" s="10" t="s">
        <v>17</v>
      </c>
      <c r="C16" s="52" t="n">
        <f aca="false">C13-C15</f>
        <v>8.113</v>
      </c>
      <c r="D16" s="52" t="n">
        <f aca="false">D13-D15</f>
        <v>25.1275</v>
      </c>
      <c r="E16" s="52" t="n">
        <f aca="false">E13-E15</f>
        <v>25.74</v>
      </c>
      <c r="F16" s="52" t="n">
        <f aca="false">F13-F15</f>
        <v>25.0965</v>
      </c>
      <c r="G16" s="52" t="n">
        <f aca="false">G13-G15</f>
        <v>17.69625</v>
      </c>
      <c r="I16" s="3"/>
    </row>
    <row r="17" customFormat="false" ht="15" hidden="false" customHeight="false" outlineLevel="1" collapsed="false">
      <c r="A17" s="6" t="s">
        <v>584</v>
      </c>
      <c r="B17" s="10" t="s">
        <v>17</v>
      </c>
      <c r="C17" s="52" t="n">
        <f aca="false">MAX(0,C11-C13)</f>
        <v>0</v>
      </c>
      <c r="D17" s="52" t="n">
        <f aca="false">MAX(0,D11-D13)</f>
        <v>0</v>
      </c>
      <c r="E17" s="52" t="n">
        <f aca="false">MAX(0,E11-E13)</f>
        <v>10.143795</v>
      </c>
      <c r="F17" s="52" t="n">
        <f aca="false">MAX(0,F11-F13)</f>
        <v>17.02041</v>
      </c>
      <c r="G17" s="52" t="n">
        <f aca="false">MAX(0,G11-G13)</f>
        <v>29.3721</v>
      </c>
      <c r="I17" s="3"/>
    </row>
    <row r="18" customFormat="false" ht="15" hidden="false" customHeight="false" outlineLevel="1" collapsed="false">
      <c r="A18" s="6" t="s">
        <v>585</v>
      </c>
      <c r="B18" s="10" t="s">
        <v>17</v>
      </c>
      <c r="C18" s="52" t="n">
        <f aca="false">C17*輸入與假設!C$27</f>
        <v>0</v>
      </c>
      <c r="D18" s="52" t="n">
        <f aca="false">D17*輸入與假設!D$27</f>
        <v>0</v>
      </c>
      <c r="E18" s="52" t="n">
        <f aca="false">E17*輸入與假設!E$27</f>
        <v>9.1294155</v>
      </c>
      <c r="F18" s="52" t="n">
        <f aca="false">F17*輸入與假設!F$27</f>
        <v>14.4673485</v>
      </c>
      <c r="G18" s="52" t="n">
        <f aca="false">G17*輸入與假設!G$27</f>
        <v>23.49768</v>
      </c>
      <c r="I18" s="3"/>
    </row>
    <row r="19" customFormat="false" ht="15" hidden="false" customHeight="false" outlineLevel="1" collapsed="false">
      <c r="A19" s="6" t="s">
        <v>586</v>
      </c>
      <c r="B19" s="10" t="s">
        <v>17</v>
      </c>
      <c r="C19" s="31" t="n">
        <f aca="false">C16+C18</f>
        <v>8.113</v>
      </c>
      <c r="D19" s="31" t="n">
        <f aca="false">D16+D18</f>
        <v>25.1275</v>
      </c>
      <c r="E19" s="31" t="n">
        <f aca="false">E16+E18</f>
        <v>34.8694155</v>
      </c>
      <c r="F19" s="31" t="n">
        <f aca="false">F16+F18</f>
        <v>39.5638485</v>
      </c>
      <c r="G19" s="31" t="n">
        <f aca="false">G16+G18</f>
        <v>41.19393</v>
      </c>
      <c r="I19" s="3"/>
    </row>
    <row r="20" customFormat="false" ht="15" hidden="false" customHeight="false" outlineLevel="0" collapsed="false">
      <c r="A20" s="43" t="s">
        <v>587</v>
      </c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1" collapsed="false">
      <c r="A21" s="6" t="s">
        <v>588</v>
      </c>
      <c r="B21" s="10" t="s">
        <v>17</v>
      </c>
      <c r="C21" s="52" t="n">
        <f aca="false">C16*輸入與假設!C$28*(1-輸入與假設!C$29)</f>
        <v>0.0202825</v>
      </c>
      <c r="D21" s="52" t="n">
        <f aca="false">D16*輸入與假設!D$28*(1-輸入與假設!D$29)</f>
        <v>0.1256375</v>
      </c>
      <c r="E21" s="52" t="n">
        <f aca="false">E16*輸入與假設!E$28*(1-輸入與假設!E$29)</f>
        <v>0.19305</v>
      </c>
      <c r="F21" s="52" t="n">
        <f aca="false">F16*輸入與假設!F$28*(1-輸入與假設!F$29)</f>
        <v>0.250965</v>
      </c>
      <c r="G21" s="52" t="n">
        <f aca="false">G16*輸入與假設!G$28*(1-輸入與假設!G$29)</f>
        <v>0.221203125</v>
      </c>
      <c r="I21" s="3"/>
    </row>
    <row r="22" customFormat="false" ht="15" hidden="false" customHeight="false" outlineLevel="1" collapsed="false">
      <c r="A22" s="6" t="s">
        <v>589</v>
      </c>
      <c r="B22" s="10" t="s">
        <v>17</v>
      </c>
      <c r="C22" s="52" t="n">
        <f aca="false">C16-C21</f>
        <v>8.0927175</v>
      </c>
      <c r="D22" s="52" t="n">
        <f aca="false">D16-D21</f>
        <v>25.0018625</v>
      </c>
      <c r="E22" s="52" t="n">
        <f aca="false">E16-E21</f>
        <v>25.54695</v>
      </c>
      <c r="F22" s="52" t="n">
        <f aca="false">F16-F21</f>
        <v>24.845535</v>
      </c>
      <c r="G22" s="52" t="n">
        <f aca="false">G16-G21</f>
        <v>17.475046875</v>
      </c>
    </row>
    <row r="23" customFormat="false" ht="15" hidden="false" customHeight="false" outlineLevel="1" collapsed="false">
      <c r="A23" s="6" t="s">
        <v>590</v>
      </c>
      <c r="B23" s="10" t="s">
        <v>17</v>
      </c>
      <c r="C23" s="52" t="n">
        <f aca="false">C19+輸入與假設!C$30</f>
        <v>8.413</v>
      </c>
      <c r="D23" s="52" t="n">
        <f aca="false">D19+輸入與假設!D$30</f>
        <v>26.1275</v>
      </c>
      <c r="E23" s="52" t="n">
        <f aca="false">E19+輸入與假設!E$30</f>
        <v>36.6694155</v>
      </c>
      <c r="F23" s="52" t="n">
        <f aca="false">F19+輸入與假設!F$30</f>
        <v>42.3638485</v>
      </c>
      <c r="G23" s="52" t="n">
        <f aca="false">G19+輸入與假設!G$30</f>
        <v>44.99393</v>
      </c>
    </row>
    <row r="24" customFormat="false" ht="15" hidden="false" customHeight="false" outlineLevel="1" collapsed="false">
      <c r="A24" s="16" t="s">
        <v>591</v>
      </c>
      <c r="B24" s="10" t="s">
        <v>8</v>
      </c>
      <c r="C24" s="68" t="n">
        <f aca="false">輸入與假設!C$34+收支與融資!C11/MAX(0.01,C23)</f>
        <v>0.749277308926661</v>
      </c>
      <c r="D24" s="68" t="n">
        <f aca="false">輸入與假設!D$34+收支與融資!D11/MAX(0.01,D23)</f>
        <v>0.755760692756674</v>
      </c>
      <c r="E24" s="68" t="n">
        <f aca="false">輸入與假設!E$34+收支與融資!E11/MAX(0.01,E23)</f>
        <v>0.748863653109215</v>
      </c>
      <c r="F24" s="68" t="n">
        <f aca="false">輸入與假設!F$34+收支與融資!F11/MAX(0.01,F23)</f>
        <v>0.755928578998199</v>
      </c>
      <c r="G24" s="68" t="n">
        <f aca="false">輸入與假設!G$34+收支與融資!G11/MAX(0.01,G23)</f>
        <v>0.765360860043532</v>
      </c>
      <c r="I24" s="3"/>
    </row>
    <row r="25" customFormat="false" ht="15" hidden="false" customHeight="false" outlineLevel="1" collapsed="false">
      <c r="A25" s="16" t="s">
        <v>592</v>
      </c>
      <c r="B25" s="10" t="s">
        <v>17</v>
      </c>
      <c r="C25" s="31" t="n">
        <f aca="false">C22*C24</f>
        <v>6.0636895903037</v>
      </c>
      <c r="D25" s="31" t="n">
        <f aca="false">D22*D24</f>
        <v>18.8954249232071</v>
      </c>
      <c r="E25" s="31" t="n">
        <f aca="false">E22*E24</f>
        <v>19.1311823027985</v>
      </c>
      <c r="F25" s="31" t="n">
        <f aca="false">F22*F24</f>
        <v>18.781449967</v>
      </c>
      <c r="G25" s="31" t="n">
        <f aca="false">G22*G24</f>
        <v>13.374716905551</v>
      </c>
      <c r="I25" s="10"/>
    </row>
    <row r="26" customFormat="false" ht="15" hidden="false" customHeight="false" outlineLevel="1" collapsed="false">
      <c r="A26" s="6" t="s">
        <v>593</v>
      </c>
      <c r="B26" s="10" t="s">
        <v>17</v>
      </c>
      <c r="C26" s="52" t="n">
        <f aca="false">C18*(1-輸入與假設!C$28*(1-輸入與假設!C$29))*C24</f>
        <v>0</v>
      </c>
      <c r="D26" s="52" t="n">
        <f aca="false">D18*(1-輸入與假設!D$28*(1-輸入與假設!D$29))*D24</f>
        <v>0</v>
      </c>
      <c r="E26" s="52" t="n">
        <f aca="false">E18*(1-輸入與假設!E$28*(1-輸入與假設!E$29))*E24</f>
        <v>6.78541228626628</v>
      </c>
      <c r="F26" s="52" t="n">
        <f aca="false">F18*(1-輸入與假設!F$28*(1-輸入與假設!F$29))*F24</f>
        <v>10.826919371542</v>
      </c>
      <c r="G26" s="52" t="n">
        <f aca="false">G18*(1-輸入與假設!G$28*(1-輸入與假設!G$29))*G24</f>
        <v>17.7594020166549</v>
      </c>
      <c r="I26" s="3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7" min="3" style="1" width="13"/>
    <col collapsed="false" customWidth="true" hidden="false" outlineLevel="0" max="9" min="9" style="1" width="92"/>
  </cols>
  <sheetData>
    <row r="1" customFormat="false" ht="17.35" hidden="false" customHeight="false" outlineLevel="0" collapsed="false">
      <c r="A1" s="2" t="s">
        <v>594</v>
      </c>
    </row>
    <row r="2" customFormat="false" ht="15" hidden="false" customHeight="false" outlineLevel="0" collapsed="false">
      <c r="A2" s="3" t="s">
        <v>595</v>
      </c>
    </row>
    <row r="4" customFormat="false" ht="15" hidden="false" customHeight="false" outlineLevel="0" collapsed="false">
      <c r="A4" s="15" t="s">
        <v>261</v>
      </c>
      <c r="B4" s="15" t="s">
        <v>262</v>
      </c>
      <c r="C4" s="42" t="s">
        <v>263</v>
      </c>
      <c r="D4" s="42" t="s">
        <v>264</v>
      </c>
      <c r="E4" s="42" t="s">
        <v>265</v>
      </c>
      <c r="F4" s="42" t="s">
        <v>266</v>
      </c>
      <c r="G4" s="42" t="s">
        <v>267</v>
      </c>
      <c r="I4" s="15"/>
    </row>
    <row r="5" customFormat="false" ht="15" hidden="false" customHeight="false" outlineLevel="0" collapsed="false">
      <c r="A5" s="43" t="s">
        <v>596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6" t="s">
        <v>597</v>
      </c>
      <c r="B6" s="10" t="s">
        <v>17</v>
      </c>
      <c r="C6" s="34" t="n">
        <f aca="false">產能與收入!C19</f>
        <v>8.113</v>
      </c>
      <c r="D6" s="34" t="n">
        <f aca="false">產能與收入!D19</f>
        <v>25.1275</v>
      </c>
      <c r="E6" s="34" t="n">
        <f aca="false">產能與收入!E19</f>
        <v>34.8694155</v>
      </c>
      <c r="F6" s="34" t="n">
        <f aca="false">產能與收入!F19</f>
        <v>39.5638485</v>
      </c>
      <c r="G6" s="34" t="n">
        <f aca="false">產能與收入!G19</f>
        <v>41.19393</v>
      </c>
      <c r="I6" s="3"/>
    </row>
    <row r="7" customFormat="false" ht="15" hidden="false" customHeight="false" outlineLevel="0" collapsed="false">
      <c r="A7" s="6" t="s">
        <v>598</v>
      </c>
      <c r="B7" s="10" t="s">
        <v>17</v>
      </c>
      <c r="C7" s="34" t="n">
        <f aca="false">輸入與假設!C$30</f>
        <v>0.3</v>
      </c>
      <c r="D7" s="34" t="n">
        <f aca="false">輸入與假設!D$30</f>
        <v>1</v>
      </c>
      <c r="E7" s="34" t="n">
        <f aca="false">輸入與假設!E$30</f>
        <v>1.8</v>
      </c>
      <c r="F7" s="34" t="n">
        <f aca="false">輸入與假設!F$30</f>
        <v>2.8</v>
      </c>
      <c r="G7" s="34" t="n">
        <f aca="false">輸入與假設!G$30</f>
        <v>3.8</v>
      </c>
    </row>
    <row r="8" customFormat="false" ht="15" hidden="false" customHeight="false" outlineLevel="0" collapsed="false">
      <c r="A8" s="9" t="s">
        <v>599</v>
      </c>
      <c r="B8" s="10" t="s">
        <v>17</v>
      </c>
      <c r="C8" s="31" t="n">
        <f aca="false">C6+C7</f>
        <v>8.413</v>
      </c>
      <c r="D8" s="31" t="n">
        <f aca="false">D6+D7</f>
        <v>26.1275</v>
      </c>
      <c r="E8" s="31" t="n">
        <f aca="false">E6+E7</f>
        <v>36.6694155</v>
      </c>
      <c r="F8" s="31" t="n">
        <f aca="false">F6+F7</f>
        <v>42.3638485</v>
      </c>
      <c r="G8" s="31" t="n">
        <f aca="false">G6+G7</f>
        <v>44.99393</v>
      </c>
    </row>
    <row r="9" customFormat="false" ht="15" hidden="false" customHeight="false" outlineLevel="0" collapsed="false">
      <c r="A9" s="6" t="s">
        <v>600</v>
      </c>
      <c r="B9" s="10" t="s">
        <v>17</v>
      </c>
      <c r="C9" s="52" t="n">
        <f aca="false">C8*輸入與假設!C$34-輸入與假設!C$64</f>
        <v>0.200836666666667</v>
      </c>
      <c r="D9" s="52" t="n">
        <f aca="false">D8*輸入與假設!D$34-輸入與假設!D$64</f>
        <v>1.35055416666666</v>
      </c>
      <c r="E9" s="52" t="n">
        <f aca="false">E8*輸入與假設!E$34-輸入與假設!E$64</f>
        <v>2.63303761</v>
      </c>
      <c r="F9" s="52" t="n">
        <f aca="false">F8*輸入與假設!F$34-輸入與假設!F$64</f>
        <v>2.0815437975</v>
      </c>
      <c r="G9" s="52" t="n">
        <f aca="false">G8*輸入與假設!G$34-輸入與假設!G$64</f>
        <v>0.19072116666667</v>
      </c>
      <c r="I9" s="3"/>
    </row>
    <row r="10" customFormat="false" ht="15" hidden="false" customHeight="false" outlineLevel="0" collapsed="false">
      <c r="A10" s="16" t="s">
        <v>215</v>
      </c>
      <c r="B10" s="10" t="s">
        <v>17</v>
      </c>
      <c r="C10" s="34" t="n">
        <f aca="false">輸入與假設!C$64</f>
        <v>4.76283333333333</v>
      </c>
      <c r="D10" s="34" t="n">
        <f aca="false">輸入與假設!D$64</f>
        <v>14.4565833333333</v>
      </c>
      <c r="E10" s="34" t="n">
        <f aca="false">輸入與假設!E$64</f>
        <v>20.102</v>
      </c>
      <c r="F10" s="34" t="n">
        <f aca="false">輸入與假設!F$64</f>
        <v>24.8195</v>
      </c>
      <c r="G10" s="34" t="n">
        <f aca="false">輸入與假設!G$64</f>
        <v>29.0553333333333</v>
      </c>
      <c r="I10" s="3"/>
    </row>
    <row r="11" customFormat="false" ht="15" hidden="false" customHeight="false" outlineLevel="0" collapsed="false">
      <c r="A11" s="69" t="s">
        <v>601</v>
      </c>
      <c r="B11" s="10" t="s">
        <v>17</v>
      </c>
      <c r="C11" s="31" t="n">
        <f aca="false">C9+C10</f>
        <v>4.96367</v>
      </c>
      <c r="D11" s="31" t="n">
        <f aca="false">D9+D10</f>
        <v>15.8071375</v>
      </c>
      <c r="E11" s="31" t="n">
        <f aca="false">E9+E10</f>
        <v>22.73503761</v>
      </c>
      <c r="F11" s="31" t="n">
        <f aca="false">F9+F10</f>
        <v>26.9010437975</v>
      </c>
      <c r="G11" s="31" t="n">
        <f aca="false">G9+G10</f>
        <v>29.2460545</v>
      </c>
    </row>
    <row r="12" customFormat="false" ht="15" hidden="false" customHeight="false" outlineLevel="0" collapsed="false">
      <c r="A12" s="6" t="s">
        <v>602</v>
      </c>
      <c r="B12" s="10" t="s">
        <v>162</v>
      </c>
      <c r="C12" s="70" t="n">
        <f aca="false">輸入與假設!$C$89</f>
        <v>0.587</v>
      </c>
      <c r="D12" s="70" t="n">
        <f aca="false">C12*(1+輸入與假設!$C$103)</f>
        <v>0.59287</v>
      </c>
      <c r="E12" s="70" t="n">
        <f aca="false">D12*(1+輸入與假設!$C$103)</f>
        <v>0.5987987</v>
      </c>
      <c r="F12" s="70" t="n">
        <f aca="false">E12*(1+輸入與假設!$C$103)</f>
        <v>0.604786687</v>
      </c>
      <c r="G12" s="70" t="n">
        <f aca="false">F12*(1+輸入與假設!$C$103)</f>
        <v>0.61083455387</v>
      </c>
      <c r="I12" s="10"/>
    </row>
    <row r="13" customFormat="false" ht="15" hidden="false" customHeight="false" outlineLevel="0" collapsed="false">
      <c r="A13" s="6" t="s">
        <v>603</v>
      </c>
      <c r="B13" s="10" t="s">
        <v>162</v>
      </c>
      <c r="C13" s="70" t="n">
        <f aca="false">C12+收支與融資!C64</f>
        <v>0.587</v>
      </c>
      <c r="D13" s="70" t="n">
        <f aca="false">D12+收支與融資!D64</f>
        <v>0.59287</v>
      </c>
      <c r="E13" s="70" t="n">
        <f aca="false">E12+收支與融資!E64</f>
        <v>0.5987987</v>
      </c>
      <c r="F13" s="70" t="n">
        <f aca="false">F12+收支與融資!F64</f>
        <v>0.711215719277325</v>
      </c>
      <c r="G13" s="70" t="n">
        <f aca="false">G12+收支與融資!G64</f>
        <v>0.78226790498184</v>
      </c>
      <c r="I13" s="3"/>
    </row>
    <row r="14" customFormat="false" ht="15" hidden="false" customHeight="false" outlineLevel="0" collapsed="false">
      <c r="A14" s="43" t="s">
        <v>604</v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16" t="s">
        <v>605</v>
      </c>
      <c r="B15" s="10" t="s">
        <v>17</v>
      </c>
      <c r="C15" s="34" t="n">
        <f aca="false">輸入與假設!$C$128</f>
        <v>4.653</v>
      </c>
      <c r="D15" s="34" t="n">
        <f aca="false">0</f>
        <v>0</v>
      </c>
      <c r="E15" s="34" t="n">
        <f aca="false">0</f>
        <v>0</v>
      </c>
      <c r="F15" s="34" t="n">
        <f aca="false">0</f>
        <v>0</v>
      </c>
      <c r="G15" s="34" t="n">
        <f aca="false">0</f>
        <v>0</v>
      </c>
    </row>
    <row r="16" customFormat="false" ht="15" hidden="false" customHeight="false" outlineLevel="0" collapsed="false">
      <c r="A16" s="9" t="s">
        <v>606</v>
      </c>
      <c r="B16" s="10" t="s">
        <v>17</v>
      </c>
      <c r="C16" s="31" t="n">
        <f aca="false">C15+C8</f>
        <v>13.066</v>
      </c>
      <c r="D16" s="31" t="n">
        <f aca="false">D15+D8</f>
        <v>26.1275</v>
      </c>
      <c r="E16" s="31" t="n">
        <f aca="false">E15+E8</f>
        <v>36.6694155</v>
      </c>
      <c r="F16" s="31" t="n">
        <f aca="false">F15+F8</f>
        <v>42.3638485</v>
      </c>
      <c r="G16" s="31" t="n">
        <f aca="false">G15+G8</f>
        <v>44.99393</v>
      </c>
      <c r="I16" s="10"/>
    </row>
    <row r="17" customFormat="false" ht="15" hidden="false" customHeight="false" outlineLevel="0" collapsed="false">
      <c r="A17" s="6" t="s">
        <v>607</v>
      </c>
      <c r="B17" s="10" t="s">
        <v>17</v>
      </c>
      <c r="C17" s="52" t="n">
        <f aca="false">輸入與假設!$C$129+C9</f>
        <v>0.00783666666666655</v>
      </c>
      <c r="D17" s="52" t="n">
        <f aca="false">D9</f>
        <v>1.35055416666666</v>
      </c>
      <c r="E17" s="52" t="n">
        <f aca="false">E9</f>
        <v>2.63303761</v>
      </c>
      <c r="F17" s="52" t="n">
        <f aca="false">F9</f>
        <v>2.0815437975</v>
      </c>
      <c r="G17" s="52" t="n">
        <f aca="false">G9</f>
        <v>0.19072116666667</v>
      </c>
    </row>
    <row r="18" customFormat="false" ht="15" hidden="false" customHeight="false" outlineLevel="0" collapsed="false">
      <c r="A18" s="6" t="s">
        <v>608</v>
      </c>
      <c r="B18" s="10" t="s">
        <v>17</v>
      </c>
      <c r="C18" s="52" t="n">
        <f aca="false">輸入與假設!$C$130+C10</f>
        <v>7.30283333333333</v>
      </c>
      <c r="D18" s="52" t="n">
        <f aca="false">D10</f>
        <v>14.4565833333333</v>
      </c>
      <c r="E18" s="52" t="n">
        <f aca="false">E10</f>
        <v>20.102</v>
      </c>
      <c r="F18" s="52" t="n">
        <f aca="false">F10</f>
        <v>24.8195</v>
      </c>
      <c r="G18" s="52" t="n">
        <f aca="false">G10</f>
        <v>29.0553333333333</v>
      </c>
      <c r="I18" s="10"/>
    </row>
    <row r="19" customFormat="false" ht="15" hidden="false" customHeight="false" outlineLevel="0" collapsed="false">
      <c r="A19" s="9" t="s">
        <v>609</v>
      </c>
      <c r="B19" s="10" t="s">
        <v>17</v>
      </c>
      <c r="C19" s="31" t="n">
        <f aca="false">C17+C18</f>
        <v>7.31067</v>
      </c>
      <c r="D19" s="31" t="n">
        <f aca="false">D17+D18</f>
        <v>15.8071375</v>
      </c>
      <c r="E19" s="31" t="n">
        <f aca="false">E17+E18</f>
        <v>22.73503761</v>
      </c>
      <c r="F19" s="31" t="n">
        <f aca="false">F17+F18</f>
        <v>26.9010437975</v>
      </c>
      <c r="G19" s="31" t="n">
        <f aca="false">G17+G18</f>
        <v>29.2460545</v>
      </c>
    </row>
    <row r="20" customFormat="false" ht="17.35" hidden="false" customHeight="false" outlineLevel="0" collapsed="false">
      <c r="A20" s="2"/>
    </row>
    <row r="21" customFormat="false" ht="19.4" hidden="false" customHeight="false" outlineLevel="0" collapsed="false">
      <c r="A21" s="2" t="s">
        <v>610</v>
      </c>
    </row>
    <row r="22" customFormat="false" ht="15" hidden="false" customHeight="false" outlineLevel="0" collapsed="false">
      <c r="A22" s="3" t="s">
        <v>611</v>
      </c>
    </row>
    <row r="24" customFormat="false" ht="15" hidden="false" customHeight="false" outlineLevel="0" collapsed="false">
      <c r="A24" s="15" t="s">
        <v>261</v>
      </c>
      <c r="B24" s="15" t="s">
        <v>262</v>
      </c>
      <c r="C24" s="42" t="s">
        <v>263</v>
      </c>
      <c r="D24" s="42" t="s">
        <v>264</v>
      </c>
      <c r="E24" s="42" t="s">
        <v>265</v>
      </c>
      <c r="F24" s="42" t="s">
        <v>266</v>
      </c>
      <c r="G24" s="42" t="s">
        <v>267</v>
      </c>
      <c r="I24" s="15"/>
    </row>
    <row r="25" customFormat="false" ht="15" hidden="false" customHeight="false" outlineLevel="0" collapsed="false">
      <c r="A25" s="4" t="s">
        <v>612</v>
      </c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1" collapsed="false">
      <c r="A26" s="6" t="s">
        <v>613</v>
      </c>
      <c r="B26" s="10" t="s">
        <v>17</v>
      </c>
      <c r="C26" s="52" t="n">
        <f aca="false">輸入與假設!C$63-收支與融資!C7</f>
        <v>19.16912</v>
      </c>
      <c r="D26" s="52" t="n">
        <f aca="false">輸入與假設!D$63-收支與融資!D7</f>
        <v>35.2682</v>
      </c>
      <c r="E26" s="52" t="n">
        <f aca="false">輸入與假設!E$63-收支與融資!E7</f>
        <v>27.0572</v>
      </c>
      <c r="F26" s="52" t="n">
        <f aca="false">輸入與假設!F$63-收支與融資!F7</f>
        <v>28.152</v>
      </c>
      <c r="G26" s="52" t="n">
        <f aca="false">輸入與假設!G$63-收支與融資!G7</f>
        <v>29.8724</v>
      </c>
      <c r="I26" s="10"/>
    </row>
    <row r="27" customFormat="false" ht="15" hidden="false" customHeight="false" outlineLevel="1" collapsed="false">
      <c r="A27" s="6" t="s">
        <v>614</v>
      </c>
      <c r="B27" s="10" t="s">
        <v>17</v>
      </c>
      <c r="C27" s="52" t="n">
        <f aca="false">5.131</f>
        <v>5.131</v>
      </c>
      <c r="D27" s="52" t="n">
        <f aca="false">4.653+損益與評價!C8</f>
        <v>13.066</v>
      </c>
      <c r="E27" s="52" t="n">
        <f aca="false">損益與評價!D8</f>
        <v>26.1275</v>
      </c>
      <c r="F27" s="52" t="n">
        <f aca="false">損益與評價!E8</f>
        <v>36.6694155</v>
      </c>
      <c r="G27" s="52" t="n">
        <f aca="false">損益與評價!F8</f>
        <v>42.3638485</v>
      </c>
      <c r="I27" s="10"/>
    </row>
    <row r="28" customFormat="false" ht="15" hidden="false" customHeight="false" outlineLevel="1" collapsed="false">
      <c r="A28" s="6" t="s">
        <v>615</v>
      </c>
      <c r="B28" s="10" t="s">
        <v>17</v>
      </c>
      <c r="C28" s="52" t="n">
        <f aca="false">輸入與假設!$C$97*MAX(0,損益與評價!C8-C27)</f>
        <v>0.06564</v>
      </c>
      <c r="D28" s="52" t="n">
        <f aca="false">輸入與假設!$C$97*MAX(0,損益與評價!D8-D27)</f>
        <v>0.26123</v>
      </c>
      <c r="E28" s="52" t="n">
        <f aca="false">輸入與假設!$C$97*MAX(0,損益與評價!E8-E27)</f>
        <v>0.21083831</v>
      </c>
      <c r="F28" s="52" t="n">
        <f aca="false">輸入與假設!$C$97*MAX(0,損益與評價!F8-F27)</f>
        <v>0.11388866</v>
      </c>
      <c r="G28" s="52" t="n">
        <f aca="false">輸入與假設!$C$97*MAX(0,損益與評價!G8-G27)</f>
        <v>0.0526016300000001</v>
      </c>
      <c r="I28" s="3"/>
    </row>
    <row r="29" customFormat="false" ht="15" hidden="false" customHeight="false" outlineLevel="1" collapsed="false">
      <c r="A29" s="6" t="s">
        <v>616</v>
      </c>
      <c r="B29" s="10" t="s">
        <v>17</v>
      </c>
      <c r="C29" s="52" t="n">
        <f aca="false">輸入與假設!$C$95</f>
        <v>4</v>
      </c>
      <c r="D29" s="52" t="n">
        <f aca="false">C31</f>
        <v>3.83933066666667</v>
      </c>
      <c r="E29" s="52" t="n">
        <f aca="false">D31</f>
        <v>2.75888733333334</v>
      </c>
      <c r="F29" s="52" t="n">
        <f aca="false">E31</f>
        <v>0.652457245333336</v>
      </c>
      <c r="G29" s="52" t="n">
        <f aca="false">F31</f>
        <v>0</v>
      </c>
      <c r="I29" s="10"/>
    </row>
    <row r="30" customFormat="false" ht="15" hidden="false" customHeight="false" outlineLevel="1" collapsed="false">
      <c r="A30" s="6" t="s">
        <v>617</v>
      </c>
      <c r="B30" s="10" t="s">
        <v>17</v>
      </c>
      <c r="C30" s="52" t="n">
        <f aca="false">MIN(C29,MAX(0,損益與評價!C9)*輸入與假設!$C$96)</f>
        <v>0.160669333333333</v>
      </c>
      <c r="D30" s="52" t="n">
        <f aca="false">MIN(D29,MAX(0,損益與評價!D9)*輸入與假設!$C$96)</f>
        <v>1.08044333333333</v>
      </c>
      <c r="E30" s="52" t="n">
        <f aca="false">MIN(E29,MAX(0,損益與評價!E9)*輸入與假設!$C$96)</f>
        <v>2.106430088</v>
      </c>
      <c r="F30" s="52" t="n">
        <f aca="false">MIN(F29,MAX(0,損益與評價!F9)*輸入與假設!$C$96)</f>
        <v>0.652457245333336</v>
      </c>
      <c r="G30" s="52" t="n">
        <f aca="false">MIN(G29,MAX(0,損益與評價!G9)*輸入與假設!$C$96)</f>
        <v>0</v>
      </c>
    </row>
    <row r="31" customFormat="false" ht="15" hidden="false" customHeight="false" outlineLevel="1" collapsed="false">
      <c r="A31" s="6" t="s">
        <v>618</v>
      </c>
      <c r="B31" s="10" t="s">
        <v>17</v>
      </c>
      <c r="C31" s="52" t="n">
        <f aca="false">C29-C30+MAX(0,-損益與評價!C9)</f>
        <v>3.83933066666667</v>
      </c>
      <c r="D31" s="52" t="n">
        <f aca="false">D29-D30+MAX(0,-損益與評價!D9)</f>
        <v>2.75888733333334</v>
      </c>
      <c r="E31" s="52" t="n">
        <f aca="false">E29-E30+MAX(0,-損益與評價!E9)</f>
        <v>0.652457245333336</v>
      </c>
      <c r="F31" s="52" t="n">
        <f aca="false">F29-F30+MAX(0,-損益與評價!F9)</f>
        <v>0</v>
      </c>
      <c r="G31" s="52" t="n">
        <f aca="false">G29-G30+MAX(0,-損益與評價!G9)</f>
        <v>0</v>
      </c>
    </row>
    <row r="32" customFormat="false" ht="15" hidden="false" customHeight="false" outlineLevel="1" collapsed="false">
      <c r="A32" s="6" t="s">
        <v>619</v>
      </c>
      <c r="B32" s="10" t="s">
        <v>17</v>
      </c>
      <c r="C32" s="52" t="n">
        <f aca="false">MAX(0,損益與評價!C9-C30)*輸入與假設!$C$94</f>
        <v>0.00843513999999999</v>
      </c>
      <c r="D32" s="52" t="n">
        <f aca="false">MAX(0,損益與評價!D9-D30)*輸入與假設!$C$94</f>
        <v>0.0567232749999999</v>
      </c>
      <c r="E32" s="52" t="n">
        <f aca="false">MAX(0,損益與評價!E9-E30)*輸入與假設!$C$94</f>
        <v>0.11058757962</v>
      </c>
      <c r="F32" s="52" t="n">
        <f aca="false">MAX(0,損益與評價!F9-F30)*輸入與假設!$C$94</f>
        <v>0.300108175954999</v>
      </c>
      <c r="G32" s="52" t="n">
        <f aca="false">MAX(0,損益與評價!G9-G30)*輸入與假設!$C$94</f>
        <v>0.0400514450000006</v>
      </c>
      <c r="I32" s="3"/>
    </row>
    <row r="33" customFormat="false" ht="15" hidden="false" customHeight="false" outlineLevel="1" collapsed="false">
      <c r="A33" s="69" t="s">
        <v>620</v>
      </c>
      <c r="B33" s="10" t="s">
        <v>17</v>
      </c>
      <c r="C33" s="31" t="n">
        <f aca="false">損益與評價!C9-C32+損益與評價!C10-C26-C28</f>
        <v>-14.27952514</v>
      </c>
      <c r="D33" s="31" t="n">
        <f aca="false">損益與評價!D9-D32+損益與評價!D10-D26-D28</f>
        <v>-19.779015775</v>
      </c>
      <c r="E33" s="31" t="n">
        <f aca="false">損益與評價!E9-E32+損益與評價!E10-E26-E28</f>
        <v>-4.64358827962</v>
      </c>
      <c r="F33" s="31" t="n">
        <f aca="false">損益與評價!F9-F32+損益與評價!F10-F26-F28</f>
        <v>-1.664953038455</v>
      </c>
      <c r="G33" s="31" t="n">
        <f aca="false">損益與評價!G9-G32+損益與評價!G10-G26-G28</f>
        <v>-0.718998574999995</v>
      </c>
      <c r="I33" s="3"/>
    </row>
    <row r="34" customFormat="false" ht="15" hidden="false" customHeight="false" outlineLevel="1" collapsed="false">
      <c r="A34" s="6" t="s">
        <v>621</v>
      </c>
      <c r="B34" s="3" t="s">
        <v>127</v>
      </c>
      <c r="C34" s="71" t="n">
        <f aca="false">輸入與假設!$C$110</f>
        <v>0.5</v>
      </c>
      <c r="D34" s="71" t="n">
        <f aca="false">輸入與假設!$D$110</f>
        <v>1.5</v>
      </c>
      <c r="E34" s="71" t="n">
        <f aca="false">輸入與假設!$E$110</f>
        <v>2.5</v>
      </c>
      <c r="F34" s="71" t="n">
        <f aca="false">輸入與假設!$F$110</f>
        <v>3.5</v>
      </c>
      <c r="G34" s="71" t="n">
        <f aca="false">輸入與假設!$G$110</f>
        <v>4.5</v>
      </c>
      <c r="I34" s="3"/>
    </row>
    <row r="35" customFormat="false" ht="15" hidden="false" customHeight="false" outlineLevel="1" collapsed="false">
      <c r="A35" s="6" t="s">
        <v>622</v>
      </c>
      <c r="B35" s="3"/>
      <c r="C35" s="47" t="n">
        <f aca="false">1/(1+輸入與假設!$C$91)^C34</f>
        <v>0.949157995752499</v>
      </c>
      <c r="D35" s="47" t="n">
        <f aca="false">1/(1+輸入與假設!$C$91)^D34</f>
        <v>0.85509729347072</v>
      </c>
      <c r="E35" s="47" t="n">
        <f aca="false">1/(1+輸入與假設!$C$91)^E34</f>
        <v>0.770357922045693</v>
      </c>
      <c r="F35" s="47" t="n">
        <f aca="false">1/(1+輸入與假設!$C$91)^F34</f>
        <v>0.694016145987111</v>
      </c>
      <c r="G35" s="47" t="n">
        <f aca="false">1/(1+輸入與假設!$C$91)^G34</f>
        <v>0.62523977115956</v>
      </c>
    </row>
    <row r="36" customFormat="false" ht="15" hidden="false" customHeight="false" outlineLevel="1" collapsed="false">
      <c r="A36" s="16" t="s">
        <v>623</v>
      </c>
      <c r="B36" s="10" t="s">
        <v>17</v>
      </c>
      <c r="C36" s="52" t="n">
        <f aca="false">C33*C35</f>
        <v>-13.5535254621798</v>
      </c>
      <c r="D36" s="52" t="n">
        <f aca="false">D33*D35</f>
        <v>-16.9129828567172</v>
      </c>
      <c r="E36" s="52" t="n">
        <f aca="false">E33*E35</f>
        <v>-3.5772250179238</v>
      </c>
      <c r="F36" s="52" t="n">
        <f aca="false">F33*F35</f>
        <v>-1.15550429099807</v>
      </c>
      <c r="G36" s="52" t="n">
        <f aca="false">G33*G35</f>
        <v>-0.449546504497047</v>
      </c>
    </row>
    <row r="37" customFormat="false" ht="15" hidden="false" customHeight="false" outlineLevel="1" collapsed="false">
      <c r="A37" s="6" t="s">
        <v>624</v>
      </c>
      <c r="C37" s="8" t="n">
        <f aca="false">SUM(C36:G36)</f>
        <v>-35.6487841323159</v>
      </c>
      <c r="I37" s="3"/>
    </row>
    <row r="38" customFormat="false" ht="15" hidden="false" customHeight="false" outlineLevel="1" collapsed="false">
      <c r="A38" s="6" t="s">
        <v>625</v>
      </c>
      <c r="C38" s="8" t="n">
        <f aca="false">損益與評價!G9*(1-輸入與假設!$C$94)+損益與評價!G10-損益與評價!G10*輸入與假設!$C$93</f>
        <v>5.96173638833334</v>
      </c>
      <c r="I38" s="3"/>
    </row>
    <row r="39" customFormat="false" ht="15" hidden="false" customHeight="false" outlineLevel="1" collapsed="false">
      <c r="A39" s="6" t="s">
        <v>626</v>
      </c>
      <c r="C39" s="49" t="n">
        <f aca="false">IF(C47=1,0,C38*(1+輸入與假設!$C$92)/(輸入與假設!$C$91-輸入與假設!$C$92))</f>
        <v>76.7573559997917</v>
      </c>
      <c r="I39" s="3"/>
    </row>
    <row r="40" customFormat="false" ht="15" hidden="false" customHeight="false" outlineLevel="1" collapsed="false">
      <c r="A40" s="6" t="s">
        <v>627</v>
      </c>
      <c r="C40" s="49" t="n">
        <f aca="false">C39*G35</f>
        <v>47.9917517001226</v>
      </c>
    </row>
    <row r="41" customFormat="false" ht="15" hidden="false" customHeight="false" outlineLevel="1" collapsed="false">
      <c r="A41" s="6" t="s">
        <v>628</v>
      </c>
      <c r="C41" s="49" t="n">
        <f aca="false">C37+C40</f>
        <v>12.3429675678067</v>
      </c>
    </row>
    <row r="42" customFormat="false" ht="15" hidden="false" customHeight="false" outlineLevel="1" collapsed="false">
      <c r="A42" s="6" t="s">
        <v>629</v>
      </c>
      <c r="C42" s="8" t="n">
        <f aca="false">-輸入與假設!$C$90</f>
        <v>-30</v>
      </c>
      <c r="I42" s="10"/>
    </row>
    <row r="43" customFormat="false" ht="15" hidden="false" customHeight="false" outlineLevel="1" collapsed="false">
      <c r="A43" s="6" t="s">
        <v>630</v>
      </c>
      <c r="C43" s="49" t="n">
        <f aca="false">C41+C42</f>
        <v>-17.6570324321933</v>
      </c>
    </row>
    <row r="44" customFormat="false" ht="15" hidden="false" customHeight="false" outlineLevel="1" collapsed="false">
      <c r="A44" s="69" t="s">
        <v>631</v>
      </c>
      <c r="C44" s="72" t="n">
        <f aca="false">IF(C47=1,0,IF(輸入與假設!$C$104=2,C49,C48))</f>
        <v>0</v>
      </c>
      <c r="I44" s="3"/>
    </row>
    <row r="45" customFormat="false" ht="15" hidden="false" customHeight="false" outlineLevel="1" collapsed="false">
      <c r="A45" s="6" t="s">
        <v>632</v>
      </c>
      <c r="C45" s="49" t="n">
        <f aca="false">收支與融資!C59/(1+輸入與假設!$C$91)^輸入與假設!$C$111+收支與融資!D59/(1+輸入與假設!$C$91)^輸入與假設!$D$111+收支與融資!E59/(1+輸入與假設!$C$91)^輸入與假設!$E$111+收支與融資!F59/(1+輸入與假設!$C$91)^輸入與假設!$F$111+收支與融資!G59/(1+輸入與假設!$C$91)^輸入與假設!$G$111</f>
        <v>10.3101730853366</v>
      </c>
      <c r="I45" s="3"/>
    </row>
    <row r="46" customFormat="false" ht="15" hidden="false" customHeight="false" outlineLevel="1" collapsed="false">
      <c r="A46" s="6" t="s">
        <v>633</v>
      </c>
      <c r="C46" s="73" t="n">
        <f aca="false">輸入與假設!$C$89+收支與融資!G64</f>
        <v>0.75843335111184</v>
      </c>
    </row>
    <row r="47" customFormat="false" ht="15" hidden="false" customHeight="false" outlineLevel="1" collapsed="false">
      <c r="A47" s="16" t="s">
        <v>634</v>
      </c>
      <c r="C47" s="38" t="n">
        <f aca="false">IF(OR(輸入與假設!$C$91&lt;=輸入與假設!$C$92,C38&lt;=0),1,0)</f>
        <v>0</v>
      </c>
      <c r="I47" s="10"/>
    </row>
    <row r="48" customFormat="false" ht="15" hidden="false" customHeight="false" outlineLevel="1" collapsed="false">
      <c r="A48" s="69" t="s">
        <v>635</v>
      </c>
      <c r="C48" s="37" t="n">
        <f aca="false">MAX(0,(C43+C45)/C46)</f>
        <v>0</v>
      </c>
    </row>
    <row r="49" customFormat="false" ht="15" hidden="false" customHeight="false" outlineLevel="1" collapsed="false">
      <c r="A49" s="69" t="s">
        <v>636</v>
      </c>
      <c r="C49" s="37" t="n">
        <f aca="false">IF((C41+C45)&lt;=0,0,((C41+C45)*NORMSDIST(C50)-輸入與假設!$C$90*EXP(-輸入與假設!$C$106*輸入與假設!$C$107)*NORMSDIST(C51))/C46)</f>
        <v>11.177762922225</v>
      </c>
      <c r="I49" s="10"/>
    </row>
    <row r="50" customFormat="false" ht="15" hidden="false" customHeight="false" outlineLevel="1" collapsed="false">
      <c r="A50" s="6" t="s">
        <v>637</v>
      </c>
      <c r="C50" s="73" t="n">
        <f aca="false">IF((C41+C45)&lt;=0,0,(LN((C41+C45)/輸入與假設!$C$90)+(輸入與假設!$C$106+輸入與假設!$C$105^2/2)*輸入與假設!$C$107)/(輸入與假設!$C$105*SQRT(輸入與假設!$C$107)))</f>
        <v>0.435201710329897</v>
      </c>
    </row>
    <row r="51" customFormat="false" ht="15" hidden="false" customHeight="false" outlineLevel="1" collapsed="false">
      <c r="A51" s="6" t="s">
        <v>638</v>
      </c>
      <c r="C51" s="73" t="n">
        <f aca="false">C50-輸入與假設!$C$105*SQRT(輸入與假設!$C$107)</f>
        <v>-0.625458461449925</v>
      </c>
    </row>
    <row r="52" customFormat="false" ht="15" hidden="false" customHeight="false" outlineLevel="0" collapsed="false">
      <c r="A52" s="43" t="s">
        <v>639</v>
      </c>
      <c r="B52" s="5"/>
      <c r="C52" s="5"/>
      <c r="D52" s="5"/>
      <c r="E52" s="5"/>
      <c r="F52" s="5"/>
      <c r="G52" s="5"/>
      <c r="H52" s="5"/>
    </row>
    <row r="53" customFormat="false" ht="15" hidden="false" customHeight="false" outlineLevel="1" collapsed="false">
      <c r="A53" s="6" t="s">
        <v>640</v>
      </c>
      <c r="C53" s="8" t="n">
        <f aca="false">INDEX(損益與評價!$D$11:$G$11,1,輸入與假設!$C$99)</f>
        <v>26.9010437975</v>
      </c>
    </row>
    <row r="54" customFormat="false" ht="15" hidden="false" customHeight="false" outlineLevel="1" collapsed="false">
      <c r="A54" s="6" t="s">
        <v>641</v>
      </c>
      <c r="C54" s="49" t="n">
        <f aca="false">C53*輸入與假設!$C$98</f>
        <v>161.406262785</v>
      </c>
    </row>
    <row r="55" customFormat="false" ht="15" hidden="false" customHeight="false" outlineLevel="1" collapsed="false">
      <c r="A55" s="6" t="s">
        <v>642</v>
      </c>
      <c r="C55" s="8" t="n">
        <f aca="false">INDEX(收支與融資!$D$68:$G$68,1,輸入與假設!$C$99)-INDEX(收支與融資!$D$40:$G$40,1,輸入與假設!$C$99)</f>
        <v>85.0282285</v>
      </c>
      <c r="I55" s="3"/>
    </row>
    <row r="56" customFormat="false" ht="15" hidden="false" customHeight="false" outlineLevel="1" collapsed="false">
      <c r="A56" s="6" t="s">
        <v>643</v>
      </c>
      <c r="C56" s="74" t="n">
        <f aca="false">INDEX(損益與評價!$D$13:$G$13,1,輸入與假設!$C$99)</f>
        <v>0.711215719277325</v>
      </c>
      <c r="I56" s="3"/>
    </row>
    <row r="57" customFormat="false" ht="15" hidden="false" customHeight="false" outlineLevel="1" collapsed="false">
      <c r="A57" s="6" t="s">
        <v>644</v>
      </c>
      <c r="C57" s="74" t="n">
        <f aca="false">1/(1+輸入與假設!$C$91)^(輸入與假設!$C$99-輸入與假設!$C$109)</f>
        <v>0.770357922045693</v>
      </c>
      <c r="I57" s="3"/>
    </row>
    <row r="58" customFormat="false" ht="15" hidden="false" customHeight="false" outlineLevel="1" collapsed="false">
      <c r="A58" s="16" t="s">
        <v>645</v>
      </c>
      <c r="C58" s="37" t="n">
        <f aca="false">MAX(0,(C54-C55)/C56)*C57</f>
        <v>82.7293635206964</v>
      </c>
      <c r="I58" s="3"/>
    </row>
    <row r="59" customFormat="false" ht="15" hidden="false" customHeight="false" outlineLevel="0" collapsed="false">
      <c r="A59" s="43" t="s">
        <v>646</v>
      </c>
      <c r="B59" s="5"/>
      <c r="C59" s="5"/>
      <c r="D59" s="5"/>
      <c r="E59" s="5"/>
      <c r="F59" s="5"/>
      <c r="G59" s="5"/>
      <c r="H59" s="5"/>
    </row>
    <row r="60" customFormat="false" ht="15" hidden="false" customHeight="false" outlineLevel="1" collapsed="false">
      <c r="A60" s="16" t="s">
        <v>647</v>
      </c>
      <c r="C60" s="11" t="n">
        <f aca="false">C44*(1+輸入與假設!$C$91)^輸入與假設!$C$108</f>
        <v>0</v>
      </c>
      <c r="I60" s="3"/>
    </row>
    <row r="61" customFormat="false" ht="15" hidden="false" customHeight="false" outlineLevel="1" collapsed="false">
      <c r="A61" s="16" t="s">
        <v>648</v>
      </c>
      <c r="C61" s="11" t="n">
        <f aca="false">C60*IF(C47=1,0,輸入與假設!$C$100)</f>
        <v>0</v>
      </c>
    </row>
    <row r="62" customFormat="false" ht="15" hidden="false" customHeight="false" outlineLevel="1" collapsed="false">
      <c r="A62" s="16" t="s">
        <v>649</v>
      </c>
      <c r="C62" s="11" t="n">
        <f aca="false">C58*IF(C47=1,1,1-輸入與假設!$C$100)</f>
        <v>45.501149936383</v>
      </c>
    </row>
    <row r="63" customFormat="false" ht="15" hidden="false" customHeight="false" outlineLevel="1" collapsed="false">
      <c r="A63" s="9" t="s">
        <v>646</v>
      </c>
      <c r="C63" s="75" t="n">
        <f aca="false">SUM(C61:C62)</f>
        <v>45.501149936383</v>
      </c>
      <c r="I63" s="3"/>
    </row>
    <row r="64" customFormat="false" ht="15" hidden="false" customHeight="false" outlineLevel="1" collapsed="false">
      <c r="A64" s="6" t="s">
        <v>650</v>
      </c>
      <c r="C64" s="11" t="n">
        <f aca="false">輸入與假設!$C$88</f>
        <v>90.13</v>
      </c>
    </row>
    <row r="65" customFormat="false" ht="15" hidden="false" customHeight="false" outlineLevel="1" collapsed="false">
      <c r="A65" s="6" t="s">
        <v>651</v>
      </c>
      <c r="C65" s="18" t="n">
        <f aca="false">C63/C64-1</f>
        <v>-0.495160879436558</v>
      </c>
    </row>
    <row r="66" customFormat="false" ht="15" hidden="false" customHeight="false" outlineLevel="1" collapsed="false">
      <c r="A66" s="16" t="s">
        <v>652</v>
      </c>
      <c r="C66" s="6" t="str">
        <f aca="false">IF(C47=1,"DCF 失效，已以 EV/EBITDA 100% 計。",IF(AND(輸入與假設!$C$104&lt;&gt;2,C80&lt;0),"DCF 為 $0 仍計 "&amp;TEXT(輸入與假設!$C$100,"0%")&amp;" 權重的原因：DCF 沒有失效，而是算出的股權價值為負（每股約 −$"&amp;TEXT(ABS(C80),"0.0")&amp;"），代表自由現金流折現後的企業價值不足以償還淨負債。EV/EBITDA 沒有扣除 GPU 汰換與擴張支出，保留 DCF 權重，是為了讓目標價反映「EBITDA 付不起資本成本」。若不計 DCF，目標價為 $"&amp;TEXT(C58,"0.0")&amp;"（"&amp;CHOOSE(D79+2,"賣出","中立","買進")&amp;"）；"&amp;TEXT(輸入與假設!$C$100,"0%")&amp;"／"&amp;TEXT(1-輸入與假設!$C$100,"0%")&amp;" 為判斷值。",""))</f>
        <v>DCF 為 $0 仍計 45% 權重的原因：DCF 沒有失效，而是算出的股權價值為負（每股約 −$9.7），代表自由現金流折現後的企業價值不足以償還淨負債。EV/EBITDA 沒有扣除 GPU 汰換與擴張支出，保留 DCF 權重，是為了讓目標價反映「EBITDA 付不起資本成本」。若不計 DCF，目標價為 $82.7（中立）；45%／55% 為判斷值。</v>
      </c>
      <c r="I66" s="3"/>
    </row>
    <row r="67" customFormat="false" ht="15" hidden="false" customHeight="false" outlineLevel="0" collapsed="false">
      <c r="A67" s="43" t="s">
        <v>653</v>
      </c>
      <c r="B67" s="5"/>
      <c r="C67" s="5"/>
      <c r="D67" s="5"/>
      <c r="E67" s="5"/>
      <c r="F67" s="5"/>
      <c r="G67" s="5"/>
      <c r="H67" s="5"/>
    </row>
    <row r="68" customFormat="false" ht="15" hidden="false" customHeight="false" outlineLevel="1" collapsed="false">
      <c r="A68" s="6" t="s">
        <v>654</v>
      </c>
      <c r="C68" s="11" t="n">
        <f aca="false">C63</f>
        <v>45.501149936383</v>
      </c>
      <c r="I68" s="3" t="str">
        <f aca="false">"評等規則不變：空間 ≥"&amp;IF(ROUND(ABS(輸入與假設!$C$112)*100,4)=INT(ROUND(ABS(輸入與假設!$C$112)*100,4)),TEXT(ROUND(ABS(輸入與假設!$C$112)*100,4),"0"),TEXT(ROUND(ABS(輸入與假設!$C$112)*100,4),"0.0"))&amp;"%"&amp;" 且終值占比 &lt;"&amp;IF(ROUND(ABS(輸入與假設!$C$113)*100,4)=INT(ROUND(ABS(輸入與假設!$C$113)*100,4)),TEXT(ROUND(ABS(輸入與假設!$C$113)*100,4),"0"),TEXT(ROUND(ABS(輸入與假設!$C$113)*100,4),"0.0"))&amp;"%"&amp;"、股權募資 ≤"&amp;IF(輸入與假設!$C$115=INT(輸入與假設!$C$115),TEXT(輸入與假設!$C$115,"0"),TEXT(輸入與假設!$C$115,"0.0"))&amp;" 倍現市值 → 買進；空間 ≤−"&amp;IF(ROUND(ABS(輸入與假設!$C$114)*100,4)=INT(ROUND(ABS(輸入與假設!$C$114)*100,4)),TEXT(ROUND(ABS(輸入與假設!$C$114)*100,4),"0"),TEXT(ROUND(ABS(輸入與假設!$C$114)*100,4),"0.0"))&amp;"%"&amp;"，或股權募資 &gt;"&amp;IF(輸入與假設!$C$115=INT(輸入與假設!$C$115),TEXT(輸入與假設!$C$115,"0"),TEXT(輸入與假設!$C$115,"0.0"))&amp;" 倍且空間 ≤−"&amp;IF(ROUND(ABS(輸入與假設!$C$116)*100,4)=INT(ROUND(ABS(輸入與假設!$C$116)*100,4)),TEXT(ROUND(ABS(輸入與假設!$C$116)*100,4),"0"),TEXT(ROUND(ABS(輸入與假設!$C$116)*100,4),"0.0"))&amp;"%"&amp;"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69" customFormat="false" ht="15" hidden="false" customHeight="false" outlineLevel="1" collapsed="false">
      <c r="A69" s="6" t="s">
        <v>655</v>
      </c>
      <c r="C69" s="12" t="n">
        <f aca="false">C40/MAX(ABS(C41),1)*IF(C41=0,1,SIGN(C41))</f>
        <v>3.88818583833082</v>
      </c>
    </row>
    <row r="70" customFormat="false" ht="15" hidden="false" customHeight="false" outlineLevel="1" collapsed="false">
      <c r="A70" s="6" t="s">
        <v>656</v>
      </c>
      <c r="C70" s="13" t="n">
        <f aca="false">SUM(收支與融資!C59:G59)/(輸入與假設!$C$88*輸入與假設!$C$89)</f>
        <v>0.262845001704695</v>
      </c>
    </row>
    <row r="71" customFormat="false" ht="15" hidden="false" customHeight="false" outlineLevel="1" collapsed="false">
      <c r="A71" s="6" t="s">
        <v>657</v>
      </c>
      <c r="C71" s="7" t="n">
        <f aca="false">IF(AND((C63/MAX(輸入與假設!$C$88,0.01)-1)&gt;=輸入與假設!$C$112,$C$69&lt;輸入與假設!$C$113,$C$70&lt;=輸入與假設!$C$115),1,IF(OR((C63/MAX(輸入與假設!$C$88,0.01)-1)&lt;=輸入與假設!$C$114,AND($C$70&gt;輸入與假設!$C$115,(C63/MAX(輸入與假設!$C$88,0.01)-1)&lt;=輸入與假設!$C$116)),-1,0))</f>
        <v>-1</v>
      </c>
      <c r="D71" s="7" t="str">
        <f aca="false">CHOOSE(C71+2,"賣出","中立","買進")</f>
        <v>賣出</v>
      </c>
    </row>
    <row r="72" customFormat="false" ht="15" hidden="false" customHeight="false" outlineLevel="1" collapsed="false">
      <c r="A72" s="6" t="s">
        <v>658</v>
      </c>
      <c r="C72" s="11" t="n">
        <f aca="false">輸入與假設!$C$88*(1+輸入與假設!$C$114)</f>
        <v>76.6105</v>
      </c>
    </row>
    <row r="73" customFormat="false" ht="15" hidden="false" customHeight="false" outlineLevel="1" collapsed="false">
      <c r="A73" s="6" t="s">
        <v>659</v>
      </c>
      <c r="C73" s="11" t="n">
        <f aca="false">輸入與假設!D134</f>
        <v>69.741656925025</v>
      </c>
      <c r="D73" s="7" t="n">
        <f aca="false">輸入與假設!E134</f>
        <v>-1</v>
      </c>
      <c r="E73" s="11" t="n">
        <f aca="false">C73-$C$72</f>
        <v>-6.86884307497496</v>
      </c>
      <c r="I73" s="3"/>
    </row>
    <row r="74" customFormat="false" ht="15" hidden="false" customHeight="false" outlineLevel="1" collapsed="false">
      <c r="A74" s="6" t="s">
        <v>660</v>
      </c>
      <c r="C74" s="11" t="n">
        <f aca="false">輸入與假設!D135</f>
        <v>45.501149936383</v>
      </c>
      <c r="D74" s="7" t="n">
        <f aca="false">輸入與假設!E135</f>
        <v>-1</v>
      </c>
      <c r="E74" s="11" t="n">
        <f aca="false">C74-$C$72</f>
        <v>-31.109350063617</v>
      </c>
    </row>
    <row r="75" customFormat="false" ht="15" hidden="false" customHeight="false" outlineLevel="1" collapsed="false">
      <c r="A75" s="6" t="s">
        <v>661</v>
      </c>
      <c r="C75" s="11" t="n">
        <f aca="false">輸入與假設!D136</f>
        <v>30.953265648845</v>
      </c>
      <c r="D75" s="7" t="n">
        <f aca="false">輸入與假設!E136</f>
        <v>-1</v>
      </c>
      <c r="E75" s="11" t="n">
        <f aca="false">C75-$C$72</f>
        <v>-45.657234351155</v>
      </c>
    </row>
    <row r="76" customFormat="false" ht="15" hidden="false" customHeight="false" outlineLevel="1" collapsed="false">
      <c r="A76" s="6" t="s">
        <v>662</v>
      </c>
      <c r="C76" s="11" t="n">
        <f aca="false">MIN(C73,C75)</f>
        <v>30.953265648845</v>
      </c>
      <c r="D76" s="11" t="n">
        <f aca="false">MAX(C73,C75)</f>
        <v>69.741656925025</v>
      </c>
    </row>
    <row r="77" customFormat="false" ht="15" hidden="false" customHeight="false" outlineLevel="1" collapsed="false">
      <c r="A77" s="6" t="s">
        <v>663</v>
      </c>
      <c r="C77" s="13" t="n">
        <f aca="false">MIN(輸入與假設!$C$101,輸入與假設!$C$102)</f>
        <v>5</v>
      </c>
      <c r="D77" s="13" t="n">
        <f aca="false">MAX(輸入與假設!$C$101,輸入與假設!$C$102)</f>
        <v>6</v>
      </c>
    </row>
    <row r="78" customFormat="false" ht="15" hidden="false" customHeight="false" outlineLevel="1" collapsed="false">
      <c r="A78" s="6" t="s">
        <v>664</v>
      </c>
      <c r="C78" s="11" t="n">
        <f aca="false">MIN(C60*IF(C47=1,0,輸入與假設!$C$100)+MAX(0,(C53*C77-C55)/C56)*C57*IF(C47=1,1,1-輸入與假設!$C$100),C60*IF(C47=1,0,輸入與假設!$C$100)+MAX(0,(C53*D77-C55)/C56)*C57*IF(C47=1,1,1-輸入與假設!$C$100))</f>
        <v>29.4752278406681</v>
      </c>
      <c r="D78" s="11" t="n">
        <f aca="false">MAX(C60*IF(C47=1,0,輸入與假設!$C$100)+MAX(0,(C53*C77-C55)/C56)*C57*IF(C47=1,1,1-輸入與假設!$C$100),C60*IF(C47=1,0,輸入與假設!$C$100)+MAX(0,(C53*D77-C55)/C56)*C57*IF(C47=1,1,1-輸入與假設!$C$100))</f>
        <v>45.501149936383</v>
      </c>
      <c r="I78" s="3"/>
    </row>
    <row r="79" customFormat="false" ht="15" hidden="false" customHeight="false" outlineLevel="1" collapsed="false">
      <c r="A79" s="6" t="s">
        <v>665</v>
      </c>
      <c r="C79" s="11" t="n">
        <f aca="false">C58</f>
        <v>82.7293635206964</v>
      </c>
      <c r="D79" s="7" t="n">
        <f aca="false">IF(AND((C58/MAX(輸入與假設!$C$88,0.01)-1)&gt;=輸入與假設!$C$112,$C$69&lt;輸入與假設!$C$113,$C$70&lt;=輸入與假設!$C$115),1,IF(OR((C58/MAX(輸入與假設!$C$88,0.01)-1)&lt;=輸入與假設!$C$114,AND($C$70&gt;輸入與假設!$C$115,(C58/MAX(輸入與假設!$C$88,0.01)-1)&lt;=輸入與假設!$C$116)),-1,0))</f>
        <v>0</v>
      </c>
      <c r="E79" s="11" t="str">
        <f aca="false">CHOOSE(D79+2,"賣出","中立","買進")</f>
        <v>中立</v>
      </c>
    </row>
    <row r="80" customFormat="false" ht="15" hidden="false" customHeight="false" outlineLevel="1" collapsed="false">
      <c r="A80" s="6" t="s">
        <v>666</v>
      </c>
      <c r="C80" s="11" t="n">
        <f aca="false">(C43+C45)/C46</f>
        <v>-9.6868885526809</v>
      </c>
    </row>
    <row r="81" customFormat="false" ht="15" hidden="false" customHeight="false" outlineLevel="1" collapsed="false">
      <c r="A81" s="6" t="s">
        <v>667</v>
      </c>
      <c r="C81" s="6" t="str">
        <f aca="false">"目標價 $"&amp;TEXT(C63,"0.0")&amp;"（情境區間 $"&amp;TEXT(C76,"0.0")&amp;"–$"&amp;TEXT(D76,"0.0")&amp;"）"</f>
        <v>目標價 $45.5（情境區間 $31.0–$69.7）</v>
      </c>
    </row>
    <row r="82" customFormat="false" ht="15" hidden="false" customHeight="false" outlineLevel="1" collapsed="false">
      <c r="A82" s="6" t="s">
        <v>668</v>
      </c>
      <c r="C82" s="6" t="str">
        <f aca="false">"方法區間（目前情境，"&amp;IF(C77=INT(C77),TEXT(C77,"0"),TEXT(C77,"0.0"))&amp;"–"&amp;IF(D77=INT(D77),TEXT(D77,"0"),TEXT(D77,"0.0"))&amp;"x）"</f>
        <v>方法區間（目前情境，5–6x）</v>
      </c>
    </row>
    <row r="83" customFormat="false" ht="15" hidden="false" customHeight="false" outlineLevel="1" collapsed="false">
      <c r="A83" s="6" t="s">
        <v>669</v>
      </c>
      <c r="C83" s="6" t="str">
        <f aca="false">IF(ABS(輸入與假設!$C$98-D77)&lt;0.000000001,"目前點位位於方法區間上緣（"&amp;IF(D77=INT(D77),TEXT(D77,"0"),TEXT(D77,"0.0"))&amp;"x 為穩態倍數上緣）",IF(ABS(輸入與假設!$C$98-C77)&lt;0.000000001,"目前點位位於方法區間下緣（"&amp;IF(C77=INT(C77),TEXT(C77,"0"),TEXT(C77,"0.0"))&amp;"x）","目前點位"&amp;IF(AND(輸入與假設!$C$98&gt;C77,輸入與假設!$C$98&lt;D77),"位於方法區間內",IF(輸入與假設!$C$98&gt;D77,"高於方法區間上緣","低於方法區間下緣"))&amp;"（目前倍數 "&amp;IF(輸入與假設!$C$98=INT(輸入與假設!$C$98),TEXT(輸入與假設!$C$98,"0"),TEXT(輸入與假設!$C$98,"0.0"))&amp;"x）"))</f>
        <v>目前點位位於方法區間上緣（6x 為穩態倍數上緣）</v>
      </c>
    </row>
    <row r="84" customFormat="false" ht="15" hidden="false" customHeight="false" outlineLevel="1" collapsed="false">
      <c r="A84" s="9" t="s">
        <v>670</v>
      </c>
      <c r="C84" s="6" t="str">
        <f aca="false">IF(D76&lt;輸入與假設!$C$88,"情境區間上緣 $"&amp;TEXT(D76,"0.0")&amp;" 低於現價 $"&amp;TEXT(輸入與假設!$C$88,"0.00")&amp;IF((D73&lt;&gt;-1)+(D74&lt;&gt;-1)+(D75&lt;&gt;-1)&gt;0,"，但"&amp;SUBSTITUTE(TRIM(IF(D73&lt;&gt;-1,"保守","")&amp;" "&amp;IF(D74&lt;&gt;-1,"基準","")&amp;" "&amp;IF(D75&lt;&gt;-1,"積極",""))," ","、")&amp;"情境未達賣出門檻 $"&amp;TEXT($C$72,"0.0"),"：賣出在三個擴張情境下都成立"),"情境區間上緣 $"&amp;TEXT(D76,"0.0")&amp;" 不低於現價 $"&amp;TEXT(輸入與假設!$C$88,"0.00")&amp;"：賣出並非在三個擴張情境下都成立")&amp;"。"&amp;IF(ABS(E73)&lt;輸入與假設!$C$117*輸入與假設!$C$88,"保守情境 $"&amp;TEXT(C73,"0.0")&amp;"，"&amp;IF(E73&lt;0,"距賣出門檻","高於賣出門檻")&amp;" $"&amp;TEXT($C$72,"0.0")&amp;" 僅 $"&amp;TEXT(ABS(E73),"0.0")&amp;"。","")&amp;IF(ABS(E74)&lt;輸入與假設!$C$117*輸入與假設!$C$88,"基準情境 $"&amp;TEXT(C74,"0.0")&amp;"，"&amp;IF(E74&lt;0,"距賣出門檻","高於賣出門檻")&amp;" $"&amp;TEXT($C$72,"0.0")&amp;" 僅 $"&amp;TEXT(ABS(E74),"0.0")&amp;"。","")&amp;IF(ABS(E75)&lt;輸入與假設!$C$117*輸入與假設!$C$88,"積極情境 $"&amp;TEXT(C75,"0.0")&amp;"，"&amp;IF(E75&lt;0,"距賣出門檻","高於賣出門檻")&amp;" $"&amp;TEXT($C$72,"0.0")&amp;" 僅 $"&amp;TEXT(ABS(E75),"0.0")&amp;"。","")</f>
        <v>情境區間上緣 $69.7 低於現價 $90.13：賣出在三個擴張情境下都成立。</v>
      </c>
    </row>
    <row r="85" customFormat="false" ht="15" hidden="false" customHeight="false" outlineLevel="0" collapsed="false">
      <c r="A85" s="43" t="s">
        <v>671</v>
      </c>
      <c r="B85" s="5"/>
      <c r="C85" s="5"/>
      <c r="D85" s="5"/>
      <c r="E85" s="5"/>
      <c r="F85" s="5"/>
      <c r="G85" s="5"/>
      <c r="H85" s="5"/>
    </row>
    <row r="86" customFormat="false" ht="15" hidden="false" customHeight="false" outlineLevel="1" collapsed="false">
      <c r="A86" s="6" t="s">
        <v>672</v>
      </c>
      <c r="B86" s="76" t="n">
        <v>3.4</v>
      </c>
      <c r="C86" s="11" t="n">
        <f aca="false">MAX(0,(INDEX(損益與評價!$D$11:$G$11,1,1)*$B86-(INDEX(收支與融資!$D$68:$G$68,1,1)-INDEX(收支與融資!$D$40:$G$40,1,1)))/INDEX(損益與評價!$D$13:$G$13,1,1))/(1+輸入與假設!$C$91)^(1-輸入與假設!$C$109)</f>
        <v>0</v>
      </c>
      <c r="D86" s="11" t="n">
        <f aca="false">MAX(0,(INDEX(損益與評價!$D$11:$G$11,1,2)*$B86-(INDEX(收支與融資!$D$68:$G$68,1,2)-INDEX(收支與融資!$D$40:$G$40,1,2)))/INDEX(損益與評價!$D$13:$G$13,1,2))/(1+輸入與假設!$C$91)^(2-輸入與假設!$C$109)</f>
        <v>0</v>
      </c>
      <c r="E86" s="11" t="n">
        <f aca="false">MAX(0,(INDEX(損益與評價!$D$11:$G$11,1,3)*$B86-(INDEX(收支與融資!$D$68:$G$68,1,3)-INDEX(收支與融資!$D$40:$G$40,1,3)))/INDEX(損益與評價!$D$13:$G$13,1,3))/(1+輸入與假設!$C$91)^(3-輸入與假設!$C$109)</f>
        <v>6.9704590682258</v>
      </c>
      <c r="F86" s="11" t="n">
        <f aca="false">MAX(0,(INDEX(損益與評價!$D$11:$G$11,1,4)*$B86-(INDEX(收支與融資!$D$68:$G$68,1,4)-INDEX(收支與融資!$D$40:$G$40,1,4)))/INDEX(損益與評價!$D$13:$G$13,1,4))/(1+輸入與假設!$C$91)^(4-輸入與假設!$C$109)</f>
        <v>9.27163881291326</v>
      </c>
    </row>
    <row r="87" customFormat="false" ht="15" hidden="false" customHeight="false" outlineLevel="1" collapsed="false">
      <c r="A87" s="6" t="s">
        <v>673</v>
      </c>
      <c r="B87" s="76" t="n">
        <v>4.5</v>
      </c>
      <c r="C87" s="11" t="n">
        <f aca="false">MAX(0,(INDEX(損益與評價!$D$11:$G$11,1,1)*$B87-(INDEX(收支與融資!$D$68:$G$68,1,1)-INDEX(收支與融資!$D$40:$G$40,1,1)))/INDEX(損益與評價!$D$13:$G$13,1,1))/(1+輸入與假設!$C$91)^(1-輸入與假設!$C$109)</f>
        <v>0</v>
      </c>
      <c r="D87" s="11" t="n">
        <f aca="false">MAX(0,(INDEX(損益與評價!$D$11:$G$11,1,2)*$B87-(INDEX(收支與融資!$D$68:$G$68,1,2)-INDEX(收支與融資!$D$40:$G$40,1,2)))/INDEX(損益與評價!$D$13:$G$13,1,2))/(1+輸入與假設!$C$91)^(2-輸入與假設!$C$109)</f>
        <v>25.7011839790362</v>
      </c>
      <c r="E87" s="11" t="n">
        <f aca="false">MAX(0,(INDEX(損益與評價!$D$11:$G$11,1,3)*$B87-(INDEX(收支與融資!$D$68:$G$68,1,3)-INDEX(收支與融資!$D$40:$G$40,1,3)))/INDEX(損益與評價!$D$13:$G$13,1,3))/(1+輸入與假設!$C$91)^(3-輸入與假設!$C$109)</f>
        <v>39.0223032596557</v>
      </c>
      <c r="F87" s="11" t="n">
        <f aca="false">MAX(0,(INDEX(損益與評價!$D$11:$G$11,1,4)*$B87-(INDEX(收支與融資!$D$68:$G$68,1,4)-INDEX(收支與融資!$D$40:$G$40,1,4)))/INDEX(損益與評價!$D$13:$G$13,1,4))/(1+輸入與假設!$C$91)^(4-輸入與假設!$C$109)</f>
        <v>37.8129573179582</v>
      </c>
    </row>
    <row r="88" customFormat="false" ht="15" hidden="false" customHeight="false" outlineLevel="1" collapsed="false">
      <c r="A88" s="6" t="s">
        <v>674</v>
      </c>
      <c r="B88" s="76" t="n">
        <v>5</v>
      </c>
      <c r="C88" s="11" t="n">
        <f aca="false">MAX(0,(INDEX(損益與評價!$D$11:$G$11,1,1)*$B88-(INDEX(收支與融資!$D$68:$G$68,1,1)-INDEX(收支與融資!$D$40:$G$40,1,1)))/INDEX(損益與評價!$D$13:$G$13,1,1))/(1+輸入與假設!$C$91)^(1-輸入與假設!$C$109)</f>
        <v>11.4473865190681</v>
      </c>
      <c r="D88" s="11" t="n">
        <f aca="false">MAX(0,(INDEX(損益與評價!$D$11:$G$11,1,2)*$B88-(INDEX(收支與融資!$D$68:$G$68,1,2)-INDEX(收支與融資!$D$40:$G$40,1,2)))/INDEX(損益與評價!$D$13:$G$13,1,2))/(1+輸入與假設!$C$91)^(2-輸入與假設!$C$109)</f>
        <v>41.9342428745098</v>
      </c>
      <c r="E88" s="11" t="n">
        <f aca="false">MAX(0,(INDEX(損益與評價!$D$11:$G$11,1,3)*$B88-(INDEX(收支與融資!$D$68:$G$68,1,3)-INDEX(收支與融資!$D$40:$G$40,1,3)))/INDEX(損益與評價!$D$13:$G$13,1,3))/(1+輸入與假設!$C$91)^(3-輸入與假設!$C$109)</f>
        <v>53.5913233466692</v>
      </c>
      <c r="F88" s="11" t="n">
        <f aca="false">MAX(0,(INDEX(損益與評價!$D$11:$G$11,1,4)*$B88-(INDEX(收支與融資!$D$68:$G$68,1,4)-INDEX(收支與融資!$D$40:$G$40,1,4)))/INDEX(損益與評價!$D$13:$G$13,1,4))/(1+輸入與假設!$C$91)^(4-輸入與假設!$C$109)</f>
        <v>50.7862839111604</v>
      </c>
    </row>
    <row r="89" customFormat="false" ht="15" hidden="false" customHeight="false" outlineLevel="1" collapsed="false">
      <c r="A89" s="6" t="s">
        <v>675</v>
      </c>
      <c r="B89" s="76" t="n">
        <v>6</v>
      </c>
      <c r="C89" s="11" t="n">
        <f aca="false">MAX(0,(INDEX(損益與評價!$D$11:$G$11,1,1)*$B89-(INDEX(收支與融資!$D$68:$G$68,1,1)-INDEX(收支與融資!$D$40:$G$40,1,1)))/INDEX(損益與評價!$D$13:$G$13,1,1))/(1+輸入與假設!$C$91)^(1-輸入與假設!$C$109)</f>
        <v>36.7538971336787</v>
      </c>
      <c r="D89" s="11" t="n">
        <f aca="false">MAX(0,(INDEX(損益與評價!$D$11:$G$11,1,2)*$B89-(INDEX(收支與融資!$D$68:$G$68,1,2)-INDEX(收支與融資!$D$40:$G$40,1,2)))/INDEX(損益與評價!$D$13:$G$13,1,2))/(1+輸入與假設!$C$91)^(2-輸入與假設!$C$109)</f>
        <v>74.4003606654569</v>
      </c>
      <c r="E89" s="11" t="n">
        <f aca="false">MAX(0,(INDEX(損益與評價!$D$11:$G$11,1,3)*$B89-(INDEX(收支與融資!$D$68:$G$68,1,3)-INDEX(收支與融資!$D$40:$G$40,1,3)))/INDEX(損益與評價!$D$13:$G$13,1,3))/(1+輸入與假設!$C$91)^(3-輸入與假設!$C$109)</f>
        <v>82.7293635206964</v>
      </c>
      <c r="F89" s="11" t="n">
        <f aca="false">MAX(0,(INDEX(損益與評價!$D$11:$G$11,1,4)*$B89-(INDEX(收支與融資!$D$68:$G$68,1,4)-INDEX(收支與融資!$D$40:$G$40,1,4)))/INDEX(損益與評價!$D$13:$G$13,1,4))/(1+輸入與假設!$C$91)^(4-輸入與假設!$C$109)</f>
        <v>76.7329370975649</v>
      </c>
    </row>
    <row r="90" customFormat="false" ht="15" hidden="false" customHeight="false" outlineLevel="1" collapsed="false">
      <c r="A90" s="6" t="s">
        <v>676</v>
      </c>
      <c r="B90" s="76" t="n">
        <v>7</v>
      </c>
      <c r="C90" s="11" t="n">
        <f aca="false">MAX(0,(INDEX(損益與評價!$D$11:$G$11,1,1)*$B90-(INDEX(收支與融資!$D$68:$G$68,1,1)-INDEX(收支與融資!$D$40:$G$40,1,1)))/INDEX(損益與評價!$D$13:$G$13,1,1))/(1+輸入與假設!$C$91)^(1-輸入與假設!$C$109)</f>
        <v>62.0604077482892</v>
      </c>
      <c r="D90" s="11" t="n">
        <f aca="false">MAX(0,(INDEX(損益與評價!$D$11:$G$11,1,2)*$B90-(INDEX(收支與融資!$D$68:$G$68,1,2)-INDEX(收支與融資!$D$40:$G$40,1,2)))/INDEX(損益與評價!$D$13:$G$13,1,2))/(1+輸入與假設!$C$91)^(2-輸入與假設!$C$109)</f>
        <v>106.866478456404</v>
      </c>
      <c r="E90" s="11" t="n">
        <f aca="false">MAX(0,(INDEX(損益與評價!$D$11:$G$11,1,3)*$B90-(INDEX(收支與融資!$D$68:$G$68,1,3)-INDEX(收支與融資!$D$40:$G$40,1,3)))/INDEX(損益與評價!$D$13:$G$13,1,3))/(1+輸入與假設!$C$91)^(3-輸入與假設!$C$109)</f>
        <v>111.867403694723</v>
      </c>
      <c r="F90" s="11" t="n">
        <f aca="false">MAX(0,(INDEX(損益與評價!$D$11:$G$11,1,4)*$B90-(INDEX(收支與融資!$D$68:$G$68,1,4)-INDEX(收支與融資!$D$40:$G$40,1,4)))/INDEX(損益與評價!$D$13:$G$13,1,4))/(1+輸入與假設!$C$91)^(4-輸入與假設!$C$109)</f>
        <v>102.679590283969</v>
      </c>
    </row>
    <row r="91" customFormat="false" ht="15" hidden="false" customHeight="false" outlineLevel="1" collapsed="false">
      <c r="A91" s="6" t="s">
        <v>677</v>
      </c>
      <c r="B91" s="76" t="n">
        <v>3.4</v>
      </c>
      <c r="C91" s="11" t="n">
        <f aca="false">C60*IF(C47=1,0,輸入與假設!$C$100)+C86*IF(C47=1,1,1-輸入與假設!$C$100)</f>
        <v>0</v>
      </c>
      <c r="D91" s="11" t="n">
        <f aca="false">C60*IF(C47=1,0,輸入與假設!$C$100)+D86*IF(C47=1,1,1-輸入與假設!$C$100)</f>
        <v>0</v>
      </c>
      <c r="E91" s="11" t="n">
        <f aca="false">C60*IF(C47=1,0,輸入與假設!$C$100)+E86*IF(C47=1,1,1-輸入與假設!$C$100)</f>
        <v>3.83375248752419</v>
      </c>
      <c r="F91" s="11" t="n">
        <f aca="false">C60*IF(C47=1,0,輸入與假設!$C$100)+F86*IF(C47=1,1,1-輸入與假設!$C$100)</f>
        <v>5.09940134710229</v>
      </c>
    </row>
    <row r="92" customFormat="false" ht="15" hidden="false" customHeight="false" outlineLevel="1" collapsed="false">
      <c r="A92" s="6" t="s">
        <v>678</v>
      </c>
      <c r="B92" s="76" t="n">
        <v>4.5</v>
      </c>
      <c r="C92" s="11" t="n">
        <f aca="false">C60*IF(C47=1,0,輸入與假設!$C$100)+C87*IF(C47=1,1,1-輸入與假設!$C$100)</f>
        <v>0</v>
      </c>
      <c r="D92" s="11" t="n">
        <f aca="false">C60*IF(C47=1,0,輸入與假設!$C$100)+D87*IF(C47=1,1,1-輸入與假設!$C$100)</f>
        <v>14.1356511884699</v>
      </c>
      <c r="E92" s="11" t="n">
        <f aca="false">C60*IF(C47=1,0,輸入與假設!$C$100)+E87*IF(C47=1,1,1-輸入與假設!$C$100)</f>
        <v>21.4622667928106</v>
      </c>
      <c r="F92" s="11" t="n">
        <f aca="false">C60*IF(C47=1,0,輸入與假設!$C$100)+F87*IF(C47=1,1,1-輸入與假設!$C$100)</f>
        <v>20.797126524877</v>
      </c>
    </row>
    <row r="93" customFormat="false" ht="15" hidden="false" customHeight="false" outlineLevel="1" collapsed="false">
      <c r="A93" s="6" t="s">
        <v>679</v>
      </c>
      <c r="B93" s="76" t="n">
        <v>5</v>
      </c>
      <c r="C93" s="11" t="n">
        <f aca="false">C60*IF(C47=1,0,輸入與假設!$C$100)+C88*IF(C47=1,1,1-輸入與假設!$C$100)</f>
        <v>6.29606258548746</v>
      </c>
      <c r="D93" s="11" t="n">
        <f aca="false">C60*IF(C47=1,0,輸入與假設!$C$100)+D88*IF(C47=1,1,1-輸入與假設!$C$100)</f>
        <v>23.0638335809804</v>
      </c>
      <c r="E93" s="11" t="n">
        <f aca="false">C60*IF(C47=1,0,輸入與假設!$C$100)+E88*IF(C47=1,1,1-輸入與假設!$C$100)</f>
        <v>29.4752278406681</v>
      </c>
      <c r="F93" s="11" t="n">
        <f aca="false">C60*IF(C47=1,0,輸入與假設!$C$100)+F88*IF(C47=1,1,1-輸入與假設!$C$100)</f>
        <v>27.9324561511382</v>
      </c>
    </row>
    <row r="94" customFormat="false" ht="15" hidden="false" customHeight="false" outlineLevel="1" collapsed="false">
      <c r="A94" s="6" t="s">
        <v>680</v>
      </c>
      <c r="B94" s="76" t="n">
        <v>6</v>
      </c>
      <c r="C94" s="11" t="n">
        <f aca="false">C60*IF(C47=1,0,輸入與假設!$C$100)+C89*IF(C47=1,1,1-輸入與假設!$C$100)</f>
        <v>20.2146434235233</v>
      </c>
      <c r="D94" s="11" t="n">
        <f aca="false">C60*IF(C47=1,0,輸入與假設!$C$100)+D89*IF(C47=1,1,1-輸入與假設!$C$100)</f>
        <v>40.9201983660013</v>
      </c>
      <c r="E94" s="11" t="n">
        <f aca="false">C60*IF(C47=1,0,輸入與假設!$C$100)+E89*IF(C47=1,1,1-輸入與假設!$C$100)</f>
        <v>45.501149936383</v>
      </c>
      <c r="F94" s="11" t="n">
        <f aca="false">C60*IF(C47=1,0,輸入與假設!$C$100)+F89*IF(C47=1,1,1-輸入與假設!$C$100)</f>
        <v>42.2031154036607</v>
      </c>
    </row>
    <row r="95" customFormat="false" ht="15" hidden="false" customHeight="false" outlineLevel="1" collapsed="false">
      <c r="A95" s="6" t="s">
        <v>681</v>
      </c>
      <c r="B95" s="76" t="n">
        <v>7</v>
      </c>
      <c r="C95" s="11" t="n">
        <f aca="false">C60*IF(C47=1,0,輸入與假設!$C$100)+C90*IF(C47=1,1,1-輸入與假設!$C$100)</f>
        <v>34.1332242615591</v>
      </c>
      <c r="D95" s="11" t="n">
        <f aca="false">C60*IF(C47=1,0,輸入與假設!$C$100)+D90*IF(C47=1,1,1-輸入與假設!$C$100)</f>
        <v>58.7765631510222</v>
      </c>
      <c r="E95" s="11" t="n">
        <f aca="false">C60*IF(C47=1,0,輸入與假設!$C$100)+E90*IF(C47=1,1,1-輸入與假設!$C$100)</f>
        <v>61.5270720320979</v>
      </c>
      <c r="F95" s="11" t="n">
        <f aca="false">C60*IF(C47=1,0,輸入與假設!$C$100)+F90*IF(C47=1,1,1-輸入與假設!$C$100)</f>
        <v>56.4737746561831</v>
      </c>
    </row>
    <row r="96" customFormat="false" ht="15" hidden="false" customHeight="false" outlineLevel="0" collapsed="false">
      <c r="A96" s="43" t="s">
        <v>682</v>
      </c>
      <c r="B96" s="5"/>
      <c r="C96" s="5"/>
      <c r="D96" s="5"/>
      <c r="E96" s="5"/>
      <c r="F96" s="5"/>
      <c r="G96" s="5"/>
      <c r="H96" s="5"/>
    </row>
    <row r="97" customFormat="false" ht="15" hidden="false" customHeight="false" outlineLevel="1" collapsed="false">
      <c r="A97" s="6" t="s">
        <v>683</v>
      </c>
      <c r="B97" s="10" t="s">
        <v>50</v>
      </c>
      <c r="C97" s="77" t="n">
        <v>6.4</v>
      </c>
      <c r="D97" s="77" t="n">
        <v>7.95</v>
      </c>
      <c r="E97" s="77" t="n">
        <v>8.7</v>
      </c>
      <c r="I97" s="3"/>
    </row>
    <row r="98" customFormat="false" ht="15" hidden="false" customHeight="false" outlineLevel="1" collapsed="false">
      <c r="A98" s="6" t="s">
        <v>684</v>
      </c>
      <c r="B98" s="10" t="s">
        <v>50</v>
      </c>
      <c r="C98" s="77" t="n">
        <v>7.171916</v>
      </c>
      <c r="D98" s="77" t="n">
        <v>8.784791</v>
      </c>
      <c r="E98" s="77" t="n">
        <v>9.457791</v>
      </c>
      <c r="I98" s="3"/>
    </row>
    <row r="99" customFormat="false" ht="15" hidden="false" customHeight="false" outlineLevel="1" collapsed="false">
      <c r="A99" s="6" t="s">
        <v>685</v>
      </c>
      <c r="B99" s="10" t="s">
        <v>50</v>
      </c>
      <c r="C99" s="78" t="n">
        <f aca="false">摘要!C48</f>
        <v>6.19241327927366</v>
      </c>
      <c r="I99" s="3"/>
    </row>
    <row r="100" customFormat="false" ht="15" hidden="false" customHeight="false" outlineLevel="1" collapsed="false">
      <c r="A100" s="6" t="s">
        <v>686</v>
      </c>
      <c r="B100" s="10" t="s">
        <v>50</v>
      </c>
      <c r="C100" s="77" t="n">
        <f aca="false">(輸入與假設!$C$138*輸入與假設!$C$89+摘要!E30)/摘要!E20</f>
        <v>7.34396760062641</v>
      </c>
      <c r="I100" s="3"/>
    </row>
    <row r="101" customFormat="false" ht="15" hidden="false" customHeight="false" outlineLevel="1" collapsed="false">
      <c r="A101" s="6" t="s">
        <v>687</v>
      </c>
      <c r="B101" s="10" t="s">
        <v>50</v>
      </c>
      <c r="C101" s="77" t="n">
        <v>7.020594</v>
      </c>
      <c r="D101" s="77" t="n">
        <v>7.343968</v>
      </c>
      <c r="E101" s="77" t="n">
        <v>7.838611</v>
      </c>
      <c r="I101" s="3"/>
    </row>
    <row r="102" customFormat="false" ht="15" hidden="false" customHeight="false" outlineLevel="1" collapsed="false">
      <c r="A102" s="6" t="s">
        <v>688</v>
      </c>
      <c r="B102" s="10" t="s">
        <v>8</v>
      </c>
      <c r="C102" s="79" t="n">
        <v>0.1025</v>
      </c>
      <c r="D102" s="79" t="n">
        <v>0.0745</v>
      </c>
      <c r="E102" s="79" t="n">
        <v>0.056</v>
      </c>
      <c r="I102" s="3"/>
    </row>
    <row r="103" customFormat="false" ht="15" hidden="false" customHeight="false" outlineLevel="1" collapsed="false">
      <c r="A103" s="6" t="s">
        <v>689</v>
      </c>
      <c r="B103" s="3"/>
      <c r="C103" s="80" t="s">
        <v>690</v>
      </c>
      <c r="D103" s="80" t="s">
        <v>690</v>
      </c>
      <c r="E103" s="80" t="s">
        <v>690</v>
      </c>
    </row>
    <row r="104" customFormat="false" ht="15" hidden="false" customHeight="false" outlineLevel="1" collapsed="false">
      <c r="A104" s="6" t="s">
        <v>691</v>
      </c>
      <c r="B104" s="10" t="s">
        <v>5</v>
      </c>
      <c r="C104" s="11" t="n">
        <v>-25.330839</v>
      </c>
      <c r="D104" s="11" t="n">
        <v>-12.046161</v>
      </c>
      <c r="E104" s="11" t="n">
        <v>-12.076642</v>
      </c>
    </row>
    <row r="105" customFormat="false" ht="15" hidden="false" customHeight="false" outlineLevel="1" collapsed="false">
      <c r="A105" s="6" t="s">
        <v>692</v>
      </c>
      <c r="B105" s="10" t="s">
        <v>5</v>
      </c>
      <c r="C105" s="11" t="n">
        <v>28.259058</v>
      </c>
      <c r="D105" s="11" t="n">
        <v>18.712467</v>
      </c>
      <c r="E105" s="11" t="n">
        <v>13.899896</v>
      </c>
    </row>
    <row r="106" customFormat="false" ht="15" hidden="false" customHeight="false" outlineLevel="1" collapsed="false">
      <c r="A106" s="6" t="s">
        <v>693</v>
      </c>
      <c r="B106" s="3"/>
      <c r="C106" s="80" t="s">
        <v>694</v>
      </c>
      <c r="D106" s="80" t="s">
        <v>694</v>
      </c>
      <c r="E106" s="80" t="s">
        <v>132</v>
      </c>
    </row>
    <row r="107" customFormat="false" ht="15" hidden="false" customHeight="false" outlineLevel="1" collapsed="false">
      <c r="A107" s="6" t="s">
        <v>695</v>
      </c>
      <c r="B107" s="10" t="s">
        <v>5</v>
      </c>
      <c r="C107" s="11" t="n">
        <v>-22.430151</v>
      </c>
      <c r="D107" s="11" t="n">
        <v>-9.877397</v>
      </c>
      <c r="E107" s="11" t="n">
        <v>10.973962</v>
      </c>
    </row>
    <row r="108" customFormat="false" ht="15" hidden="false" customHeight="false" outlineLevel="1" collapsed="false">
      <c r="A108" s="6" t="s">
        <v>696</v>
      </c>
      <c r="B108" s="10" t="s">
        <v>5</v>
      </c>
      <c r="C108" s="11" t="n">
        <v>26.746572</v>
      </c>
      <c r="D108" s="11" t="n">
        <v>18.478944</v>
      </c>
      <c r="E108" s="11" t="n">
        <v>-10.428544</v>
      </c>
    </row>
    <row r="109" customFormat="false" ht="15" hidden="false" customHeight="false" outlineLevel="1" collapsed="false">
      <c r="A109" s="6" t="s">
        <v>697</v>
      </c>
      <c r="B109" s="3"/>
      <c r="C109" s="80" t="s">
        <v>132</v>
      </c>
      <c r="D109" s="80" t="s">
        <v>132</v>
      </c>
      <c r="E109" s="80" t="s">
        <v>694</v>
      </c>
    </row>
    <row r="110" customFormat="false" ht="15" hidden="false" customHeight="false" outlineLevel="1" collapsed="false">
      <c r="A110" s="6" t="s">
        <v>698</v>
      </c>
      <c r="B110" s="10" t="s">
        <v>5</v>
      </c>
      <c r="C110" s="11" t="n">
        <v>18.482927</v>
      </c>
      <c r="D110" s="11" t="n">
        <v>12.714843</v>
      </c>
      <c r="E110" s="11" t="n">
        <v>-9.924326</v>
      </c>
    </row>
    <row r="111" customFormat="false" ht="15" hidden="false" customHeight="false" outlineLevel="1" collapsed="false">
      <c r="A111" s="6" t="s">
        <v>699</v>
      </c>
      <c r="B111" s="10" t="s">
        <v>5</v>
      </c>
      <c r="C111" s="11" t="n">
        <v>-20.420848</v>
      </c>
      <c r="D111" s="11" t="n">
        <v>-9.442564</v>
      </c>
      <c r="E111" s="11" t="n">
        <v>10.469512</v>
      </c>
    </row>
    <row r="112" customFormat="false" ht="15" hidden="false" customHeight="false" outlineLevel="1" collapsed="false">
      <c r="A112" s="6" t="s">
        <v>700</v>
      </c>
      <c r="B112" s="3"/>
      <c r="C112" s="81" t="n">
        <v>4</v>
      </c>
      <c r="D112" s="81" t="n">
        <v>4</v>
      </c>
      <c r="E112" s="81" t="n">
        <v>6</v>
      </c>
      <c r="I112" s="10"/>
    </row>
    <row r="113" customFormat="false" ht="15" hidden="false" customHeight="false" outlineLevel="1" collapsed="false">
      <c r="A113" s="6" t="s">
        <v>701</v>
      </c>
      <c r="B113" s="10" t="s">
        <v>5</v>
      </c>
      <c r="C113" s="11" t="n">
        <v>-18.194434</v>
      </c>
      <c r="D113" s="11" t="n">
        <v>-5.733007</v>
      </c>
      <c r="E113" s="11" t="n">
        <v>-4.295071</v>
      </c>
    </row>
    <row r="114" customFormat="false" ht="15" hidden="false" customHeight="false" outlineLevel="1" collapsed="false">
      <c r="A114" s="6" t="s">
        <v>702</v>
      </c>
      <c r="B114" s="10" t="s">
        <v>5</v>
      </c>
      <c r="C114" s="11" t="n">
        <v>17.972688</v>
      </c>
      <c r="D114" s="11" t="n">
        <v>10.054663</v>
      </c>
      <c r="E114" s="11" t="n">
        <v>1.881683</v>
      </c>
    </row>
    <row r="115" customFormat="false" ht="15" hidden="false" customHeight="false" outlineLevel="1" collapsed="false">
      <c r="A115" s="6" t="s">
        <v>703</v>
      </c>
      <c r="B115" s="10" t="s">
        <v>5</v>
      </c>
      <c r="C115" s="11" t="n">
        <v>69.741657</v>
      </c>
      <c r="D115" s="11" t="n">
        <v>45.50115</v>
      </c>
      <c r="E115" s="11" t="n">
        <v>30.953266</v>
      </c>
    </row>
    <row r="116" customFormat="false" ht="15" hidden="false" customHeight="false" outlineLevel="1" collapsed="false">
      <c r="A116" s="6" t="s">
        <v>704</v>
      </c>
      <c r="B116" s="10" t="s">
        <v>5</v>
      </c>
      <c r="C116" s="11" t="n">
        <f aca="false">輸入與假設!D134</f>
        <v>69.741656925025</v>
      </c>
      <c r="D116" s="11" t="n">
        <f aca="false">輸入與假設!D135</f>
        <v>45.501149936383</v>
      </c>
      <c r="E116" s="11" t="n">
        <f aca="false">輸入與假設!D136</f>
        <v>30.953265648845</v>
      </c>
    </row>
    <row r="117" customFormat="false" ht="15" hidden="false" customHeight="false" outlineLevel="1" collapsed="false">
      <c r="A117" s="6" t="s">
        <v>705</v>
      </c>
      <c r="C117" s="9" t="str">
        <f aca="false">IF(MAX(ABS(C115-C116),ABS(D115-D116),ABS(E115-E116))&lt;0.005,"快照與目前輸入一致","快照已過期：輸入已變動，本段數字需重新建置")</f>
        <v>快照與目前輸入一致</v>
      </c>
    </row>
    <row r="118" customFormat="false" ht="15" hidden="false" customHeight="false" outlineLevel="1" collapsed="false">
      <c r="A118" s="9" t="s">
        <v>706</v>
      </c>
      <c r="C118" s="6" t="str">
        <f aca="false">"評等離開賣出所需倍數（現 "&amp;TEXT(輸入與假設!$C$98,"0.0")&amp;"x）："&amp;"保守 "&amp;IF(ISNUMBER(C97),TEXT(C97,"0.0#")&amp;"x","不適用")&amp;"／"&amp;"基準 "&amp;IF(ISNUMBER(D97),TEXT(D97,"0.0#")&amp;"x","不適用")&amp;"／"&amp;"積極 "&amp;IF(ISNUMBER(E97),TEXT(E97,"0.0#")&amp;"x","不適用")&amp;"；加權目標價等於現價所需："&amp;"保守 "&amp;IF(ISNUMBER(C98),TEXT(C98,"0.0")&amp;"x","不適用")&amp;"／"&amp;"基準 "&amp;IF(ISNUMBER(D98),TEXT(D98,"0.0")&amp;"x","不適用")&amp;"／"&amp;"積極 "&amp;IF(ISNUMBER(E98),TEXT(E98,"0.0")&amp;"x","不適用")&amp;"（同一算法：模型 FY29 錨定、扣屆時淨負債、折回目標價時點、含 DCF 法）。"</f>
        <v>評等離開賣出所需倍數（現 6.0x）：保守 6.4x／基準 7.95x／積極 8.7x；加權目標價等於現價所需：保守 7.2x／基準 8.8x／積極 9.5x（同一算法：模型 FY29 錨定、扣屆時淨負債、折回目標價時點、含 DCF 法）。</v>
      </c>
    </row>
    <row r="119" customFormat="false" ht="15" hidden="false" customHeight="false" outlineLevel="1" collapsed="false">
      <c r="A119" s="9" t="s">
        <v>707</v>
      </c>
      <c r="C119" s="6" t="str">
        <f aca="false">"對照（算法不同，不與上一句比較）：共識平均目標價隱含 "&amp;TEXT(C99,"0.0")&amp;"x（共識 FY28 數字）；同一公式換成模型 FY28 數字："&amp;"保守 "&amp;IF(ISNUMBER(C101),TEXT(C101,"0.0")&amp;"x","不適用")&amp;"／"&amp;"基準 "&amp;IF(ISNUMBER(D101),TEXT(D101,"0.0")&amp;"x","不適用")&amp;"／"&amp;"積極 "&amp;IF(ISNUMBER(E101),TEXT(E101,"0.0")&amp;"x","不適用")&amp;"。"</f>
        <v>對照（算法不同，不與上一句比較）：共識平均目標價隱含 6.2x（共識 FY28 數字）；同一公式換成模型 FY28 數字：保守 7.0x／基準 7.3x／積極 7.8x。</v>
      </c>
    </row>
    <row r="120" customFormat="false" ht="15" hidden="false" customHeight="false" outlineLevel="1" collapsed="false">
      <c r="A120" s="9" t="s">
        <v>708</v>
      </c>
      <c r="C120" s="6" t="str">
        <f aca="false">"翻轉為非賣出所需 WACC（現 "&amp;TEXT(輸入與假設!$C$91,"0.0%")&amp;"）："&amp;"保守 "&amp;IF(ISNUMBER(C102),TEXT(C102,"0.00%")&amp;"","不適用")&amp;"／"&amp;"基準 "&amp;IF(ISNUMBER(D102),TEXT(D102,"0.00%")&amp;"","不適用")&amp;"／"&amp;"積極 "&amp;IF(ISNUMBER(E102),TEXT(E102,"0.00%")&amp;"","不適用")&amp;"。"</f>
        <v>翻轉為非賣出所需 WACC（現 11.0%）：保守 10.25%／基準 7.45%／積極 5.60%。</v>
      </c>
    </row>
    <row r="121" customFormat="false" ht="15" hidden="false" customHeight="false" outlineLevel="1" collapsed="false">
      <c r="A121" s="9" t="s">
        <v>709</v>
      </c>
      <c r="C121" s="6" t="str">
        <f aca="false">"目標價最敏感的 3 項（假設下調／上調時目標價的變動；±10% 為彈性，非可能性（GPU 經濟壽命為 ±1 年））："&amp;CHOOSE(輸入與假設!$C$5,C103,D103,E103)&amp;" "&amp;TEXT(CHOOSE(輸入與假設!$C$5,C104,D104,E104),"+$0.0;-$0.0")&amp;"／"&amp;TEXT(CHOOSE(輸入與假設!$C$5,C105,D105,E105),"+$0.0;-$0.0")&amp;"；"&amp;CHOOSE(輸入與假設!$C$5,C106,D106,E106)&amp;" "&amp;TEXT(CHOOSE(輸入與假設!$C$5,C107,D107,E107),"+$0.0;-$0.0")&amp;"／"&amp;TEXT(CHOOSE(輸入與假設!$C$5,C108,D108,E108),"+$0.0;-$0.0")&amp;"；"&amp;CHOOSE(輸入與假設!$C$5,C109,D109,E109)&amp;" "&amp;TEXT(CHOOSE(輸入與假設!$C$5,C110,D110,E110),"+$0.0;-$0.0")&amp;"／"&amp;TEXT(CHOOSE(輸入與假設!$C$5,C111,D111,E111),"+$0.0;-$0.0")&amp;"；固定列示 GPU 經濟壽命（第 "&amp;CHOOSE(輸入與假設!$C$5,C112,D112,E112)&amp;" 名）"&amp;TEXT(CHOOSE(輸入與假設!$C$5,C113,D113,E113),"+$0.0;-$0.0")&amp;"／"&amp;TEXT(CHOOSE(輸入與假設!$C$5,C114,D114,E114),"+$0.0;-$0.0")&amp;"。"</f>
        <v>目標價最敏感的 3 項（假設下調／上調時目標價的變動；±10% 為彈性，非可能性（GPU 經濟壽命為 ±1 年））：每 MW 年收入（含利用率） -$12.0／+$18.7；穩態 EBITDA 率 -$9.9／+$18.5；每 MW 建置成本 +$12.7／-$9.4；固定列示 GPU 經濟壽命（第 4 名）-$5.7／+$10.1。</v>
      </c>
    </row>
    <row r="123" customFormat="false" ht="19.4" hidden="false" customHeight="false" outlineLevel="0" collapsed="false">
      <c r="A123" s="2" t="s">
        <v>710</v>
      </c>
    </row>
    <row r="124" customFormat="false" ht="15" hidden="false" customHeight="false" outlineLevel="0" collapsed="false">
      <c r="A124" s="3" t="s">
        <v>711</v>
      </c>
    </row>
    <row r="126" customFormat="false" ht="15" hidden="false" customHeight="false" outlineLevel="0" collapsed="false">
      <c r="A126" s="43" t="s">
        <v>712</v>
      </c>
      <c r="B126" s="5"/>
      <c r="C126" s="5"/>
      <c r="D126" s="5"/>
      <c r="E126" s="5"/>
      <c r="F126" s="5"/>
      <c r="G126" s="5"/>
    </row>
    <row r="127" customFormat="false" ht="15" hidden="false" customHeight="false" outlineLevel="0" collapsed="false">
      <c r="A127" s="43" t="s">
        <v>713</v>
      </c>
      <c r="B127" s="5"/>
      <c r="C127" s="5"/>
      <c r="D127" s="5"/>
      <c r="E127" s="5"/>
      <c r="F127" s="5"/>
      <c r="G127" s="5"/>
    </row>
    <row r="128" customFormat="false" ht="15" hidden="false" customHeight="false" outlineLevel="0" collapsed="false">
      <c r="A128" s="43" t="s">
        <v>714</v>
      </c>
      <c r="B128" s="5"/>
      <c r="C128" s="5"/>
      <c r="D128" s="5"/>
      <c r="E128" s="5"/>
      <c r="F128" s="5"/>
      <c r="G128" s="5"/>
    </row>
    <row r="129" customFormat="false" ht="15" hidden="false" customHeight="false" outlineLevel="0" collapsed="false">
      <c r="A129" s="16" t="s">
        <v>715</v>
      </c>
      <c r="B129" s="82" t="n">
        <v>10.5</v>
      </c>
      <c r="C129" s="82" t="n">
        <v>14.0989</v>
      </c>
      <c r="D129" s="57" t="n">
        <v>0.3428</v>
      </c>
      <c r="G129" s="3" t="s">
        <v>716</v>
      </c>
    </row>
    <row r="130" customFormat="false" ht="15" hidden="false" customHeight="false" outlineLevel="0" collapsed="false">
      <c r="A130" s="6" t="s">
        <v>717</v>
      </c>
      <c r="B130" s="82" t="n">
        <v>34</v>
      </c>
      <c r="C130" s="82" t="n">
        <v>20.2994</v>
      </c>
      <c r="D130" s="57" t="n">
        <v>-0.403</v>
      </c>
      <c r="G130" s="10" t="s">
        <v>718</v>
      </c>
    </row>
    <row r="131" customFormat="false" ht="15" hidden="false" customHeight="false" outlineLevel="0" collapsed="false">
      <c r="A131" s="6" t="s">
        <v>113</v>
      </c>
      <c r="B131" s="57" t="n">
        <v>0.65</v>
      </c>
      <c r="C131" s="57" t="n">
        <v>0.8566</v>
      </c>
      <c r="D131" s="57" t="n">
        <v>0.2066</v>
      </c>
      <c r="G131" s="10" t="s">
        <v>719</v>
      </c>
    </row>
    <row r="132" customFormat="false" ht="15" hidden="false" customHeight="false" outlineLevel="0" collapsed="false">
      <c r="A132" s="6" t="s">
        <v>720</v>
      </c>
      <c r="B132" s="82" t="n">
        <v>10.5</v>
      </c>
      <c r="C132" s="82" t="n">
        <v>12.3908</v>
      </c>
      <c r="D132" s="57" t="n">
        <v>0.1801</v>
      </c>
      <c r="G132" s="3" t="s">
        <v>721</v>
      </c>
    </row>
    <row r="133" customFormat="false" ht="15" hidden="false" customHeight="false" outlineLevel="0" collapsed="false">
      <c r="A133" s="43" t="s">
        <v>722</v>
      </c>
      <c r="B133" s="5"/>
      <c r="C133" s="5"/>
      <c r="D133" s="5"/>
      <c r="E133" s="5"/>
      <c r="F133" s="5"/>
      <c r="G133" s="5"/>
    </row>
  </sheetData>
  <conditionalFormatting sqref="C86:F90">
    <cfRule type="cellIs" priority="2" operator="greaterThanOrEqual" aboveAverage="0" equalAverage="0" bottom="0" percent="0" rank="0" text="" dxfId="0">
      <formula>輸入與假設!$C$88</formula>
    </cfRule>
  </conditionalFormatting>
  <conditionalFormatting sqref="C91:F95">
    <cfRule type="cellIs" priority="3" operator="greaterThanOrEqual" aboveAverage="0" equalAverage="0" bottom="0" percent="0" rank="0" text="" dxfId="0">
      <formula>輸入與假設!$C$88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2026-09-29T07:10:32Z</dcterms:created>
  <dc:creator>openpyxl</dc:creator>
  <dc:description/>
  <dc:language>en-US</dc:language>
  <cp:lastModifiedBy/>
  <dcterms:modified xsi:type="dcterms:W3CDTF">2026-09-29T07:10:59Z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